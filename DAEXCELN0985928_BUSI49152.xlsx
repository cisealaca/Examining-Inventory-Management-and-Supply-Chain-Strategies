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8.xml" ContentType="application/vnd.openxmlformats-officedocument.drawing+xml"/>
  <Override PartName="/xl/tables/table1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tables/table22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Tables/pivotTable7.xml" ContentType="application/vnd.openxmlformats-officedocument.spreadsheetml.pivotTab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25.xml" ContentType="application/vnd.openxmlformats-officedocument.spreadsheetml.tab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26.xml" ContentType="application/vnd.openxmlformats-officedocument.spreadsheetml.tab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tables/table27.xml" ContentType="application/vnd.openxmlformats-officedocument.spreadsheetml.tab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7.xml" ContentType="application/vnd.openxmlformats-officedocument.drawing+xml"/>
  <Override PartName="/xl/tables/table28.xml" ContentType="application/vnd.openxmlformats-officedocument.spreadsheetml.tab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1.xml" ContentType="application/vnd.openxmlformats-officedocument.spreadsheetml.pivotTable+xml"/>
  <Override PartName="/xl/tables/table29.xml" ContentType="application/vnd.openxmlformats-officedocument.spreadsheetml.table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ables/table32.xml" ContentType="application/vnd.openxmlformats-officedocument.spreadsheetml.table+xml"/>
  <Override PartName="/xl/pivotTables/pivotTable13.xml" ContentType="application/vnd.openxmlformats-officedocument.spreadsheetml.pivotTable+xml"/>
  <Override PartName="/xl/drawings/drawing20.xml" ContentType="application/vnd.openxmlformats-officedocument.drawing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cise8\Desktop\DASUBMIT\"/>
    </mc:Choice>
  </mc:AlternateContent>
  <xr:revisionPtr revIDLastSave="0" documentId="13_ncr:1_{39808CBF-C363-4523-AD8A-39F607F9CFC2}" xr6:coauthVersionLast="47" xr6:coauthVersionMax="47" xr10:uidLastSave="{00000000-0000-0000-0000-000000000000}"/>
  <bookViews>
    <workbookView xWindow="-108" yWindow="-108" windowWidth="23256" windowHeight="12456" tabRatio="788" firstSheet="2" activeTab="2" xr2:uid="{00000000-000D-0000-FFFF-FFFF00000000}"/>
  </bookViews>
  <sheets>
    <sheet name="Sheet8" sheetId="43" state="hidden" r:id="rId1"/>
    <sheet name="Sheet9" sheetId="44" state="hidden" r:id="rId2"/>
    <sheet name="Profit Data" sheetId="15" r:id="rId3"/>
    <sheet name="DraftDataset (2)" sheetId="38" r:id="rId4"/>
    <sheet name="CleanedDataset" sheetId="12" r:id="rId5"/>
    <sheet name="Sheet19" sheetId="56" state="hidden" r:id="rId6"/>
    <sheet name="Sheet18" sheetId="54" state="hidden" r:id="rId7"/>
    <sheet name="Sheet16" sheetId="52" state="hidden" r:id="rId8"/>
    <sheet name="Sheet11" sheetId="46" state="hidden" r:id="rId9"/>
    <sheet name="All" sheetId="5" r:id="rId10"/>
    <sheet name="Information" sheetId="6" r:id="rId11"/>
    <sheet name="Sheet3" sheetId="35" state="hidden" r:id="rId12"/>
    <sheet name="ColorR" sheetId="31" state="hidden" r:id="rId13"/>
    <sheet name="All_Cleaned" sheetId="7" state="hidden" r:id="rId14"/>
    <sheet name="Pivot " sheetId="11" state="hidden" r:id="rId15"/>
    <sheet name="Powder Cost" sheetId="13" r:id="rId16"/>
    <sheet name="Demand Distribution" sheetId="14" r:id="rId17"/>
    <sheet name="Suggestion3" sheetId="16" state="hidden" r:id="rId18"/>
    <sheet name="Forecast" sheetId="20" state="hidden" r:id="rId19"/>
    <sheet name="AnnualPDashBoard" sheetId="19" r:id="rId20"/>
    <sheet name="Profit ForeCast" sheetId="25" r:id="rId21"/>
    <sheet name="ForecastDashboard2" sheetId="23" r:id="rId22"/>
    <sheet name="MovingAverage" sheetId="37" r:id="rId23"/>
    <sheet name="Suggestion5" sheetId="26" r:id="rId24"/>
    <sheet name="Suggestion4" sheetId="32" state="hidden" r:id="rId25"/>
    <sheet name="Sheet2" sheetId="33" state="hidden" r:id="rId26"/>
    <sheet name="Regression" sheetId="41" state="hidden" r:id="rId27"/>
    <sheet name="Sheet5" sheetId="40" state="hidden" r:id="rId28"/>
    <sheet name="Suggestion6" sheetId="34" r:id="rId29"/>
    <sheet name="Suggestion7" sheetId="36" r:id="rId30"/>
    <sheet name="Sheet12" sheetId="47" state="hidden" r:id="rId31"/>
    <sheet name="Sheet13" sheetId="48" state="hidden" r:id="rId32"/>
    <sheet name="ProductFamilyForecast" sheetId="42" r:id="rId33"/>
    <sheet name="Sheet14" sheetId="49" state="hidden" r:id="rId34"/>
    <sheet name="Suggestion8" sheetId="45" state="hidden" r:id="rId35"/>
    <sheet name="PerformanceScore" sheetId="55" r:id="rId36"/>
    <sheet name="Profit Margin" sheetId="51" r:id="rId37"/>
    <sheet name="New Introduced Colour Analysis" sheetId="30" r:id="rId38"/>
    <sheet name="Sheet20" sheetId="57" r:id="rId39"/>
    <sheet name="Suggestion1" sheetId="59" r:id="rId40"/>
  </sheets>
  <definedNames>
    <definedName name="_xlnm._FilterDatabase" localSheetId="9" hidden="1">All!$A$1:$N$204</definedName>
    <definedName name="_xlnm._FilterDatabase" localSheetId="13" hidden="1">All_Cleaned!$A$1:$Q$203</definedName>
    <definedName name="_xlnm._FilterDatabase" localSheetId="4" hidden="1">CleanedDataset!$A$1:$Y$204</definedName>
    <definedName name="_xlnm._FilterDatabase" localSheetId="3" hidden="1">'DraftDataset (2)'!#REF!</definedName>
  </definedNames>
  <calcPr calcId="191028"/>
  <pivotCaches>
    <pivotCache cacheId="0" r:id="rId41"/>
    <pivotCache cacheId="1" r:id="rId42"/>
    <pivotCache cacheId="60" r:id="rId43"/>
    <pivotCache cacheId="3" r:id="rId44"/>
    <pivotCache cacheId="4" r:id="rId45"/>
    <pivotCache cacheId="5" r:id="rId46"/>
    <pivotCache cacheId="6" r:id="rId47"/>
    <pivotCache cacheId="7" r:id="rId48"/>
    <pivotCache cacheId="36" r:id="rId49"/>
    <pivotCache cacheId="45" r:id="rId50"/>
    <pivotCache cacheId="51" r:id="rId51"/>
    <pivotCache cacheId="96" r:id="rId5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4" i="30" l="1"/>
  <c r="H232" i="30"/>
  <c r="G232" i="30"/>
  <c r="W203" i="57"/>
  <c r="T203" i="57"/>
  <c r="B203" i="57"/>
  <c r="W202" i="57"/>
  <c r="T202" i="57"/>
  <c r="B202" i="57"/>
  <c r="Q202" i="57" s="1"/>
  <c r="W201" i="57"/>
  <c r="T201" i="57"/>
  <c r="B201" i="57"/>
  <c r="Q201" i="57" s="1"/>
  <c r="W200" i="57"/>
  <c r="T200" i="57"/>
  <c r="B200" i="57"/>
  <c r="S200" i="57" s="1"/>
  <c r="W199" i="57"/>
  <c r="T199" i="57"/>
  <c r="B199" i="57"/>
  <c r="D199" i="57" s="1"/>
  <c r="W198" i="57"/>
  <c r="T198" i="57"/>
  <c r="B198" i="57"/>
  <c r="Q198" i="57" s="1"/>
  <c r="W197" i="57"/>
  <c r="T197" i="57"/>
  <c r="B197" i="57"/>
  <c r="Q197" i="57" s="1"/>
  <c r="W196" i="57"/>
  <c r="T196" i="57"/>
  <c r="B196" i="57"/>
  <c r="S196" i="57" s="1"/>
  <c r="W195" i="57"/>
  <c r="T195" i="57"/>
  <c r="B195" i="57"/>
  <c r="D195" i="57" s="1"/>
  <c r="W194" i="57"/>
  <c r="T194" i="57"/>
  <c r="B194" i="57"/>
  <c r="G194" i="57" s="1"/>
  <c r="W193" i="57"/>
  <c r="T193" i="57"/>
  <c r="K193" i="57"/>
  <c r="B193" i="57"/>
  <c r="Q193" i="57" s="1"/>
  <c r="W192" i="57"/>
  <c r="T192" i="57"/>
  <c r="B192" i="57"/>
  <c r="G192" i="57" s="1"/>
  <c r="W191" i="57"/>
  <c r="T191" i="57"/>
  <c r="B191" i="57"/>
  <c r="Q191" i="57" s="1"/>
  <c r="W190" i="57"/>
  <c r="T190" i="57"/>
  <c r="B190" i="57"/>
  <c r="S190" i="57" s="1"/>
  <c r="W189" i="57"/>
  <c r="T189" i="57"/>
  <c r="B189" i="57"/>
  <c r="D189" i="57" s="1"/>
  <c r="W188" i="57"/>
  <c r="T188" i="57"/>
  <c r="B188" i="57"/>
  <c r="G188" i="57" s="1"/>
  <c r="W187" i="57"/>
  <c r="T187" i="57"/>
  <c r="B187" i="57"/>
  <c r="Q187" i="57" s="1"/>
  <c r="W186" i="57"/>
  <c r="T186" i="57"/>
  <c r="B186" i="57"/>
  <c r="G186" i="57" s="1"/>
  <c r="W185" i="57"/>
  <c r="T185" i="57"/>
  <c r="B185" i="57"/>
  <c r="W184" i="57"/>
  <c r="T184" i="57"/>
  <c r="B184" i="57"/>
  <c r="D184" i="57" s="1"/>
  <c r="W183" i="57"/>
  <c r="T183" i="57"/>
  <c r="B183" i="57"/>
  <c r="Q183" i="57" s="1"/>
  <c r="W182" i="57"/>
  <c r="T182" i="57"/>
  <c r="B182" i="57"/>
  <c r="G182" i="57" s="1"/>
  <c r="W181" i="57"/>
  <c r="T181" i="57"/>
  <c r="B181" i="57"/>
  <c r="Q181" i="57" s="1"/>
  <c r="W180" i="57"/>
  <c r="T180" i="57"/>
  <c r="B180" i="57"/>
  <c r="S180" i="57" s="1"/>
  <c r="W179" i="57"/>
  <c r="T179" i="57"/>
  <c r="B179" i="57"/>
  <c r="W178" i="57"/>
  <c r="T178" i="57"/>
  <c r="B178" i="57"/>
  <c r="G178" i="57" s="1"/>
  <c r="W177" i="57"/>
  <c r="T177" i="57"/>
  <c r="B177" i="57"/>
  <c r="Q177" i="57" s="1"/>
  <c r="W176" i="57"/>
  <c r="T176" i="57"/>
  <c r="B176" i="57"/>
  <c r="I176" i="57" s="1"/>
  <c r="W175" i="57"/>
  <c r="T175" i="57"/>
  <c r="B175" i="57"/>
  <c r="Q175" i="57" s="1"/>
  <c r="W174" i="57"/>
  <c r="T174" i="57"/>
  <c r="B174" i="57"/>
  <c r="S174" i="57" s="1"/>
  <c r="W173" i="57"/>
  <c r="T173" i="57"/>
  <c r="B173" i="57"/>
  <c r="D173" i="57" s="1"/>
  <c r="W172" i="57"/>
  <c r="T172" i="57"/>
  <c r="B172" i="57"/>
  <c r="I172" i="57" s="1"/>
  <c r="W171" i="57"/>
  <c r="T171" i="57"/>
  <c r="B171" i="57"/>
  <c r="Q171" i="57" s="1"/>
  <c r="W170" i="57"/>
  <c r="T170" i="57"/>
  <c r="B170" i="57"/>
  <c r="I170" i="57" s="1"/>
  <c r="W169" i="57"/>
  <c r="T169" i="57"/>
  <c r="B169" i="57"/>
  <c r="S169" i="57" s="1"/>
  <c r="W168" i="57"/>
  <c r="T168" i="57"/>
  <c r="B168" i="57"/>
  <c r="W167" i="57"/>
  <c r="T167" i="57"/>
  <c r="B167" i="57"/>
  <c r="Q167" i="57" s="1"/>
  <c r="W166" i="57"/>
  <c r="T166" i="57"/>
  <c r="B166" i="57"/>
  <c r="I166" i="57" s="1"/>
  <c r="W165" i="57"/>
  <c r="T165" i="57"/>
  <c r="B165" i="57"/>
  <c r="Q165" i="57" s="1"/>
  <c r="W164" i="57"/>
  <c r="T164" i="57"/>
  <c r="B164" i="57"/>
  <c r="I164" i="57" s="1"/>
  <c r="W163" i="57"/>
  <c r="T163" i="57"/>
  <c r="B163" i="57"/>
  <c r="S163" i="57" s="1"/>
  <c r="W162" i="57"/>
  <c r="T162" i="57"/>
  <c r="B162" i="57"/>
  <c r="D162" i="57" s="1"/>
  <c r="W161" i="57"/>
  <c r="T161" i="57"/>
  <c r="B161" i="57"/>
  <c r="Q161" i="57" s="1"/>
  <c r="W160" i="57"/>
  <c r="T160" i="57"/>
  <c r="B160" i="57"/>
  <c r="I160" i="57" s="1"/>
  <c r="W159" i="57"/>
  <c r="T159" i="57"/>
  <c r="B159" i="57"/>
  <c r="Q159" i="57" s="1"/>
  <c r="W158" i="57"/>
  <c r="T158" i="57"/>
  <c r="B158" i="57"/>
  <c r="S158" i="57" s="1"/>
  <c r="W157" i="57"/>
  <c r="T157" i="57"/>
  <c r="B157" i="57"/>
  <c r="D157" i="57" s="1"/>
  <c r="W156" i="57"/>
  <c r="T156" i="57"/>
  <c r="B156" i="57"/>
  <c r="I156" i="57" s="1"/>
  <c r="W155" i="57"/>
  <c r="T155" i="57"/>
  <c r="B155" i="57"/>
  <c r="Q155" i="57" s="1"/>
  <c r="W154" i="57"/>
  <c r="T154" i="57"/>
  <c r="B154" i="57"/>
  <c r="I154" i="57" s="1"/>
  <c r="W153" i="57"/>
  <c r="T153" i="57"/>
  <c r="B153" i="57"/>
  <c r="S153" i="57" s="1"/>
  <c r="W152" i="57"/>
  <c r="T152" i="57"/>
  <c r="B152" i="57"/>
  <c r="D152" i="57" s="1"/>
  <c r="W151" i="57"/>
  <c r="T151" i="57"/>
  <c r="B151" i="57"/>
  <c r="Q151" i="57" s="1"/>
  <c r="W150" i="57"/>
  <c r="T150" i="57"/>
  <c r="S150" i="57"/>
  <c r="B150" i="57"/>
  <c r="I150" i="57" s="1"/>
  <c r="W149" i="57"/>
  <c r="T149" i="57"/>
  <c r="B149" i="57"/>
  <c r="Q149" i="57" s="1"/>
  <c r="W148" i="57"/>
  <c r="T148" i="57"/>
  <c r="B148" i="57"/>
  <c r="I148" i="57" s="1"/>
  <c r="W147" i="57"/>
  <c r="T147" i="57"/>
  <c r="B147" i="57"/>
  <c r="S147" i="57" s="1"/>
  <c r="W146" i="57"/>
  <c r="T146" i="57"/>
  <c r="B146" i="57"/>
  <c r="I146" i="57" s="1"/>
  <c r="W145" i="57"/>
  <c r="T145" i="57"/>
  <c r="B145" i="57"/>
  <c r="Q145" i="57" s="1"/>
  <c r="W144" i="57"/>
  <c r="T144" i="57"/>
  <c r="B144" i="57"/>
  <c r="I144" i="57" s="1"/>
  <c r="W143" i="57"/>
  <c r="T143" i="57"/>
  <c r="B143" i="57"/>
  <c r="S143" i="57" s="1"/>
  <c r="W142" i="57"/>
  <c r="T142" i="57"/>
  <c r="B142" i="57"/>
  <c r="W141" i="57"/>
  <c r="T141" i="57"/>
  <c r="B141" i="57"/>
  <c r="Q141" i="57" s="1"/>
  <c r="W140" i="57"/>
  <c r="T140" i="57"/>
  <c r="B140" i="57"/>
  <c r="W139" i="57"/>
  <c r="T139" i="57"/>
  <c r="B139" i="57"/>
  <c r="S139" i="57" s="1"/>
  <c r="W138" i="57"/>
  <c r="T138" i="57"/>
  <c r="B138" i="57"/>
  <c r="D138" i="57" s="1"/>
  <c r="W137" i="57"/>
  <c r="T137" i="57"/>
  <c r="B137" i="57"/>
  <c r="Q137" i="57" s="1"/>
  <c r="W136" i="57"/>
  <c r="T136" i="57"/>
  <c r="B136" i="57"/>
  <c r="S136" i="57" s="1"/>
  <c r="W135" i="57"/>
  <c r="T135" i="57"/>
  <c r="B135" i="57"/>
  <c r="Q135" i="57" s="1"/>
  <c r="W134" i="57"/>
  <c r="T134" i="57"/>
  <c r="B134" i="57"/>
  <c r="S134" i="57" s="1"/>
  <c r="W133" i="57"/>
  <c r="T133" i="57"/>
  <c r="B133" i="57"/>
  <c r="S133" i="57" s="1"/>
  <c r="W132" i="57"/>
  <c r="T132" i="57"/>
  <c r="B132" i="57"/>
  <c r="I132" i="57" s="1"/>
  <c r="W131" i="57"/>
  <c r="T131" i="57"/>
  <c r="B131" i="57"/>
  <c r="Q131" i="57" s="1"/>
  <c r="W130" i="57"/>
  <c r="T130" i="57"/>
  <c r="B130" i="57"/>
  <c r="I130" i="57" s="1"/>
  <c r="W129" i="57"/>
  <c r="T129" i="57"/>
  <c r="B129" i="57"/>
  <c r="S129" i="57" s="1"/>
  <c r="W128" i="57"/>
  <c r="T128" i="57"/>
  <c r="B128" i="57"/>
  <c r="I128" i="57" s="1"/>
  <c r="W127" i="57"/>
  <c r="T127" i="57"/>
  <c r="B127" i="57"/>
  <c r="Q127" i="57" s="1"/>
  <c r="W126" i="57"/>
  <c r="T126" i="57"/>
  <c r="B126" i="57"/>
  <c r="S126" i="57" s="1"/>
  <c r="W125" i="57"/>
  <c r="T125" i="57"/>
  <c r="B125" i="57"/>
  <c r="Q125" i="57" s="1"/>
  <c r="W124" i="57"/>
  <c r="T124" i="57"/>
  <c r="B124" i="57"/>
  <c r="Q124" i="57" s="1"/>
  <c r="W123" i="57"/>
  <c r="T123" i="57"/>
  <c r="B123" i="57"/>
  <c r="Q123" i="57" s="1"/>
  <c r="W122" i="57"/>
  <c r="T122" i="57"/>
  <c r="B122" i="57"/>
  <c r="D122" i="57" s="1"/>
  <c r="W121" i="57"/>
  <c r="T121" i="57"/>
  <c r="B121" i="57"/>
  <c r="Q121" i="57" s="1"/>
  <c r="W120" i="57"/>
  <c r="T120" i="57"/>
  <c r="B120" i="57"/>
  <c r="I120" i="57" s="1"/>
  <c r="W119" i="57"/>
  <c r="T119" i="57"/>
  <c r="B119" i="57"/>
  <c r="Q119" i="57" s="1"/>
  <c r="W118" i="57"/>
  <c r="T118" i="57"/>
  <c r="B118" i="57"/>
  <c r="S118" i="57" s="1"/>
  <c r="W117" i="57"/>
  <c r="T117" i="57"/>
  <c r="B117" i="57"/>
  <c r="Q117" i="57" s="1"/>
  <c r="W116" i="57"/>
  <c r="T116" i="57"/>
  <c r="B116" i="57"/>
  <c r="I116" i="57" s="1"/>
  <c r="W115" i="57"/>
  <c r="T115" i="57"/>
  <c r="M115" i="57"/>
  <c r="I115" i="57"/>
  <c r="B115" i="57"/>
  <c r="Q115" i="57" s="1"/>
  <c r="W114" i="57"/>
  <c r="T114" i="57"/>
  <c r="B114" i="57"/>
  <c r="I114" i="57" s="1"/>
  <c r="W113" i="57"/>
  <c r="T113" i="57"/>
  <c r="B113" i="57"/>
  <c r="S113" i="57" s="1"/>
  <c r="W112" i="57"/>
  <c r="T112" i="57"/>
  <c r="B112" i="57"/>
  <c r="I112" i="57" s="1"/>
  <c r="W111" i="57"/>
  <c r="T111" i="57"/>
  <c r="B111" i="57"/>
  <c r="Q111" i="57" s="1"/>
  <c r="W110" i="57"/>
  <c r="T110" i="57"/>
  <c r="B110" i="57"/>
  <c r="S110" i="57" s="1"/>
  <c r="W109" i="57"/>
  <c r="T109" i="57"/>
  <c r="B109" i="57"/>
  <c r="Q109" i="57" s="1"/>
  <c r="W108" i="57"/>
  <c r="T108" i="57"/>
  <c r="B108" i="57"/>
  <c r="Q108" i="57" s="1"/>
  <c r="W107" i="57"/>
  <c r="T107" i="57"/>
  <c r="B107" i="57"/>
  <c r="Q107" i="57" s="1"/>
  <c r="W106" i="57"/>
  <c r="T106" i="57"/>
  <c r="B106" i="57"/>
  <c r="D106" i="57" s="1"/>
  <c r="W105" i="57"/>
  <c r="T105" i="57"/>
  <c r="B105" i="57"/>
  <c r="W104" i="57"/>
  <c r="T104" i="57"/>
  <c r="B104" i="57"/>
  <c r="S104" i="57" s="1"/>
  <c r="W103" i="57"/>
  <c r="T103" i="57"/>
  <c r="B103" i="57"/>
  <c r="Q103" i="57" s="1"/>
  <c r="W102" i="57"/>
  <c r="T102" i="57"/>
  <c r="B102" i="57"/>
  <c r="S102" i="57" s="1"/>
  <c r="W101" i="57"/>
  <c r="T101" i="57"/>
  <c r="B101" i="57"/>
  <c r="Q101" i="57" s="1"/>
  <c r="W100" i="57"/>
  <c r="T100" i="57"/>
  <c r="B100" i="57"/>
  <c r="S100" i="57" s="1"/>
  <c r="W99" i="57"/>
  <c r="T99" i="57"/>
  <c r="B99" i="57"/>
  <c r="Q99" i="57" s="1"/>
  <c r="W98" i="57"/>
  <c r="T98" i="57"/>
  <c r="B98" i="57"/>
  <c r="S98" i="57" s="1"/>
  <c r="W97" i="57"/>
  <c r="T97" i="57"/>
  <c r="B97" i="57"/>
  <c r="Q97" i="57" s="1"/>
  <c r="W96" i="57"/>
  <c r="T96" i="57"/>
  <c r="B96" i="57"/>
  <c r="S96" i="57" s="1"/>
  <c r="W95" i="57"/>
  <c r="T95" i="57"/>
  <c r="B95" i="57"/>
  <c r="W94" i="57"/>
  <c r="T94" i="57"/>
  <c r="B94" i="57"/>
  <c r="S94" i="57" s="1"/>
  <c r="W93" i="57"/>
  <c r="T93" i="57"/>
  <c r="B93" i="57"/>
  <c r="W92" i="57"/>
  <c r="T92" i="57"/>
  <c r="B92" i="57"/>
  <c r="S92" i="57" s="1"/>
  <c r="W91" i="57"/>
  <c r="T91" i="57"/>
  <c r="B91" i="57"/>
  <c r="Q91" i="57" s="1"/>
  <c r="W90" i="57"/>
  <c r="T90" i="57"/>
  <c r="B90" i="57"/>
  <c r="W89" i="57"/>
  <c r="T89" i="57"/>
  <c r="B89" i="57"/>
  <c r="M89" i="57" s="1"/>
  <c r="W88" i="57"/>
  <c r="T88" i="57"/>
  <c r="B88" i="57"/>
  <c r="S88" i="57" s="1"/>
  <c r="W87" i="57"/>
  <c r="T87" i="57"/>
  <c r="B87" i="57"/>
  <c r="W86" i="57"/>
  <c r="T86" i="57"/>
  <c r="B86" i="57"/>
  <c r="S86" i="57" s="1"/>
  <c r="W85" i="57"/>
  <c r="T85" i="57"/>
  <c r="B85" i="57"/>
  <c r="Q85" i="57" s="1"/>
  <c r="W84" i="57"/>
  <c r="T84" i="57"/>
  <c r="B84" i="57"/>
  <c r="W83" i="57"/>
  <c r="T83" i="57"/>
  <c r="B83" i="57"/>
  <c r="W82" i="57"/>
  <c r="T82" i="57"/>
  <c r="B82" i="57"/>
  <c r="Q82" i="57" s="1"/>
  <c r="W81" i="57"/>
  <c r="T81" i="57"/>
  <c r="B81" i="57"/>
  <c r="M81" i="57" s="1"/>
  <c r="W80" i="57"/>
  <c r="T80" i="57"/>
  <c r="B80" i="57"/>
  <c r="Q80" i="57" s="1"/>
  <c r="W79" i="57"/>
  <c r="T79" i="57"/>
  <c r="B79" i="57"/>
  <c r="I79" i="57" s="1"/>
  <c r="W78" i="57"/>
  <c r="T78" i="57"/>
  <c r="B78" i="57"/>
  <c r="W77" i="57"/>
  <c r="T77" i="57"/>
  <c r="B77" i="57"/>
  <c r="M77" i="57" s="1"/>
  <c r="W76" i="57"/>
  <c r="T76" i="57"/>
  <c r="B76" i="57"/>
  <c r="Q76" i="57" s="1"/>
  <c r="W75" i="57"/>
  <c r="T75" i="57"/>
  <c r="B75" i="57"/>
  <c r="M75" i="57" s="1"/>
  <c r="W74" i="57"/>
  <c r="T74" i="57"/>
  <c r="B74" i="57"/>
  <c r="I74" i="57" s="1"/>
  <c r="W73" i="57"/>
  <c r="T73" i="57"/>
  <c r="B73" i="57"/>
  <c r="W72" i="57"/>
  <c r="T72" i="57"/>
  <c r="B72" i="57"/>
  <c r="Q72" i="57" s="1"/>
  <c r="W71" i="57"/>
  <c r="T71" i="57"/>
  <c r="B71" i="57"/>
  <c r="M71" i="57" s="1"/>
  <c r="W70" i="57"/>
  <c r="T70" i="57"/>
  <c r="B70" i="57"/>
  <c r="Q70" i="57" s="1"/>
  <c r="W69" i="57"/>
  <c r="T69" i="57"/>
  <c r="B69" i="57"/>
  <c r="K69" i="57" s="1"/>
  <c r="W68" i="57"/>
  <c r="T68" i="57"/>
  <c r="B68" i="57"/>
  <c r="W67" i="57"/>
  <c r="T67" i="57"/>
  <c r="B67" i="57"/>
  <c r="W66" i="57"/>
  <c r="T66" i="57"/>
  <c r="B66" i="57"/>
  <c r="Q66" i="57" s="1"/>
  <c r="W65" i="57"/>
  <c r="T65" i="57"/>
  <c r="B65" i="57"/>
  <c r="M65" i="57" s="1"/>
  <c r="W64" i="57"/>
  <c r="T64" i="57"/>
  <c r="I64" i="57"/>
  <c r="B64" i="57"/>
  <c r="Q64" i="57" s="1"/>
  <c r="W63" i="57"/>
  <c r="T63" i="57"/>
  <c r="B63" i="57"/>
  <c r="Q63" i="57" s="1"/>
  <c r="W62" i="57"/>
  <c r="T62" i="57"/>
  <c r="B62" i="57"/>
  <c r="S62" i="57" s="1"/>
  <c r="W61" i="57"/>
  <c r="T61" i="57"/>
  <c r="B61" i="57"/>
  <c r="K61" i="57" s="1"/>
  <c r="W60" i="57"/>
  <c r="T60" i="57"/>
  <c r="B60" i="57"/>
  <c r="I60" i="57" s="1"/>
  <c r="W59" i="57"/>
  <c r="T59" i="57"/>
  <c r="B59" i="57"/>
  <c r="D59" i="57" s="1"/>
  <c r="W58" i="57"/>
  <c r="T58" i="57"/>
  <c r="B58" i="57"/>
  <c r="I58" i="57" s="1"/>
  <c r="W57" i="57"/>
  <c r="T57" i="57"/>
  <c r="B57" i="57"/>
  <c r="Q57" i="57" s="1"/>
  <c r="W56" i="57"/>
  <c r="T56" i="57"/>
  <c r="B56" i="57"/>
  <c r="D56" i="57" s="1"/>
  <c r="W55" i="57"/>
  <c r="T55" i="57"/>
  <c r="B55" i="57"/>
  <c r="Q55" i="57" s="1"/>
  <c r="W54" i="57"/>
  <c r="T54" i="57"/>
  <c r="B54" i="57"/>
  <c r="G54" i="57" s="1"/>
  <c r="W53" i="57"/>
  <c r="T53" i="57"/>
  <c r="B53" i="57"/>
  <c r="Q53" i="57" s="1"/>
  <c r="W52" i="57"/>
  <c r="T52" i="57"/>
  <c r="B52" i="57"/>
  <c r="W51" i="57"/>
  <c r="T51" i="57"/>
  <c r="B51" i="57"/>
  <c r="O51" i="57" s="1"/>
  <c r="W50" i="57"/>
  <c r="T50" i="57"/>
  <c r="B50" i="57"/>
  <c r="G50" i="57" s="1"/>
  <c r="W49" i="57"/>
  <c r="T49" i="57"/>
  <c r="B49" i="57"/>
  <c r="O49" i="57" s="1"/>
  <c r="W48" i="57"/>
  <c r="T48" i="57"/>
  <c r="B48" i="57"/>
  <c r="Q48" i="57" s="1"/>
  <c r="W47" i="57"/>
  <c r="T47" i="57"/>
  <c r="B47" i="57"/>
  <c r="M47" i="57" s="1"/>
  <c r="W46" i="57"/>
  <c r="T46" i="57"/>
  <c r="B46" i="57"/>
  <c r="Q46" i="57" s="1"/>
  <c r="W45" i="57"/>
  <c r="T45" i="57"/>
  <c r="B45" i="57"/>
  <c r="M45" i="57" s="1"/>
  <c r="W44" i="57"/>
  <c r="T44" i="57"/>
  <c r="B44" i="57"/>
  <c r="S44" i="57" s="1"/>
  <c r="W43" i="57"/>
  <c r="T43" i="57"/>
  <c r="B43" i="57"/>
  <c r="W42" i="57"/>
  <c r="T42" i="57"/>
  <c r="B42" i="57"/>
  <c r="S42" i="57" s="1"/>
  <c r="W41" i="57"/>
  <c r="T41" i="57"/>
  <c r="B41" i="57"/>
  <c r="W40" i="57"/>
  <c r="T40" i="57"/>
  <c r="B40" i="57"/>
  <c r="S40" i="57" s="1"/>
  <c r="W39" i="57"/>
  <c r="T39" i="57"/>
  <c r="B39" i="57"/>
  <c r="M39" i="57" s="1"/>
  <c r="W38" i="57"/>
  <c r="T38" i="57"/>
  <c r="B38" i="57"/>
  <c r="S38" i="57" s="1"/>
  <c r="W37" i="57"/>
  <c r="T37" i="57"/>
  <c r="B37" i="57"/>
  <c r="M37" i="57" s="1"/>
  <c r="W36" i="57"/>
  <c r="T36" i="57"/>
  <c r="B36" i="57"/>
  <c r="D36" i="57" s="1"/>
  <c r="W35" i="57"/>
  <c r="T35" i="57"/>
  <c r="B35" i="57"/>
  <c r="M35" i="57" s="1"/>
  <c r="W34" i="57"/>
  <c r="T34" i="57"/>
  <c r="B34" i="57"/>
  <c r="Q34" i="57" s="1"/>
  <c r="W33" i="57"/>
  <c r="T33" i="57"/>
  <c r="B33" i="57"/>
  <c r="Q33" i="57" s="1"/>
  <c r="W32" i="57"/>
  <c r="T32" i="57"/>
  <c r="B32" i="57"/>
  <c r="D32" i="57" s="1"/>
  <c r="W31" i="57"/>
  <c r="T31" i="57"/>
  <c r="B31" i="57"/>
  <c r="M31" i="57" s="1"/>
  <c r="W30" i="57"/>
  <c r="T30" i="57"/>
  <c r="B30" i="57"/>
  <c r="Q30" i="57" s="1"/>
  <c r="W29" i="57"/>
  <c r="T29" i="57"/>
  <c r="B29" i="57"/>
  <c r="K29" i="57" s="1"/>
  <c r="W28" i="57"/>
  <c r="T28" i="57"/>
  <c r="B28" i="57"/>
  <c r="D28" i="57" s="1"/>
  <c r="W27" i="57"/>
  <c r="T27" i="57"/>
  <c r="B27" i="57"/>
  <c r="K27" i="57" s="1"/>
  <c r="W26" i="57"/>
  <c r="T26" i="57"/>
  <c r="B26" i="57"/>
  <c r="Q26" i="57" s="1"/>
  <c r="W25" i="57"/>
  <c r="T25" i="57"/>
  <c r="B25" i="57"/>
  <c r="M25" i="57" s="1"/>
  <c r="W24" i="57"/>
  <c r="T24" i="57"/>
  <c r="B24" i="57"/>
  <c r="D24" i="57" s="1"/>
  <c r="W23" i="57"/>
  <c r="T23" i="57"/>
  <c r="B23" i="57"/>
  <c r="M23" i="57" s="1"/>
  <c r="W22" i="57"/>
  <c r="T22" i="57"/>
  <c r="B22" i="57"/>
  <c r="Q22" i="57" s="1"/>
  <c r="W21" i="57"/>
  <c r="T21" i="57"/>
  <c r="B21" i="57"/>
  <c r="M21" i="57" s="1"/>
  <c r="W20" i="57"/>
  <c r="T20" i="57"/>
  <c r="B20" i="57"/>
  <c r="M20" i="57" s="1"/>
  <c r="W19" i="57"/>
  <c r="T19" i="57"/>
  <c r="B19" i="57"/>
  <c r="M19" i="57" s="1"/>
  <c r="W18" i="57"/>
  <c r="T18" i="57"/>
  <c r="B18" i="57"/>
  <c r="M18" i="57" s="1"/>
  <c r="W17" i="57"/>
  <c r="T17" i="57"/>
  <c r="B17" i="57"/>
  <c r="M17" i="57" s="1"/>
  <c r="W16" i="57"/>
  <c r="T16" i="57"/>
  <c r="B16" i="57"/>
  <c r="S16" i="57" s="1"/>
  <c r="W15" i="57"/>
  <c r="T15" i="57"/>
  <c r="B15" i="57"/>
  <c r="M15" i="57" s="1"/>
  <c r="W14" i="57"/>
  <c r="T14" i="57"/>
  <c r="B14" i="57"/>
  <c r="Q14" i="57" s="1"/>
  <c r="W13" i="57"/>
  <c r="T13" i="57"/>
  <c r="B13" i="57"/>
  <c r="W12" i="57"/>
  <c r="T12" i="57"/>
  <c r="B12" i="57"/>
  <c r="I12" i="57" s="1"/>
  <c r="W11" i="57"/>
  <c r="T11" i="57"/>
  <c r="B11" i="57"/>
  <c r="M11" i="57" s="1"/>
  <c r="W10" i="57"/>
  <c r="T10" i="57"/>
  <c r="B10" i="57"/>
  <c r="I10" i="57" s="1"/>
  <c r="W9" i="57"/>
  <c r="T9" i="57"/>
  <c r="B9" i="57"/>
  <c r="M9" i="57" s="1"/>
  <c r="W8" i="57"/>
  <c r="T8" i="57"/>
  <c r="B8" i="57"/>
  <c r="Q8" i="57" s="1"/>
  <c r="W7" i="57"/>
  <c r="T7" i="57"/>
  <c r="B7" i="57"/>
  <c r="Q7" i="57" s="1"/>
  <c r="W6" i="57"/>
  <c r="T6" i="57"/>
  <c r="B6" i="57"/>
  <c r="Q6" i="57" s="1"/>
  <c r="W5" i="57"/>
  <c r="T5" i="57"/>
  <c r="B5" i="57"/>
  <c r="M5" i="57" s="1"/>
  <c r="W4" i="57"/>
  <c r="T4" i="57"/>
  <c r="B4" i="57"/>
  <c r="Q4" i="57" s="1"/>
  <c r="W3" i="57"/>
  <c r="T3" i="57"/>
  <c r="B3" i="57"/>
  <c r="M3" i="57" s="1"/>
  <c r="W2" i="57"/>
  <c r="T2" i="57"/>
  <c r="B2" i="57"/>
  <c r="Q2" i="57" s="1"/>
  <c r="D42" i="56"/>
  <c r="D74" i="56"/>
  <c r="D106" i="56"/>
  <c r="D138" i="56"/>
  <c r="D170" i="56"/>
  <c r="H19" i="56"/>
  <c r="D19" i="56" s="1"/>
  <c r="H20" i="56"/>
  <c r="D20" i="56" s="1"/>
  <c r="H21" i="56"/>
  <c r="D21" i="56" s="1"/>
  <c r="H22" i="56"/>
  <c r="D22" i="56" s="1"/>
  <c r="H23" i="56"/>
  <c r="D23" i="56" s="1"/>
  <c r="H24" i="56"/>
  <c r="D24" i="56" s="1"/>
  <c r="H25" i="56"/>
  <c r="D25" i="56" s="1"/>
  <c r="H26" i="56"/>
  <c r="D26" i="56" s="1"/>
  <c r="H27" i="56"/>
  <c r="D27" i="56" s="1"/>
  <c r="H28" i="56"/>
  <c r="D28" i="56" s="1"/>
  <c r="H29" i="56"/>
  <c r="D29" i="56" s="1"/>
  <c r="H30" i="56"/>
  <c r="D30" i="56" s="1"/>
  <c r="H31" i="56"/>
  <c r="D31" i="56" s="1"/>
  <c r="H32" i="56"/>
  <c r="D32" i="56" s="1"/>
  <c r="H33" i="56"/>
  <c r="D33" i="56" s="1"/>
  <c r="H34" i="56"/>
  <c r="D34" i="56" s="1"/>
  <c r="H35" i="56"/>
  <c r="D35" i="56" s="1"/>
  <c r="H36" i="56"/>
  <c r="D36" i="56" s="1"/>
  <c r="H37" i="56"/>
  <c r="D37" i="56" s="1"/>
  <c r="H38" i="56"/>
  <c r="D38" i="56" s="1"/>
  <c r="H39" i="56"/>
  <c r="D39" i="56" s="1"/>
  <c r="H40" i="56"/>
  <c r="D40" i="56" s="1"/>
  <c r="H41" i="56"/>
  <c r="D41" i="56" s="1"/>
  <c r="H42" i="56"/>
  <c r="H43" i="56"/>
  <c r="D43" i="56" s="1"/>
  <c r="H44" i="56"/>
  <c r="D44" i="56" s="1"/>
  <c r="H45" i="56"/>
  <c r="D45" i="56" s="1"/>
  <c r="H46" i="56"/>
  <c r="D46" i="56" s="1"/>
  <c r="H47" i="56"/>
  <c r="D47" i="56" s="1"/>
  <c r="H48" i="56"/>
  <c r="D48" i="56" s="1"/>
  <c r="H49" i="56"/>
  <c r="D49" i="56" s="1"/>
  <c r="H50" i="56"/>
  <c r="D50" i="56" s="1"/>
  <c r="H51" i="56"/>
  <c r="D51" i="56" s="1"/>
  <c r="H52" i="56"/>
  <c r="D52" i="56" s="1"/>
  <c r="H53" i="56"/>
  <c r="D53" i="56" s="1"/>
  <c r="H54" i="56"/>
  <c r="D54" i="56" s="1"/>
  <c r="H55" i="56"/>
  <c r="D55" i="56" s="1"/>
  <c r="H56" i="56"/>
  <c r="D56" i="56" s="1"/>
  <c r="H57" i="56"/>
  <c r="D57" i="56" s="1"/>
  <c r="H58" i="56"/>
  <c r="D58" i="56" s="1"/>
  <c r="H59" i="56"/>
  <c r="D59" i="56" s="1"/>
  <c r="H60" i="56"/>
  <c r="D60" i="56" s="1"/>
  <c r="H61" i="56"/>
  <c r="D61" i="56" s="1"/>
  <c r="H62" i="56"/>
  <c r="D62" i="56" s="1"/>
  <c r="H63" i="56"/>
  <c r="D63" i="56" s="1"/>
  <c r="H64" i="56"/>
  <c r="D64" i="56" s="1"/>
  <c r="H65" i="56"/>
  <c r="D65" i="56" s="1"/>
  <c r="H66" i="56"/>
  <c r="D66" i="56" s="1"/>
  <c r="H67" i="56"/>
  <c r="D67" i="56" s="1"/>
  <c r="H68" i="56"/>
  <c r="D68" i="56" s="1"/>
  <c r="H69" i="56"/>
  <c r="D69" i="56" s="1"/>
  <c r="H70" i="56"/>
  <c r="D70" i="56" s="1"/>
  <c r="H71" i="56"/>
  <c r="D71" i="56" s="1"/>
  <c r="H72" i="56"/>
  <c r="D72" i="56" s="1"/>
  <c r="H73" i="56"/>
  <c r="D73" i="56" s="1"/>
  <c r="H74" i="56"/>
  <c r="H75" i="56"/>
  <c r="D75" i="56" s="1"/>
  <c r="H76" i="56"/>
  <c r="D76" i="56" s="1"/>
  <c r="H77" i="56"/>
  <c r="D77" i="56" s="1"/>
  <c r="H78" i="56"/>
  <c r="D78" i="56" s="1"/>
  <c r="H79" i="56"/>
  <c r="D79" i="56" s="1"/>
  <c r="H80" i="56"/>
  <c r="D80" i="56" s="1"/>
  <c r="H81" i="56"/>
  <c r="D81" i="56" s="1"/>
  <c r="H82" i="56"/>
  <c r="D82" i="56" s="1"/>
  <c r="H83" i="56"/>
  <c r="D83" i="56" s="1"/>
  <c r="H84" i="56"/>
  <c r="D84" i="56" s="1"/>
  <c r="H85" i="56"/>
  <c r="D85" i="56" s="1"/>
  <c r="H86" i="56"/>
  <c r="D86" i="56" s="1"/>
  <c r="H87" i="56"/>
  <c r="D87" i="56" s="1"/>
  <c r="H88" i="56"/>
  <c r="D88" i="56" s="1"/>
  <c r="H89" i="56"/>
  <c r="D89" i="56" s="1"/>
  <c r="H90" i="56"/>
  <c r="D90" i="56" s="1"/>
  <c r="H91" i="56"/>
  <c r="D91" i="56" s="1"/>
  <c r="H92" i="56"/>
  <c r="D92" i="56" s="1"/>
  <c r="H93" i="56"/>
  <c r="D93" i="56" s="1"/>
  <c r="H94" i="56"/>
  <c r="D94" i="56" s="1"/>
  <c r="H95" i="56"/>
  <c r="D95" i="56" s="1"/>
  <c r="H96" i="56"/>
  <c r="D96" i="56" s="1"/>
  <c r="H97" i="56"/>
  <c r="D97" i="56" s="1"/>
  <c r="H98" i="56"/>
  <c r="D98" i="56" s="1"/>
  <c r="H99" i="56"/>
  <c r="D99" i="56" s="1"/>
  <c r="H100" i="56"/>
  <c r="D100" i="56" s="1"/>
  <c r="H101" i="56"/>
  <c r="D101" i="56" s="1"/>
  <c r="H102" i="56"/>
  <c r="D102" i="56" s="1"/>
  <c r="H103" i="56"/>
  <c r="D103" i="56" s="1"/>
  <c r="H104" i="56"/>
  <c r="D104" i="56" s="1"/>
  <c r="H105" i="56"/>
  <c r="D105" i="56" s="1"/>
  <c r="H106" i="56"/>
  <c r="H107" i="56"/>
  <c r="D107" i="56" s="1"/>
  <c r="H108" i="56"/>
  <c r="D108" i="56" s="1"/>
  <c r="H109" i="56"/>
  <c r="D109" i="56" s="1"/>
  <c r="H110" i="56"/>
  <c r="D110" i="56" s="1"/>
  <c r="H111" i="56"/>
  <c r="D111" i="56" s="1"/>
  <c r="H112" i="56"/>
  <c r="D112" i="56" s="1"/>
  <c r="H113" i="56"/>
  <c r="D113" i="56" s="1"/>
  <c r="H114" i="56"/>
  <c r="D114" i="56" s="1"/>
  <c r="H115" i="56"/>
  <c r="D115" i="56" s="1"/>
  <c r="H116" i="56"/>
  <c r="D116" i="56" s="1"/>
  <c r="H117" i="56"/>
  <c r="D117" i="56" s="1"/>
  <c r="H118" i="56"/>
  <c r="D118" i="56" s="1"/>
  <c r="H119" i="56"/>
  <c r="D119" i="56" s="1"/>
  <c r="H120" i="56"/>
  <c r="D120" i="56" s="1"/>
  <c r="H121" i="56"/>
  <c r="D121" i="56" s="1"/>
  <c r="H122" i="56"/>
  <c r="D122" i="56" s="1"/>
  <c r="H123" i="56"/>
  <c r="D123" i="56" s="1"/>
  <c r="H124" i="56"/>
  <c r="D124" i="56" s="1"/>
  <c r="H125" i="56"/>
  <c r="D125" i="56" s="1"/>
  <c r="H126" i="56"/>
  <c r="D126" i="56" s="1"/>
  <c r="H127" i="56"/>
  <c r="D127" i="56" s="1"/>
  <c r="H128" i="56"/>
  <c r="D128" i="56" s="1"/>
  <c r="H129" i="56"/>
  <c r="D129" i="56" s="1"/>
  <c r="H130" i="56"/>
  <c r="D130" i="56" s="1"/>
  <c r="H131" i="56"/>
  <c r="D131" i="56" s="1"/>
  <c r="H132" i="56"/>
  <c r="D132" i="56" s="1"/>
  <c r="H133" i="56"/>
  <c r="D133" i="56" s="1"/>
  <c r="H134" i="56"/>
  <c r="D134" i="56" s="1"/>
  <c r="H135" i="56"/>
  <c r="D135" i="56" s="1"/>
  <c r="H136" i="56"/>
  <c r="D136" i="56" s="1"/>
  <c r="H137" i="56"/>
  <c r="D137" i="56" s="1"/>
  <c r="H138" i="56"/>
  <c r="H139" i="56"/>
  <c r="D139" i="56" s="1"/>
  <c r="H140" i="56"/>
  <c r="D140" i="56" s="1"/>
  <c r="H141" i="56"/>
  <c r="D141" i="56" s="1"/>
  <c r="H142" i="56"/>
  <c r="D142" i="56" s="1"/>
  <c r="H143" i="56"/>
  <c r="D143" i="56" s="1"/>
  <c r="H144" i="56"/>
  <c r="D144" i="56" s="1"/>
  <c r="H145" i="56"/>
  <c r="D145" i="56" s="1"/>
  <c r="H146" i="56"/>
  <c r="D146" i="56" s="1"/>
  <c r="H147" i="56"/>
  <c r="D147" i="56" s="1"/>
  <c r="H148" i="56"/>
  <c r="D148" i="56" s="1"/>
  <c r="H149" i="56"/>
  <c r="D149" i="56" s="1"/>
  <c r="H150" i="56"/>
  <c r="D150" i="56" s="1"/>
  <c r="H151" i="56"/>
  <c r="D151" i="56" s="1"/>
  <c r="H152" i="56"/>
  <c r="D152" i="56" s="1"/>
  <c r="H153" i="56"/>
  <c r="D153" i="56" s="1"/>
  <c r="H154" i="56"/>
  <c r="D154" i="56" s="1"/>
  <c r="H155" i="56"/>
  <c r="D155" i="56" s="1"/>
  <c r="H156" i="56"/>
  <c r="D156" i="56" s="1"/>
  <c r="H157" i="56"/>
  <c r="D157" i="56" s="1"/>
  <c r="H158" i="56"/>
  <c r="D158" i="56" s="1"/>
  <c r="H159" i="56"/>
  <c r="D159" i="56" s="1"/>
  <c r="H160" i="56"/>
  <c r="D160" i="56" s="1"/>
  <c r="H161" i="56"/>
  <c r="D161" i="56" s="1"/>
  <c r="H162" i="56"/>
  <c r="D162" i="56" s="1"/>
  <c r="H163" i="56"/>
  <c r="D163" i="56" s="1"/>
  <c r="H164" i="56"/>
  <c r="D164" i="56" s="1"/>
  <c r="H165" i="56"/>
  <c r="D165" i="56" s="1"/>
  <c r="H166" i="56"/>
  <c r="D166" i="56" s="1"/>
  <c r="H167" i="56"/>
  <c r="D167" i="56" s="1"/>
  <c r="H168" i="56"/>
  <c r="D168" i="56" s="1"/>
  <c r="H169" i="56"/>
  <c r="D169" i="56" s="1"/>
  <c r="H170" i="56"/>
  <c r="H171" i="56"/>
  <c r="D171" i="56" s="1"/>
  <c r="H172" i="56"/>
  <c r="D172" i="56" s="1"/>
  <c r="H173" i="56"/>
  <c r="D173" i="56" s="1"/>
  <c r="H174" i="56"/>
  <c r="D174" i="56" s="1"/>
  <c r="H175" i="56"/>
  <c r="D175" i="56" s="1"/>
  <c r="H176" i="56"/>
  <c r="D176" i="56" s="1"/>
  <c r="H177" i="56"/>
  <c r="D177" i="56" s="1"/>
  <c r="H178" i="56"/>
  <c r="D178" i="56" s="1"/>
  <c r="H179" i="56"/>
  <c r="D179" i="56" s="1"/>
  <c r="H180" i="56"/>
  <c r="D180" i="56" s="1"/>
  <c r="H181" i="56"/>
  <c r="D181" i="56" s="1"/>
  <c r="H182" i="56"/>
  <c r="D182" i="56" s="1"/>
  <c r="H183" i="56"/>
  <c r="D183" i="56" s="1"/>
  <c r="H184" i="56"/>
  <c r="D184" i="56" s="1"/>
  <c r="H185" i="56"/>
  <c r="D185" i="56" s="1"/>
  <c r="H186" i="56"/>
  <c r="D186" i="56" s="1"/>
  <c r="H187" i="56"/>
  <c r="D187" i="56" s="1"/>
  <c r="H188" i="56"/>
  <c r="D188" i="56" s="1"/>
  <c r="H189" i="56"/>
  <c r="D189" i="56" s="1"/>
  <c r="H190" i="56"/>
  <c r="D190" i="56" s="1"/>
  <c r="H191" i="56"/>
  <c r="D191" i="56" s="1"/>
  <c r="H192" i="56"/>
  <c r="D192" i="56" s="1"/>
  <c r="H193" i="56"/>
  <c r="D193" i="56" s="1"/>
  <c r="H194" i="56"/>
  <c r="D194" i="56" s="1"/>
  <c r="H195" i="56"/>
  <c r="D195" i="56" s="1"/>
  <c r="H196" i="56"/>
  <c r="D196" i="56" s="1"/>
  <c r="H197" i="56"/>
  <c r="D197" i="56" s="1"/>
  <c r="H198" i="56"/>
  <c r="D198" i="56" s="1"/>
  <c r="H199" i="56"/>
  <c r="D199" i="56" s="1"/>
  <c r="H200" i="56"/>
  <c r="D200" i="56" s="1"/>
  <c r="H201" i="56"/>
  <c r="D201" i="56" s="1"/>
  <c r="H202" i="56"/>
  <c r="D202" i="56" s="1"/>
  <c r="H203" i="56"/>
  <c r="D203" i="56" s="1"/>
  <c r="H3" i="56"/>
  <c r="D3" i="56" s="1"/>
  <c r="H4" i="56"/>
  <c r="D4" i="56" s="1"/>
  <c r="H5" i="56"/>
  <c r="D5" i="56" s="1"/>
  <c r="H6" i="56"/>
  <c r="D6" i="56" s="1"/>
  <c r="H7" i="56"/>
  <c r="D7" i="56" s="1"/>
  <c r="H8" i="56"/>
  <c r="D8" i="56" s="1"/>
  <c r="H9" i="56"/>
  <c r="D9" i="56" s="1"/>
  <c r="H10" i="56"/>
  <c r="D10" i="56" s="1"/>
  <c r="H11" i="56"/>
  <c r="D11" i="56" s="1"/>
  <c r="H12" i="56"/>
  <c r="D12" i="56" s="1"/>
  <c r="H13" i="56"/>
  <c r="D13" i="56" s="1"/>
  <c r="H14" i="56"/>
  <c r="D14" i="56" s="1"/>
  <c r="H15" i="56"/>
  <c r="D15" i="56" s="1"/>
  <c r="H16" i="56"/>
  <c r="D16" i="56" s="1"/>
  <c r="H17" i="56"/>
  <c r="D17" i="56" s="1"/>
  <c r="H18" i="56"/>
  <c r="D18" i="56" s="1"/>
  <c r="H2" i="56"/>
  <c r="D2" i="56" s="1"/>
  <c r="Z10" i="12"/>
  <c r="Z8" i="12"/>
  <c r="Z9" i="12"/>
  <c r="Z12" i="12"/>
  <c r="Z11" i="12"/>
  <c r="Z16" i="12"/>
  <c r="Z13" i="12"/>
  <c r="Z14" i="12"/>
  <c r="Z15" i="12"/>
  <c r="Z22" i="12"/>
  <c r="Z17" i="12"/>
  <c r="Z20" i="12"/>
  <c r="Z18" i="12"/>
  <c r="Z19" i="12"/>
  <c r="Z21" i="12"/>
  <c r="Z37" i="12"/>
  <c r="Z33" i="12"/>
  <c r="Z34" i="12"/>
  <c r="Z31" i="12"/>
  <c r="Z35" i="12"/>
  <c r="Z36" i="12"/>
  <c r="Z32" i="12"/>
  <c r="Z27" i="12"/>
  <c r="Z24" i="12"/>
  <c r="Z25" i="12"/>
  <c r="Z26" i="12"/>
  <c r="Z30" i="12"/>
  <c r="Z28" i="12"/>
  <c r="Z29" i="12"/>
  <c r="Z41" i="12"/>
  <c r="Z39" i="12"/>
  <c r="Z40" i="12"/>
  <c r="Z157" i="12"/>
  <c r="Z156" i="12"/>
  <c r="Z158" i="12"/>
  <c r="Z159" i="12"/>
  <c r="Z56" i="12"/>
  <c r="Z54" i="12"/>
  <c r="Z55" i="12"/>
  <c r="Z7" i="12"/>
  <c r="Z5" i="12"/>
  <c r="Z6" i="12"/>
  <c r="Z71" i="12"/>
  <c r="Z67" i="12"/>
  <c r="Z59" i="12"/>
  <c r="Z64" i="12"/>
  <c r="Z62" i="12"/>
  <c r="Z68" i="12"/>
  <c r="Z60" i="12"/>
  <c r="Z65" i="12"/>
  <c r="Z57" i="12"/>
  <c r="Z69" i="12"/>
  <c r="Z70" i="12"/>
  <c r="Z61" i="12"/>
  <c r="Z66" i="12"/>
  <c r="Z58" i="12"/>
  <c r="Z63" i="12"/>
  <c r="Z75" i="12"/>
  <c r="Z72" i="12"/>
  <c r="Z73" i="12"/>
  <c r="Z74" i="12"/>
  <c r="Z182" i="12"/>
  <c r="Z176" i="12"/>
  <c r="Z172" i="12"/>
  <c r="Z179" i="12"/>
  <c r="Z173" i="12"/>
  <c r="Z174" i="12"/>
  <c r="Z180" i="12"/>
  <c r="Z181" i="12"/>
  <c r="Z175" i="12"/>
  <c r="Z42" i="12"/>
  <c r="Z43" i="12"/>
  <c r="Z185" i="12"/>
  <c r="Z178" i="12"/>
  <c r="Z183" i="12"/>
  <c r="Z184" i="12"/>
  <c r="Z177" i="12"/>
  <c r="Z116" i="12"/>
  <c r="Z113" i="12"/>
  <c r="Z114" i="12"/>
  <c r="Z115" i="12"/>
  <c r="Z122" i="12"/>
  <c r="Z119" i="12"/>
  <c r="Z117" i="12"/>
  <c r="Z118" i="12"/>
  <c r="Z120" i="12"/>
  <c r="Z121" i="12"/>
  <c r="Z127" i="12"/>
  <c r="Z125" i="12"/>
  <c r="Z123" i="12"/>
  <c r="Z124" i="12"/>
  <c r="Z126" i="12"/>
  <c r="Z131" i="12"/>
  <c r="Z128" i="12"/>
  <c r="Z129" i="12"/>
  <c r="Z130" i="12"/>
  <c r="Z135" i="12"/>
  <c r="Z132" i="12"/>
  <c r="Z133" i="12"/>
  <c r="Z134" i="12"/>
  <c r="Z141" i="12"/>
  <c r="Z136" i="12"/>
  <c r="Z137" i="12"/>
  <c r="Z138" i="12"/>
  <c r="Z139" i="12"/>
  <c r="Z140" i="12"/>
  <c r="Z146" i="12"/>
  <c r="Z142" i="12"/>
  <c r="Z143" i="12"/>
  <c r="Z144" i="12"/>
  <c r="Z145" i="12"/>
  <c r="Z150" i="12"/>
  <c r="Z147" i="12"/>
  <c r="Z148" i="12"/>
  <c r="Z149" i="12"/>
  <c r="Z154" i="12"/>
  <c r="Z151" i="12"/>
  <c r="Z152" i="12"/>
  <c r="Z153" i="12"/>
  <c r="Z171" i="12"/>
  <c r="Z51" i="12"/>
  <c r="Z47" i="12"/>
  <c r="Z49" i="12"/>
  <c r="Z44" i="12"/>
  <c r="Z48" i="12"/>
  <c r="Z45" i="12"/>
  <c r="Z50" i="12"/>
  <c r="Z46" i="12"/>
  <c r="Z188" i="12"/>
  <c r="Z198" i="12"/>
  <c r="Z201" i="12"/>
  <c r="Z195" i="12"/>
  <c r="Z191" i="12"/>
  <c r="Z186" i="12"/>
  <c r="Z193" i="12"/>
  <c r="Z192" i="12"/>
  <c r="Z199" i="12"/>
  <c r="Z189" i="12"/>
  <c r="Z196" i="12"/>
  <c r="Z187" i="12"/>
  <c r="Z194" i="12"/>
  <c r="Z197" i="12"/>
  <c r="Z190" i="12"/>
  <c r="Z200" i="12"/>
  <c r="Z77" i="12"/>
  <c r="Z79" i="12"/>
  <c r="Z80" i="12"/>
  <c r="Z81" i="12"/>
  <c r="Z78" i="12"/>
  <c r="Z76" i="12"/>
  <c r="Z82" i="12"/>
  <c r="Z83" i="12"/>
  <c r="Z84" i="12"/>
  <c r="Z85" i="12"/>
  <c r="Z86" i="12"/>
  <c r="Z89" i="12"/>
  <c r="Z88" i="12"/>
  <c r="Z87" i="12"/>
  <c r="Z110" i="12"/>
  <c r="Z111" i="12"/>
  <c r="Z104" i="12"/>
  <c r="Z106" i="12"/>
  <c r="Z105" i="12"/>
  <c r="Z109" i="12"/>
  <c r="Z108" i="12"/>
  <c r="Z107" i="12"/>
  <c r="Z93" i="12"/>
  <c r="Z92" i="12"/>
  <c r="Z90" i="12"/>
  <c r="Z91" i="12"/>
  <c r="Z97" i="12"/>
  <c r="Z94" i="12"/>
  <c r="Z96" i="12"/>
  <c r="Z95" i="12"/>
  <c r="Z100" i="12"/>
  <c r="Z99" i="12"/>
  <c r="Z98" i="12"/>
  <c r="Z101" i="12"/>
  <c r="Z103" i="12"/>
  <c r="Z102" i="12"/>
  <c r="Z112" i="12"/>
  <c r="Z4" i="12"/>
  <c r="Z3" i="12"/>
  <c r="Z38" i="12"/>
  <c r="Z52" i="12"/>
  <c r="Z2" i="12"/>
  <c r="Z53" i="12"/>
  <c r="Z155" i="12"/>
  <c r="Z160" i="12"/>
  <c r="Z161" i="12"/>
  <c r="Z162" i="12"/>
  <c r="Z164" i="12"/>
  <c r="Z165" i="12"/>
  <c r="Z166" i="12"/>
  <c r="Z167" i="12"/>
  <c r="Z168" i="12"/>
  <c r="Z169" i="12"/>
  <c r="Z170" i="12"/>
  <c r="Z202" i="12"/>
  <c r="Z203" i="12"/>
  <c r="Z163" i="12"/>
  <c r="Z23" i="12"/>
  <c r="M181" i="57" l="1"/>
  <c r="D166" i="57"/>
  <c r="I81" i="57"/>
  <c r="K166" i="57"/>
  <c r="I63" i="57"/>
  <c r="I100" i="57"/>
  <c r="G119" i="57"/>
  <c r="I104" i="57"/>
  <c r="I178" i="57"/>
  <c r="M30" i="57"/>
  <c r="Q89" i="57"/>
  <c r="I192" i="57"/>
  <c r="K175" i="57"/>
  <c r="K192" i="57"/>
  <c r="O192" i="57"/>
  <c r="G20" i="57"/>
  <c r="M55" i="57"/>
  <c r="S64" i="57"/>
  <c r="K130" i="57"/>
  <c r="I159" i="57"/>
  <c r="S181" i="57"/>
  <c r="S192" i="57"/>
  <c r="S22" i="57"/>
  <c r="S57" i="57"/>
  <c r="I72" i="57"/>
  <c r="K159" i="57"/>
  <c r="D123" i="57"/>
  <c r="D156" i="57"/>
  <c r="M36" i="57"/>
  <c r="K109" i="57"/>
  <c r="D115" i="57"/>
  <c r="G116" i="57"/>
  <c r="I202" i="57"/>
  <c r="I94" i="57"/>
  <c r="K116" i="57"/>
  <c r="D141" i="57"/>
  <c r="G171" i="57"/>
  <c r="D193" i="57"/>
  <c r="K202" i="57"/>
  <c r="O116" i="57"/>
  <c r="M202" i="57"/>
  <c r="K63" i="57"/>
  <c r="K114" i="57"/>
  <c r="O115" i="57"/>
  <c r="K156" i="57"/>
  <c r="M159" i="57"/>
  <c r="D177" i="57"/>
  <c r="Q56" i="57"/>
  <c r="G155" i="57"/>
  <c r="O156" i="57"/>
  <c r="K177" i="57"/>
  <c r="D194" i="57"/>
  <c r="D197" i="57"/>
  <c r="K155" i="57"/>
  <c r="M182" i="57"/>
  <c r="I96" i="57"/>
  <c r="O109" i="57"/>
  <c r="G167" i="57"/>
  <c r="K181" i="57"/>
  <c r="O182" i="57"/>
  <c r="K194" i="57"/>
  <c r="D175" i="57"/>
  <c r="D46" i="57"/>
  <c r="M63" i="57"/>
  <c r="Q75" i="57"/>
  <c r="I86" i="57"/>
  <c r="M113" i="57"/>
  <c r="Q116" i="57"/>
  <c r="O125" i="57"/>
  <c r="K149" i="57"/>
  <c r="S155" i="57"/>
  <c r="S159" i="57"/>
  <c r="D161" i="57"/>
  <c r="D164" i="57"/>
  <c r="I165" i="57"/>
  <c r="S166" i="57"/>
  <c r="I175" i="57"/>
  <c r="K176" i="57"/>
  <c r="G177" i="57"/>
  <c r="O180" i="57"/>
  <c r="K186" i="57"/>
  <c r="G187" i="57"/>
  <c r="I188" i="57"/>
  <c r="M192" i="57"/>
  <c r="G193" i="57"/>
  <c r="I194" i="57"/>
  <c r="S201" i="57"/>
  <c r="Q5" i="57"/>
  <c r="I14" i="57"/>
  <c r="G48" i="57"/>
  <c r="I62" i="57"/>
  <c r="I70" i="57"/>
  <c r="I88" i="57"/>
  <c r="O113" i="57"/>
  <c r="M129" i="57"/>
  <c r="K132" i="57"/>
  <c r="G135" i="57"/>
  <c r="M148" i="57"/>
  <c r="M149" i="57"/>
  <c r="S154" i="57"/>
  <c r="M165" i="57"/>
  <c r="K172" i="57"/>
  <c r="M176" i="57"/>
  <c r="M186" i="57"/>
  <c r="K187" i="57"/>
  <c r="K188" i="57"/>
  <c r="M191" i="57"/>
  <c r="I2" i="57"/>
  <c r="K48" i="57"/>
  <c r="M132" i="57"/>
  <c r="O148" i="57"/>
  <c r="I161" i="57"/>
  <c r="K164" i="57"/>
  <c r="M175" i="57"/>
  <c r="O176" i="57"/>
  <c r="M177" i="57"/>
  <c r="O186" i="57"/>
  <c r="M187" i="57"/>
  <c r="M188" i="57"/>
  <c r="M193" i="57"/>
  <c r="S2" i="57"/>
  <c r="D4" i="57"/>
  <c r="M22" i="57"/>
  <c r="Q81" i="57"/>
  <c r="D116" i="57"/>
  <c r="O132" i="57"/>
  <c r="D147" i="57"/>
  <c r="S148" i="57"/>
  <c r="K151" i="57"/>
  <c r="D159" i="57"/>
  <c r="M161" i="57"/>
  <c r="O164" i="57"/>
  <c r="K170" i="57"/>
  <c r="I171" i="57"/>
  <c r="S175" i="57"/>
  <c r="G183" i="57"/>
  <c r="S186" i="57"/>
  <c r="S187" i="57"/>
  <c r="O188" i="57"/>
  <c r="D132" i="57"/>
  <c r="K56" i="57"/>
  <c r="I59" i="57"/>
  <c r="D109" i="57"/>
  <c r="Q132" i="57"/>
  <c r="S161" i="57"/>
  <c r="D167" i="57"/>
  <c r="M170" i="57"/>
  <c r="K171" i="57"/>
  <c r="K182" i="57"/>
  <c r="S188" i="57"/>
  <c r="D8" i="57"/>
  <c r="I30" i="57"/>
  <c r="M56" i="57"/>
  <c r="I76" i="57"/>
  <c r="I98" i="57"/>
  <c r="K115" i="57"/>
  <c r="O170" i="57"/>
  <c r="D137" i="57"/>
  <c r="D163" i="57"/>
  <c r="Q9" i="57"/>
  <c r="S14" i="57"/>
  <c r="S30" i="57"/>
  <c r="G46" i="57"/>
  <c r="I50" i="57"/>
  <c r="Q51" i="57"/>
  <c r="D53" i="57"/>
  <c r="S66" i="57"/>
  <c r="K71" i="57"/>
  <c r="K85" i="57"/>
  <c r="M97" i="57"/>
  <c r="I102" i="57"/>
  <c r="G123" i="57"/>
  <c r="D125" i="57"/>
  <c r="D131" i="57"/>
  <c r="G141" i="57"/>
  <c r="M164" i="57"/>
  <c r="K165" i="57"/>
  <c r="M166" i="57"/>
  <c r="S170" i="57"/>
  <c r="S171" i="57"/>
  <c r="S177" i="57"/>
  <c r="S182" i="57"/>
  <c r="S191" i="57"/>
  <c r="G197" i="57"/>
  <c r="D38" i="57"/>
  <c r="S6" i="57"/>
  <c r="O38" i="57"/>
  <c r="I46" i="57"/>
  <c r="K50" i="57"/>
  <c r="O54" i="57"/>
  <c r="I65" i="57"/>
  <c r="Q71" i="57"/>
  <c r="I77" i="57"/>
  <c r="M85" i="57"/>
  <c r="G107" i="57"/>
  <c r="G111" i="57"/>
  <c r="G121" i="57"/>
  <c r="G127" i="57"/>
  <c r="G137" i="57"/>
  <c r="K141" i="57"/>
  <c r="D143" i="57"/>
  <c r="K144" i="57"/>
  <c r="I145" i="57"/>
  <c r="K146" i="57"/>
  <c r="O196" i="57"/>
  <c r="K197" i="57"/>
  <c r="G198" i="57"/>
  <c r="D54" i="57"/>
  <c r="D121" i="57"/>
  <c r="D127" i="57"/>
  <c r="D144" i="57"/>
  <c r="I26" i="57"/>
  <c r="I34" i="57"/>
  <c r="D42" i="57"/>
  <c r="M46" i="57"/>
  <c r="M50" i="57"/>
  <c r="M53" i="57"/>
  <c r="Q54" i="57"/>
  <c r="K65" i="57"/>
  <c r="Q77" i="57"/>
  <c r="I111" i="57"/>
  <c r="I121" i="57"/>
  <c r="G125" i="57"/>
  <c r="I127" i="57"/>
  <c r="I131" i="57"/>
  <c r="I137" i="57"/>
  <c r="M144" i="57"/>
  <c r="K145" i="57"/>
  <c r="O146" i="57"/>
  <c r="D150" i="57"/>
  <c r="D151" i="57"/>
  <c r="S164" i="57"/>
  <c r="M197" i="57"/>
  <c r="I198" i="57"/>
  <c r="D202" i="57"/>
  <c r="D107" i="57"/>
  <c r="D2" i="57"/>
  <c r="I8" i="57"/>
  <c r="I20" i="57"/>
  <c r="M26" i="57"/>
  <c r="M34" i="57"/>
  <c r="Q37" i="57"/>
  <c r="O46" i="57"/>
  <c r="S49" i="57"/>
  <c r="O50" i="57"/>
  <c r="Q65" i="57"/>
  <c r="S70" i="57"/>
  <c r="S82" i="57"/>
  <c r="I109" i="57"/>
  <c r="K111" i="57"/>
  <c r="D117" i="57"/>
  <c r="K121" i="57"/>
  <c r="I125" i="57"/>
  <c r="K127" i="57"/>
  <c r="K131" i="57"/>
  <c r="G132" i="57"/>
  <c r="D133" i="57"/>
  <c r="K137" i="57"/>
  <c r="O144" i="57"/>
  <c r="M145" i="57"/>
  <c r="D148" i="57"/>
  <c r="M154" i="57"/>
  <c r="I155" i="57"/>
  <c r="K160" i="57"/>
  <c r="G161" i="57"/>
  <c r="D188" i="57"/>
  <c r="S197" i="57"/>
  <c r="K198" i="57"/>
  <c r="G201" i="57"/>
  <c r="D146" i="57"/>
  <c r="S20" i="57"/>
  <c r="D22" i="57"/>
  <c r="Q23" i="57"/>
  <c r="S26" i="57"/>
  <c r="S34" i="57"/>
  <c r="G42" i="57"/>
  <c r="I75" i="57"/>
  <c r="S76" i="57"/>
  <c r="M111" i="57"/>
  <c r="M121" i="57"/>
  <c r="K125" i="57"/>
  <c r="M127" i="57"/>
  <c r="M131" i="57"/>
  <c r="M137" i="57"/>
  <c r="S144" i="57"/>
  <c r="I149" i="57"/>
  <c r="K150" i="57"/>
  <c r="G151" i="57"/>
  <c r="O154" i="57"/>
  <c r="M160" i="57"/>
  <c r="D172" i="57"/>
  <c r="D178" i="57"/>
  <c r="G181" i="57"/>
  <c r="I182" i="57"/>
  <c r="D183" i="57"/>
  <c r="M198" i="57"/>
  <c r="K201" i="57"/>
  <c r="G202" i="57"/>
  <c r="D111" i="57"/>
  <c r="D198" i="57"/>
  <c r="D44" i="57"/>
  <c r="I48" i="57"/>
  <c r="I56" i="57"/>
  <c r="K75" i="57"/>
  <c r="K81" i="57"/>
  <c r="M91" i="57"/>
  <c r="M109" i="57"/>
  <c r="O111" i="57"/>
  <c r="G117" i="57"/>
  <c r="D119" i="57"/>
  <c r="O121" i="57"/>
  <c r="M125" i="57"/>
  <c r="O127" i="57"/>
  <c r="O131" i="57"/>
  <c r="D135" i="57"/>
  <c r="O137" i="57"/>
  <c r="M150" i="57"/>
  <c r="O160" i="57"/>
  <c r="M201" i="57"/>
  <c r="I4" i="57"/>
  <c r="S8" i="57"/>
  <c r="Q10" i="57"/>
  <c r="S10" i="57"/>
  <c r="D10" i="57"/>
  <c r="Q28" i="57"/>
  <c r="S28" i="57"/>
  <c r="M28" i="57"/>
  <c r="I28" i="57"/>
  <c r="Q36" i="57"/>
  <c r="K36" i="57"/>
  <c r="I36" i="57"/>
  <c r="G36" i="57"/>
  <c r="D40" i="57"/>
  <c r="G44" i="57"/>
  <c r="K55" i="57"/>
  <c r="I55" i="57"/>
  <c r="D55" i="57"/>
  <c r="Q59" i="57"/>
  <c r="M59" i="57"/>
  <c r="K59" i="57"/>
  <c r="I80" i="57"/>
  <c r="M83" i="57"/>
  <c r="Q83" i="57"/>
  <c r="K83" i="57"/>
  <c r="I83" i="57"/>
  <c r="Q113" i="57"/>
  <c r="K113" i="57"/>
  <c r="I113" i="57"/>
  <c r="G113" i="57"/>
  <c r="D113" i="57"/>
  <c r="Q133" i="57"/>
  <c r="O133" i="57"/>
  <c r="M133" i="57"/>
  <c r="K133" i="57"/>
  <c r="I133" i="57"/>
  <c r="G133" i="57"/>
  <c r="Q143" i="57"/>
  <c r="O143" i="57"/>
  <c r="M143" i="57"/>
  <c r="K143" i="57"/>
  <c r="I143" i="57"/>
  <c r="G143" i="57"/>
  <c r="M153" i="57"/>
  <c r="Q179" i="57"/>
  <c r="S179" i="57"/>
  <c r="M179" i="57"/>
  <c r="K179" i="57"/>
  <c r="G179" i="57"/>
  <c r="G52" i="57"/>
  <c r="Q52" i="57"/>
  <c r="M52" i="57"/>
  <c r="K52" i="57"/>
  <c r="Q185" i="57"/>
  <c r="M185" i="57"/>
  <c r="K185" i="57"/>
  <c r="G185" i="57"/>
  <c r="D185" i="57"/>
  <c r="S4" i="57"/>
  <c r="Q12" i="57"/>
  <c r="D12" i="57"/>
  <c r="I16" i="57"/>
  <c r="Q18" i="57"/>
  <c r="S18" i="57"/>
  <c r="G18" i="57"/>
  <c r="M43" i="57"/>
  <c r="Q43" i="57"/>
  <c r="M73" i="57"/>
  <c r="Q73" i="57"/>
  <c r="K73" i="57"/>
  <c r="I73" i="57"/>
  <c r="M79" i="57"/>
  <c r="Q79" i="57"/>
  <c r="K79" i="57"/>
  <c r="S80" i="57"/>
  <c r="S90" i="57"/>
  <c r="I90" i="57"/>
  <c r="Q129" i="57"/>
  <c r="K129" i="57"/>
  <c r="I129" i="57"/>
  <c r="G129" i="57"/>
  <c r="D129" i="57"/>
  <c r="I152" i="57"/>
  <c r="S152" i="57"/>
  <c r="O152" i="57"/>
  <c r="M152" i="57"/>
  <c r="K152" i="57"/>
  <c r="D179" i="57"/>
  <c r="S185" i="57"/>
  <c r="Q200" i="57"/>
  <c r="M200" i="57"/>
  <c r="K200" i="57"/>
  <c r="I200" i="57"/>
  <c r="G200" i="57"/>
  <c r="Q203" i="57"/>
  <c r="S203" i="57"/>
  <c r="M203" i="57"/>
  <c r="K203" i="57"/>
  <c r="G203" i="57"/>
  <c r="Q153" i="57"/>
  <c r="K153" i="57"/>
  <c r="I153" i="57"/>
  <c r="G153" i="57"/>
  <c r="D153" i="57"/>
  <c r="Q95" i="57"/>
  <c r="M95" i="57"/>
  <c r="Q195" i="57"/>
  <c r="S195" i="57"/>
  <c r="M195" i="57"/>
  <c r="K195" i="57"/>
  <c r="G195" i="57"/>
  <c r="D6" i="57"/>
  <c r="D18" i="57"/>
  <c r="G40" i="57"/>
  <c r="Q42" i="57"/>
  <c r="O42" i="57"/>
  <c r="M42" i="57"/>
  <c r="K42" i="57"/>
  <c r="I42" i="57"/>
  <c r="O53" i="57"/>
  <c r="K53" i="57"/>
  <c r="I53" i="57"/>
  <c r="G53" i="57"/>
  <c r="M67" i="57"/>
  <c r="Q67" i="57"/>
  <c r="K67" i="57"/>
  <c r="I67" i="57"/>
  <c r="M69" i="57"/>
  <c r="Q69" i="57"/>
  <c r="Q157" i="57"/>
  <c r="S157" i="57"/>
  <c r="M157" i="57"/>
  <c r="K157" i="57"/>
  <c r="I157" i="57"/>
  <c r="G157" i="57"/>
  <c r="Q163" i="57"/>
  <c r="M163" i="57"/>
  <c r="K163" i="57"/>
  <c r="I163" i="57"/>
  <c r="G163" i="57"/>
  <c r="G184" i="57"/>
  <c r="S184" i="57"/>
  <c r="O184" i="57"/>
  <c r="M184" i="57"/>
  <c r="K184" i="57"/>
  <c r="I184" i="57"/>
  <c r="D200" i="57"/>
  <c r="D203" i="57"/>
  <c r="I168" i="57"/>
  <c r="S168" i="57"/>
  <c r="O168" i="57"/>
  <c r="M168" i="57"/>
  <c r="K168" i="57"/>
  <c r="I108" i="57"/>
  <c r="O108" i="57"/>
  <c r="K108" i="57"/>
  <c r="G108" i="57"/>
  <c r="D108" i="57"/>
  <c r="Q61" i="57"/>
  <c r="M61" i="57"/>
  <c r="Q139" i="57"/>
  <c r="O139" i="57"/>
  <c r="M139" i="57"/>
  <c r="K139" i="57"/>
  <c r="I139" i="57"/>
  <c r="G139" i="57"/>
  <c r="Q169" i="57"/>
  <c r="K169" i="57"/>
  <c r="I169" i="57"/>
  <c r="G169" i="57"/>
  <c r="D169" i="57"/>
  <c r="G190" i="57"/>
  <c r="O190" i="57"/>
  <c r="M190" i="57"/>
  <c r="K190" i="57"/>
  <c r="I190" i="57"/>
  <c r="Q16" i="57"/>
  <c r="D16" i="57"/>
  <c r="D168" i="57"/>
  <c r="I6" i="57"/>
  <c r="S12" i="57"/>
  <c r="D14" i="57"/>
  <c r="Q15" i="57"/>
  <c r="I18" i="57"/>
  <c r="Q20" i="57"/>
  <c r="D20" i="57"/>
  <c r="O20" i="57"/>
  <c r="Q24" i="57"/>
  <c r="S24" i="57"/>
  <c r="M24" i="57"/>
  <c r="I24" i="57"/>
  <c r="Q32" i="57"/>
  <c r="S32" i="57"/>
  <c r="M32" i="57"/>
  <c r="I32" i="57"/>
  <c r="S36" i="57"/>
  <c r="Q38" i="57"/>
  <c r="M38" i="57"/>
  <c r="K38" i="57"/>
  <c r="I38" i="57"/>
  <c r="G38" i="57"/>
  <c r="S55" i="57"/>
  <c r="Q62" i="57"/>
  <c r="I69" i="57"/>
  <c r="Q84" i="57"/>
  <c r="S84" i="57"/>
  <c r="I84" i="57"/>
  <c r="I106" i="57"/>
  <c r="K106" i="57"/>
  <c r="I122" i="57"/>
  <c r="K122" i="57"/>
  <c r="O129" i="57"/>
  <c r="D139" i="57"/>
  <c r="S142" i="57"/>
  <c r="K142" i="57"/>
  <c r="D142" i="57"/>
  <c r="I174" i="57"/>
  <c r="O174" i="57"/>
  <c r="M174" i="57"/>
  <c r="K174" i="57"/>
  <c r="D174" i="57"/>
  <c r="D190" i="57"/>
  <c r="G196" i="57"/>
  <c r="M196" i="57"/>
  <c r="K196" i="57"/>
  <c r="I196" i="57"/>
  <c r="D196" i="57"/>
  <c r="Q199" i="57"/>
  <c r="S199" i="57"/>
  <c r="M199" i="57"/>
  <c r="K199" i="57"/>
  <c r="G199" i="57"/>
  <c r="O200" i="57"/>
  <c r="M41" i="57"/>
  <c r="Q41" i="57"/>
  <c r="S60" i="57"/>
  <c r="Q60" i="57"/>
  <c r="Q68" i="57"/>
  <c r="S68" i="57"/>
  <c r="I68" i="57"/>
  <c r="S138" i="57"/>
  <c r="O138" i="57"/>
  <c r="K138" i="57"/>
  <c r="Q189" i="57"/>
  <c r="S189" i="57"/>
  <c r="M189" i="57"/>
  <c r="K189" i="57"/>
  <c r="G189" i="57"/>
  <c r="M13" i="57"/>
  <c r="Q13" i="57"/>
  <c r="Q40" i="57"/>
  <c r="O40" i="57"/>
  <c r="M40" i="57"/>
  <c r="K40" i="57"/>
  <c r="I40" i="57"/>
  <c r="I124" i="57"/>
  <c r="O124" i="57"/>
  <c r="K124" i="57"/>
  <c r="G124" i="57"/>
  <c r="D124" i="57"/>
  <c r="I158" i="57"/>
  <c r="O158" i="57"/>
  <c r="M158" i="57"/>
  <c r="K158" i="57"/>
  <c r="D158" i="57"/>
  <c r="Q173" i="57"/>
  <c r="S173" i="57"/>
  <c r="M173" i="57"/>
  <c r="K173" i="57"/>
  <c r="I173" i="57"/>
  <c r="G173" i="57"/>
  <c r="Q44" i="57"/>
  <c r="O44" i="57"/>
  <c r="M44" i="57"/>
  <c r="K44" i="57"/>
  <c r="I44" i="57"/>
  <c r="I61" i="57"/>
  <c r="Q74" i="57"/>
  <c r="S74" i="57"/>
  <c r="Q78" i="57"/>
  <c r="S78" i="57"/>
  <c r="I78" i="57"/>
  <c r="Q147" i="57"/>
  <c r="O147" i="57"/>
  <c r="M147" i="57"/>
  <c r="K147" i="57"/>
  <c r="I147" i="57"/>
  <c r="G147" i="57"/>
  <c r="I162" i="57"/>
  <c r="S162" i="57"/>
  <c r="O162" i="57"/>
  <c r="M162" i="57"/>
  <c r="K162" i="57"/>
  <c r="M169" i="57"/>
  <c r="G180" i="57"/>
  <c r="M180" i="57"/>
  <c r="K180" i="57"/>
  <c r="I180" i="57"/>
  <c r="D180" i="57"/>
  <c r="K46" i="57"/>
  <c r="M48" i="57"/>
  <c r="S56" i="57"/>
  <c r="I107" i="57"/>
  <c r="S109" i="57"/>
  <c r="S111" i="57"/>
  <c r="S115" i="57"/>
  <c r="I117" i="57"/>
  <c r="I119" i="57"/>
  <c r="I123" i="57"/>
  <c r="S125" i="57"/>
  <c r="S127" i="57"/>
  <c r="S131" i="57"/>
  <c r="I135" i="57"/>
  <c r="I141" i="57"/>
  <c r="O145" i="57"/>
  <c r="M146" i="57"/>
  <c r="S149" i="57"/>
  <c r="O150" i="57"/>
  <c r="I151" i="57"/>
  <c r="M155" i="57"/>
  <c r="M156" i="57"/>
  <c r="S160" i="57"/>
  <c r="K161" i="57"/>
  <c r="S165" i="57"/>
  <c r="O166" i="57"/>
  <c r="I167" i="57"/>
  <c r="M171" i="57"/>
  <c r="M172" i="57"/>
  <c r="S176" i="57"/>
  <c r="K178" i="57"/>
  <c r="K183" i="57"/>
  <c r="O48" i="57"/>
  <c r="K107" i="57"/>
  <c r="K117" i="57"/>
  <c r="K119" i="57"/>
  <c r="K123" i="57"/>
  <c r="K135" i="57"/>
  <c r="S145" i="57"/>
  <c r="K167" i="57"/>
  <c r="O172" i="57"/>
  <c r="M178" i="57"/>
  <c r="M183" i="57"/>
  <c r="D186" i="57"/>
  <c r="D191" i="57"/>
  <c r="S193" i="57"/>
  <c r="M194" i="57"/>
  <c r="O198" i="57"/>
  <c r="O202" i="57"/>
  <c r="D26" i="57"/>
  <c r="D30" i="57"/>
  <c r="D34" i="57"/>
  <c r="S48" i="57"/>
  <c r="M107" i="57"/>
  <c r="M117" i="57"/>
  <c r="M119" i="57"/>
  <c r="M123" i="57"/>
  <c r="M135" i="57"/>
  <c r="M141" i="57"/>
  <c r="D145" i="57"/>
  <c r="S146" i="57"/>
  <c r="D149" i="57"/>
  <c r="M151" i="57"/>
  <c r="D154" i="57"/>
  <c r="S156" i="57"/>
  <c r="D165" i="57"/>
  <c r="M167" i="57"/>
  <c r="D170" i="57"/>
  <c r="S172" i="57"/>
  <c r="O178" i="57"/>
  <c r="D181" i="57"/>
  <c r="S183" i="57"/>
  <c r="D192" i="57"/>
  <c r="O194" i="57"/>
  <c r="S198" i="57"/>
  <c r="D201" i="57"/>
  <c r="S202" i="57"/>
  <c r="I22" i="57"/>
  <c r="Q35" i="57"/>
  <c r="S46" i="57"/>
  <c r="D48" i="57"/>
  <c r="I66" i="57"/>
  <c r="I71" i="57"/>
  <c r="S72" i="57"/>
  <c r="K77" i="57"/>
  <c r="I82" i="57"/>
  <c r="D86" i="57"/>
  <c r="I92" i="57"/>
  <c r="O107" i="57"/>
  <c r="G109" i="57"/>
  <c r="D114" i="57"/>
  <c r="G115" i="57"/>
  <c r="O117" i="57"/>
  <c r="O119" i="57"/>
  <c r="S121" i="57"/>
  <c r="O123" i="57"/>
  <c r="D130" i="57"/>
  <c r="G131" i="57"/>
  <c r="O135" i="57"/>
  <c r="S137" i="57"/>
  <c r="O141" i="57"/>
  <c r="K148" i="57"/>
  <c r="S151" i="57"/>
  <c r="D155" i="57"/>
  <c r="G159" i="57"/>
  <c r="D160" i="57"/>
  <c r="S167" i="57"/>
  <c r="D171" i="57"/>
  <c r="G175" i="57"/>
  <c r="D176" i="57"/>
  <c r="S178" i="57"/>
  <c r="D182" i="57"/>
  <c r="I186" i="57"/>
  <c r="D187" i="57"/>
  <c r="G191" i="57"/>
  <c r="S194" i="57"/>
  <c r="S107" i="57"/>
  <c r="S117" i="57"/>
  <c r="S119" i="57"/>
  <c r="S123" i="57"/>
  <c r="S135" i="57"/>
  <c r="S141" i="57"/>
  <c r="G145" i="57"/>
  <c r="G149" i="57"/>
  <c r="K154" i="57"/>
  <c r="G165" i="57"/>
  <c r="K191" i="57"/>
  <c r="M7" i="57"/>
  <c r="M27" i="57"/>
  <c r="M29" i="57"/>
  <c r="M33" i="57"/>
  <c r="G2" i="57"/>
  <c r="O3" i="57"/>
  <c r="G4" i="57"/>
  <c r="O5" i="57"/>
  <c r="G6" i="57"/>
  <c r="O7" i="57"/>
  <c r="G8" i="57"/>
  <c r="O9" i="57"/>
  <c r="G10" i="57"/>
  <c r="O11" i="57"/>
  <c r="G12" i="57"/>
  <c r="O13" i="57"/>
  <c r="G14" i="57"/>
  <c r="O15" i="57"/>
  <c r="G16" i="57"/>
  <c r="O17" i="57"/>
  <c r="O19" i="57"/>
  <c r="O21" i="57"/>
  <c r="G22" i="57"/>
  <c r="O23" i="57"/>
  <c r="G24" i="57"/>
  <c r="O25" i="57"/>
  <c r="G26" i="57"/>
  <c r="O27" i="57"/>
  <c r="G28" i="57"/>
  <c r="O29" i="57"/>
  <c r="G30" i="57"/>
  <c r="O31" i="57"/>
  <c r="G32" i="57"/>
  <c r="O33" i="57"/>
  <c r="G34" i="57"/>
  <c r="O35" i="57"/>
  <c r="O37" i="57"/>
  <c r="O39" i="57"/>
  <c r="O41" i="57"/>
  <c r="O43" i="57"/>
  <c r="O45" i="57"/>
  <c r="O47" i="57"/>
  <c r="Q49" i="57"/>
  <c r="D51" i="57"/>
  <c r="O52" i="57"/>
  <c r="S54" i="57"/>
  <c r="D57" i="57"/>
  <c r="S58" i="57"/>
  <c r="K97" i="57"/>
  <c r="I97" i="57"/>
  <c r="G97" i="57"/>
  <c r="S97" i="57"/>
  <c r="D97" i="57"/>
  <c r="O97" i="57"/>
  <c r="M103" i="57"/>
  <c r="K103" i="57"/>
  <c r="I103" i="57"/>
  <c r="G103" i="57"/>
  <c r="S103" i="57"/>
  <c r="D103" i="57"/>
  <c r="O103" i="57"/>
  <c r="I118" i="57"/>
  <c r="O118" i="57"/>
  <c r="M118" i="57"/>
  <c r="K118" i="57"/>
  <c r="G118" i="57"/>
  <c r="D118" i="57"/>
  <c r="Q118" i="57"/>
  <c r="Q3" i="57"/>
  <c r="Q45" i="57"/>
  <c r="K87" i="57"/>
  <c r="I87" i="57"/>
  <c r="G87" i="57"/>
  <c r="S87" i="57"/>
  <c r="D87" i="57"/>
  <c r="O87" i="57"/>
  <c r="K2" i="57"/>
  <c r="D3" i="57"/>
  <c r="S3" i="57"/>
  <c r="K4" i="57"/>
  <c r="D5" i="57"/>
  <c r="S5" i="57"/>
  <c r="K6" i="57"/>
  <c r="D7" i="57"/>
  <c r="S7" i="57"/>
  <c r="K8" i="57"/>
  <c r="D9" i="57"/>
  <c r="S9" i="57"/>
  <c r="K10" i="57"/>
  <c r="D11" i="57"/>
  <c r="S11" i="57"/>
  <c r="K12" i="57"/>
  <c r="D13" i="57"/>
  <c r="S13" i="57"/>
  <c r="K14" i="57"/>
  <c r="D15" i="57"/>
  <c r="S15" i="57"/>
  <c r="K16" i="57"/>
  <c r="D17" i="57"/>
  <c r="S17" i="57"/>
  <c r="K18" i="57"/>
  <c r="D19" i="57"/>
  <c r="S19" i="57"/>
  <c r="K20" i="57"/>
  <c r="D21" i="57"/>
  <c r="S21" i="57"/>
  <c r="K22" i="57"/>
  <c r="D23" i="57"/>
  <c r="S23" i="57"/>
  <c r="K24" i="57"/>
  <c r="D25" i="57"/>
  <c r="S25" i="57"/>
  <c r="K26" i="57"/>
  <c r="D27" i="57"/>
  <c r="S27" i="57"/>
  <c r="K28" i="57"/>
  <c r="D29" i="57"/>
  <c r="S29" i="57"/>
  <c r="K30" i="57"/>
  <c r="D31" i="57"/>
  <c r="S31" i="57"/>
  <c r="K32" i="57"/>
  <c r="D33" i="57"/>
  <c r="S33" i="57"/>
  <c r="K34" i="57"/>
  <c r="D35" i="57"/>
  <c r="S35" i="57"/>
  <c r="D37" i="57"/>
  <c r="S37" i="57"/>
  <c r="D39" i="57"/>
  <c r="S39" i="57"/>
  <c r="D41" i="57"/>
  <c r="S41" i="57"/>
  <c r="D43" i="57"/>
  <c r="S43" i="57"/>
  <c r="D45" i="57"/>
  <c r="S45" i="57"/>
  <c r="D47" i="57"/>
  <c r="S47" i="57"/>
  <c r="D49" i="57"/>
  <c r="G51" i="57"/>
  <c r="S52" i="57"/>
  <c r="I57" i="57"/>
  <c r="D58" i="57"/>
  <c r="K93" i="57"/>
  <c r="I93" i="57"/>
  <c r="G93" i="57"/>
  <c r="S93" i="57"/>
  <c r="D93" i="57"/>
  <c r="O93" i="57"/>
  <c r="M105" i="57"/>
  <c r="K105" i="57"/>
  <c r="I105" i="57"/>
  <c r="G105" i="57"/>
  <c r="S105" i="57"/>
  <c r="D105" i="57"/>
  <c r="O105" i="57"/>
  <c r="I140" i="57"/>
  <c r="G140" i="57"/>
  <c r="Q140" i="57"/>
  <c r="O140" i="57"/>
  <c r="M140" i="57"/>
  <c r="K140" i="57"/>
  <c r="D140" i="57"/>
  <c r="S140" i="57"/>
  <c r="Q29" i="57"/>
  <c r="M2" i="57"/>
  <c r="M4" i="57"/>
  <c r="M6" i="57"/>
  <c r="M8" i="57"/>
  <c r="M10" i="57"/>
  <c r="M12" i="57"/>
  <c r="M14" i="57"/>
  <c r="M16" i="57"/>
  <c r="Q50" i="57"/>
  <c r="I51" i="57"/>
  <c r="D52" i="57"/>
  <c r="I54" i="57"/>
  <c r="G55" i="57"/>
  <c r="O55" i="57"/>
  <c r="K57" i="57"/>
  <c r="G59" i="57"/>
  <c r="S59" i="57"/>
  <c r="O59" i="57"/>
  <c r="M87" i="57"/>
  <c r="K99" i="57"/>
  <c r="I99" i="57"/>
  <c r="G99" i="57"/>
  <c r="S99" i="57"/>
  <c r="D99" i="57"/>
  <c r="O99" i="57"/>
  <c r="I134" i="57"/>
  <c r="O134" i="57"/>
  <c r="M134" i="57"/>
  <c r="K134" i="57"/>
  <c r="G134" i="57"/>
  <c r="D134" i="57"/>
  <c r="Q134" i="57"/>
  <c r="O2" i="57"/>
  <c r="G3" i="57"/>
  <c r="O4" i="57"/>
  <c r="G5" i="57"/>
  <c r="O6" i="57"/>
  <c r="G7" i="57"/>
  <c r="O8" i="57"/>
  <c r="G9" i="57"/>
  <c r="O10" i="57"/>
  <c r="G11" i="57"/>
  <c r="O12" i="57"/>
  <c r="G13" i="57"/>
  <c r="O14" i="57"/>
  <c r="G15" i="57"/>
  <c r="O16" i="57"/>
  <c r="G17" i="57"/>
  <c r="O18" i="57"/>
  <c r="G19" i="57"/>
  <c r="G21" i="57"/>
  <c r="O22" i="57"/>
  <c r="G23" i="57"/>
  <c r="O24" i="57"/>
  <c r="G25" i="57"/>
  <c r="O26" i="57"/>
  <c r="G27" i="57"/>
  <c r="O28" i="57"/>
  <c r="G29" i="57"/>
  <c r="O30" i="57"/>
  <c r="G31" i="57"/>
  <c r="O32" i="57"/>
  <c r="G33" i="57"/>
  <c r="O34" i="57"/>
  <c r="G35" i="57"/>
  <c r="O36" i="57"/>
  <c r="G37" i="57"/>
  <c r="G39" i="57"/>
  <c r="G41" i="57"/>
  <c r="G43" i="57"/>
  <c r="G45" i="57"/>
  <c r="G47" i="57"/>
  <c r="G49" i="57"/>
  <c r="S50" i="57"/>
  <c r="K51" i="57"/>
  <c r="K54" i="57"/>
  <c r="M57" i="57"/>
  <c r="O60" i="57"/>
  <c r="M60" i="57"/>
  <c r="K60" i="57"/>
  <c r="G60" i="57"/>
  <c r="G61" i="57"/>
  <c r="S61" i="57"/>
  <c r="D61" i="57"/>
  <c r="O61" i="57"/>
  <c r="O62" i="57"/>
  <c r="M62" i="57"/>
  <c r="K62" i="57"/>
  <c r="G62" i="57"/>
  <c r="G63" i="57"/>
  <c r="S63" i="57"/>
  <c r="D63" i="57"/>
  <c r="O63" i="57"/>
  <c r="O64" i="57"/>
  <c r="M64" i="57"/>
  <c r="K64" i="57"/>
  <c r="G64" i="57"/>
  <c r="G65" i="57"/>
  <c r="S65" i="57"/>
  <c r="D65" i="57"/>
  <c r="O65" i="57"/>
  <c r="O66" i="57"/>
  <c r="M66" i="57"/>
  <c r="K66" i="57"/>
  <c r="G66" i="57"/>
  <c r="G67" i="57"/>
  <c r="S67" i="57"/>
  <c r="D67" i="57"/>
  <c r="O67" i="57"/>
  <c r="O68" i="57"/>
  <c r="M68" i="57"/>
  <c r="K68" i="57"/>
  <c r="G68" i="57"/>
  <c r="G69" i="57"/>
  <c r="S69" i="57"/>
  <c r="D69" i="57"/>
  <c r="O69" i="57"/>
  <c r="O70" i="57"/>
  <c r="M70" i="57"/>
  <c r="K70" i="57"/>
  <c r="G70" i="57"/>
  <c r="G71" i="57"/>
  <c r="S71" i="57"/>
  <c r="D71" i="57"/>
  <c r="O71" i="57"/>
  <c r="O72" i="57"/>
  <c r="M72" i="57"/>
  <c r="K72" i="57"/>
  <c r="G72" i="57"/>
  <c r="G73" i="57"/>
  <c r="S73" i="57"/>
  <c r="D73" i="57"/>
  <c r="O73" i="57"/>
  <c r="O74" i="57"/>
  <c r="M74" i="57"/>
  <c r="K74" i="57"/>
  <c r="G74" i="57"/>
  <c r="G75" i="57"/>
  <c r="S75" i="57"/>
  <c r="D75" i="57"/>
  <c r="O75" i="57"/>
  <c r="O76" i="57"/>
  <c r="M76" i="57"/>
  <c r="K76" i="57"/>
  <c r="G76" i="57"/>
  <c r="G77" i="57"/>
  <c r="S77" i="57"/>
  <c r="D77" i="57"/>
  <c r="O77" i="57"/>
  <c r="O78" i="57"/>
  <c r="M78" i="57"/>
  <c r="K78" i="57"/>
  <c r="G78" i="57"/>
  <c r="G79" i="57"/>
  <c r="S79" i="57"/>
  <c r="D79" i="57"/>
  <c r="O79" i="57"/>
  <c r="O80" i="57"/>
  <c r="M80" i="57"/>
  <c r="K80" i="57"/>
  <c r="G80" i="57"/>
  <c r="G81" i="57"/>
  <c r="S81" i="57"/>
  <c r="D81" i="57"/>
  <c r="O81" i="57"/>
  <c r="O82" i="57"/>
  <c r="M82" i="57"/>
  <c r="K82" i="57"/>
  <c r="G82" i="57"/>
  <c r="G83" i="57"/>
  <c r="S83" i="57"/>
  <c r="D83" i="57"/>
  <c r="O83" i="57"/>
  <c r="O84" i="57"/>
  <c r="M84" i="57"/>
  <c r="K84" i="57"/>
  <c r="G84" i="57"/>
  <c r="I85" i="57"/>
  <c r="G85" i="57"/>
  <c r="S85" i="57"/>
  <c r="D85" i="57"/>
  <c r="O85" i="57"/>
  <c r="Q87" i="57"/>
  <c r="K89" i="57"/>
  <c r="I89" i="57"/>
  <c r="G89" i="57"/>
  <c r="S89" i="57"/>
  <c r="D89" i="57"/>
  <c r="O89" i="57"/>
  <c r="M93" i="57"/>
  <c r="Q105" i="57"/>
  <c r="I110" i="57"/>
  <c r="O110" i="57"/>
  <c r="M110" i="57"/>
  <c r="K110" i="57"/>
  <c r="G110" i="57"/>
  <c r="D110" i="57"/>
  <c r="Q110" i="57"/>
  <c r="I126" i="57"/>
  <c r="O126" i="57"/>
  <c r="M126" i="57"/>
  <c r="K126" i="57"/>
  <c r="G126" i="57"/>
  <c r="D126" i="57"/>
  <c r="Q126" i="57"/>
  <c r="Q11" i="57"/>
  <c r="O58" i="57"/>
  <c r="G58" i="57"/>
  <c r="I3" i="57"/>
  <c r="I5" i="57"/>
  <c r="I7" i="57"/>
  <c r="I9" i="57"/>
  <c r="I11" i="57"/>
  <c r="I13" i="57"/>
  <c r="I15" i="57"/>
  <c r="I17" i="57"/>
  <c r="I19" i="57"/>
  <c r="I21" i="57"/>
  <c r="I23" i="57"/>
  <c r="I25" i="57"/>
  <c r="I27" i="57"/>
  <c r="I29" i="57"/>
  <c r="I31" i="57"/>
  <c r="I33" i="57"/>
  <c r="I35" i="57"/>
  <c r="I37" i="57"/>
  <c r="I39" i="57"/>
  <c r="I41" i="57"/>
  <c r="I43" i="57"/>
  <c r="I45" i="57"/>
  <c r="I47" i="57"/>
  <c r="I49" i="57"/>
  <c r="D50" i="57"/>
  <c r="M51" i="57"/>
  <c r="I52" i="57"/>
  <c r="S53" i="57"/>
  <c r="M54" i="57"/>
  <c r="O56" i="57"/>
  <c r="G56" i="57"/>
  <c r="K58" i="57"/>
  <c r="D60" i="57"/>
  <c r="D62" i="57"/>
  <c r="D64" i="57"/>
  <c r="D66" i="57"/>
  <c r="D68" i="57"/>
  <c r="D70" i="57"/>
  <c r="D72" i="57"/>
  <c r="D74" i="57"/>
  <c r="D76" i="57"/>
  <c r="D78" i="57"/>
  <c r="D80" i="57"/>
  <c r="D82" i="57"/>
  <c r="D84" i="57"/>
  <c r="Q93" i="57"/>
  <c r="K95" i="57"/>
  <c r="I95" i="57"/>
  <c r="G95" i="57"/>
  <c r="S95" i="57"/>
  <c r="D95" i="57"/>
  <c r="O95" i="57"/>
  <c r="M99" i="57"/>
  <c r="Q25" i="57"/>
  <c r="Q27" i="57"/>
  <c r="Q39" i="57"/>
  <c r="K3" i="57"/>
  <c r="K5" i="57"/>
  <c r="K7" i="57"/>
  <c r="K9" i="57"/>
  <c r="K11" i="57"/>
  <c r="K13" i="57"/>
  <c r="K15" i="57"/>
  <c r="K17" i="57"/>
  <c r="K19" i="57"/>
  <c r="K21" i="57"/>
  <c r="K23" i="57"/>
  <c r="K25" i="57"/>
  <c r="K31" i="57"/>
  <c r="K33" i="57"/>
  <c r="K35" i="57"/>
  <c r="K37" i="57"/>
  <c r="K39" i="57"/>
  <c r="K41" i="57"/>
  <c r="K43" i="57"/>
  <c r="K45" i="57"/>
  <c r="K47" i="57"/>
  <c r="K49" i="57"/>
  <c r="M58" i="57"/>
  <c r="M101" i="57"/>
  <c r="K101" i="57"/>
  <c r="I101" i="57"/>
  <c r="G101" i="57"/>
  <c r="S101" i="57"/>
  <c r="D101" i="57"/>
  <c r="O101" i="57"/>
  <c r="Q17" i="57"/>
  <c r="Q19" i="57"/>
  <c r="Q21" i="57"/>
  <c r="Q31" i="57"/>
  <c r="Q47" i="57"/>
  <c r="M49" i="57"/>
  <c r="S51" i="57"/>
  <c r="G57" i="57"/>
  <c r="O57" i="57"/>
  <c r="Q58" i="57"/>
  <c r="K91" i="57"/>
  <c r="I91" i="57"/>
  <c r="G91" i="57"/>
  <c r="S91" i="57"/>
  <c r="D91" i="57"/>
  <c r="O91" i="57"/>
  <c r="G86" i="57"/>
  <c r="G88" i="57"/>
  <c r="G90" i="57"/>
  <c r="G92" i="57"/>
  <c r="G94" i="57"/>
  <c r="G96" i="57"/>
  <c r="G98" i="57"/>
  <c r="G100" i="57"/>
  <c r="G102" i="57"/>
  <c r="G104" i="57"/>
  <c r="G106" i="57"/>
  <c r="M108" i="57"/>
  <c r="D112" i="57"/>
  <c r="G114" i="57"/>
  <c r="M116" i="57"/>
  <c r="D120" i="57"/>
  <c r="G122" i="57"/>
  <c r="M124" i="57"/>
  <c r="D128" i="57"/>
  <c r="G130" i="57"/>
  <c r="D136" i="57"/>
  <c r="M138" i="57"/>
  <c r="K86" i="57"/>
  <c r="K88" i="57"/>
  <c r="K90" i="57"/>
  <c r="K92" i="57"/>
  <c r="K94" i="57"/>
  <c r="K96" i="57"/>
  <c r="K98" i="57"/>
  <c r="K100" i="57"/>
  <c r="K102" i="57"/>
  <c r="K104" i="57"/>
  <c r="M106" i="57"/>
  <c r="G112" i="57"/>
  <c r="M114" i="57"/>
  <c r="G120" i="57"/>
  <c r="M122" i="57"/>
  <c r="G128" i="57"/>
  <c r="M130" i="57"/>
  <c r="K136" i="57"/>
  <c r="Q138" i="57"/>
  <c r="M142" i="57"/>
  <c r="M86" i="57"/>
  <c r="M88" i="57"/>
  <c r="M90" i="57"/>
  <c r="M92" i="57"/>
  <c r="M94" i="57"/>
  <c r="M96" i="57"/>
  <c r="M98" i="57"/>
  <c r="M100" i="57"/>
  <c r="M102" i="57"/>
  <c r="M104" i="57"/>
  <c r="O106" i="57"/>
  <c r="S108" i="57"/>
  <c r="K112" i="57"/>
  <c r="O114" i="57"/>
  <c r="S116" i="57"/>
  <c r="K120" i="57"/>
  <c r="O122" i="57"/>
  <c r="S124" i="57"/>
  <c r="K128" i="57"/>
  <c r="O130" i="57"/>
  <c r="S132" i="57"/>
  <c r="M136" i="57"/>
  <c r="O142" i="57"/>
  <c r="O86" i="57"/>
  <c r="O88" i="57"/>
  <c r="O90" i="57"/>
  <c r="O92" i="57"/>
  <c r="O94" i="57"/>
  <c r="O96" i="57"/>
  <c r="O98" i="57"/>
  <c r="O100" i="57"/>
  <c r="O102" i="57"/>
  <c r="O104" i="57"/>
  <c r="Q106" i="57"/>
  <c r="M112" i="57"/>
  <c r="Q114" i="57"/>
  <c r="M120" i="57"/>
  <c r="Q122" i="57"/>
  <c r="M128" i="57"/>
  <c r="Q130" i="57"/>
  <c r="O136" i="57"/>
  <c r="I138" i="57"/>
  <c r="G138" i="57"/>
  <c r="Q86" i="57"/>
  <c r="Q88" i="57"/>
  <c r="Q90" i="57"/>
  <c r="Q92" i="57"/>
  <c r="Q94" i="57"/>
  <c r="Q96" i="57"/>
  <c r="Q98" i="57"/>
  <c r="Q100" i="57"/>
  <c r="Q102" i="57"/>
  <c r="Q104" i="57"/>
  <c r="S106" i="57"/>
  <c r="O112" i="57"/>
  <c r="S114" i="57"/>
  <c r="O120" i="57"/>
  <c r="S122" i="57"/>
  <c r="O128" i="57"/>
  <c r="S130" i="57"/>
  <c r="Q136" i="57"/>
  <c r="D88" i="57"/>
  <c r="D90" i="57"/>
  <c r="D92" i="57"/>
  <c r="D94" i="57"/>
  <c r="D96" i="57"/>
  <c r="D98" i="57"/>
  <c r="D100" i="57"/>
  <c r="D102" i="57"/>
  <c r="D104" i="57"/>
  <c r="Q112" i="57"/>
  <c r="Q120" i="57"/>
  <c r="Q128" i="57"/>
  <c r="I142" i="57"/>
  <c r="G142" i="57"/>
  <c r="Q142" i="57"/>
  <c r="S112" i="57"/>
  <c r="S120" i="57"/>
  <c r="S128" i="57"/>
  <c r="I136" i="57"/>
  <c r="G136" i="57"/>
  <c r="Q144" i="57"/>
  <c r="Q146" i="57"/>
  <c r="Q148" i="57"/>
  <c r="Q150" i="57"/>
  <c r="Q152" i="57"/>
  <c r="Q154" i="57"/>
  <c r="Q156" i="57"/>
  <c r="Q158" i="57"/>
  <c r="Q160" i="57"/>
  <c r="Q162" i="57"/>
  <c r="Q164" i="57"/>
  <c r="Q166" i="57"/>
  <c r="Q168" i="57"/>
  <c r="Q170" i="57"/>
  <c r="Q172" i="57"/>
  <c r="Q174" i="57"/>
  <c r="Q176" i="57"/>
  <c r="I177" i="57"/>
  <c r="Q178" i="57"/>
  <c r="I179" i="57"/>
  <c r="Q180" i="57"/>
  <c r="I181" i="57"/>
  <c r="Q182" i="57"/>
  <c r="I183" i="57"/>
  <c r="Q184" i="57"/>
  <c r="I185" i="57"/>
  <c r="Q186" i="57"/>
  <c r="I187" i="57"/>
  <c r="Q188" i="57"/>
  <c r="I189" i="57"/>
  <c r="Q190" i="57"/>
  <c r="I191" i="57"/>
  <c r="Q192" i="57"/>
  <c r="I193" i="57"/>
  <c r="Q194" i="57"/>
  <c r="I195" i="57"/>
  <c r="Q196" i="57"/>
  <c r="I197" i="57"/>
  <c r="I199" i="57"/>
  <c r="I201" i="57"/>
  <c r="I203" i="57"/>
  <c r="G144" i="57"/>
  <c r="G146" i="57"/>
  <c r="G148" i="57"/>
  <c r="O149" i="57"/>
  <c r="G150" i="57"/>
  <c r="O151" i="57"/>
  <c r="G152" i="57"/>
  <c r="O153" i="57"/>
  <c r="G154" i="57"/>
  <c r="O155" i="57"/>
  <c r="G156" i="57"/>
  <c r="O157" i="57"/>
  <c r="G158" i="57"/>
  <c r="O159" i="57"/>
  <c r="G160" i="57"/>
  <c r="O161" i="57"/>
  <c r="G162" i="57"/>
  <c r="O163" i="57"/>
  <c r="G164" i="57"/>
  <c r="O165" i="57"/>
  <c r="G166" i="57"/>
  <c r="O167" i="57"/>
  <c r="G168" i="57"/>
  <c r="O169" i="57"/>
  <c r="G170" i="57"/>
  <c r="O171" i="57"/>
  <c r="G172" i="57"/>
  <c r="O173" i="57"/>
  <c r="G174" i="57"/>
  <c r="O175" i="57"/>
  <c r="G176" i="57"/>
  <c r="O177" i="57"/>
  <c r="O179" i="57"/>
  <c r="O181" i="57"/>
  <c r="O183" i="57"/>
  <c r="O185" i="57"/>
  <c r="O187" i="57"/>
  <c r="O189" i="57"/>
  <c r="O191" i="57"/>
  <c r="O193" i="57"/>
  <c r="O195" i="57"/>
  <c r="O197" i="57"/>
  <c r="O199" i="57"/>
  <c r="O201" i="57"/>
  <c r="O203" i="57"/>
  <c r="F11" i="52"/>
  <c r="F12" i="52"/>
  <c r="F13" i="52"/>
  <c r="F14" i="52"/>
  <c r="F15" i="52"/>
  <c r="F16" i="52"/>
  <c r="F17" i="52"/>
  <c r="F18" i="52"/>
  <c r="F19" i="52"/>
  <c r="F20" i="52"/>
  <c r="F21" i="52"/>
  <c r="F22" i="52"/>
  <c r="F23" i="52"/>
  <c r="F24" i="52"/>
  <c r="F25" i="52"/>
  <c r="F26" i="52"/>
  <c r="F27" i="52"/>
  <c r="F28" i="52"/>
  <c r="F29" i="52"/>
  <c r="F30" i="52"/>
  <c r="F31" i="52"/>
  <c r="F32" i="52"/>
  <c r="F33" i="52"/>
  <c r="F34" i="52"/>
  <c r="F35" i="52"/>
  <c r="F36" i="52"/>
  <c r="F37" i="52"/>
  <c r="F38" i="52"/>
  <c r="F39" i="52"/>
  <c r="F40" i="52"/>
  <c r="F41" i="52"/>
  <c r="F42" i="52"/>
  <c r="F43" i="52"/>
  <c r="F44" i="52"/>
  <c r="F45" i="52"/>
  <c r="F46" i="52"/>
  <c r="F47" i="52"/>
  <c r="F48" i="52"/>
  <c r="F49" i="52"/>
  <c r="F50" i="52"/>
  <c r="F51" i="52"/>
  <c r="F52" i="52"/>
  <c r="F53" i="52"/>
  <c r="F54" i="52"/>
  <c r="F55" i="52"/>
  <c r="F56" i="52"/>
  <c r="F57" i="52"/>
  <c r="F58" i="52"/>
  <c r="F59" i="52"/>
  <c r="F60" i="52"/>
  <c r="F61" i="52"/>
  <c r="F62" i="52"/>
  <c r="F63" i="52"/>
  <c r="F64" i="52"/>
  <c r="F65" i="52"/>
  <c r="F66" i="52"/>
  <c r="F67" i="52"/>
  <c r="F68" i="52"/>
  <c r="F69" i="52"/>
  <c r="F70" i="52"/>
  <c r="F71" i="52"/>
  <c r="F72" i="52"/>
  <c r="F73" i="52"/>
  <c r="F74" i="52"/>
  <c r="F75" i="52"/>
  <c r="F76" i="52"/>
  <c r="F77" i="52"/>
  <c r="F78" i="52"/>
  <c r="F79" i="52"/>
  <c r="F80" i="52"/>
  <c r="F81" i="52"/>
  <c r="F82" i="52"/>
  <c r="F83" i="52"/>
  <c r="F84" i="52"/>
  <c r="F85" i="52"/>
  <c r="F86" i="52"/>
  <c r="F87" i="52"/>
  <c r="F88" i="52"/>
  <c r="F89" i="52"/>
  <c r="F90" i="52"/>
  <c r="F91" i="52"/>
  <c r="F92" i="52"/>
  <c r="F93" i="52"/>
  <c r="F94" i="52"/>
  <c r="F95" i="52"/>
  <c r="F96" i="52"/>
  <c r="F97" i="52"/>
  <c r="F98" i="52"/>
  <c r="F99" i="52"/>
  <c r="F100" i="52"/>
  <c r="F101" i="52"/>
  <c r="F102" i="52"/>
  <c r="F103" i="52"/>
  <c r="F104" i="52"/>
  <c r="F105" i="52"/>
  <c r="F106" i="52"/>
  <c r="F107" i="52"/>
  <c r="F108" i="52"/>
  <c r="F109" i="52"/>
  <c r="F110" i="52"/>
  <c r="F111" i="52"/>
  <c r="F112" i="52"/>
  <c r="F113" i="52"/>
  <c r="F114" i="52"/>
  <c r="F115" i="52"/>
  <c r="F116" i="52"/>
  <c r="F117" i="52"/>
  <c r="F118" i="52"/>
  <c r="F119" i="52"/>
  <c r="F120" i="52"/>
  <c r="F121" i="52"/>
  <c r="F122" i="52"/>
  <c r="F123" i="52"/>
  <c r="F124" i="52"/>
  <c r="F125" i="52"/>
  <c r="F126" i="52"/>
  <c r="F127" i="52"/>
  <c r="F128" i="52"/>
  <c r="F129" i="52"/>
  <c r="F130" i="52"/>
  <c r="F131" i="52"/>
  <c r="F132" i="52"/>
  <c r="F133" i="52"/>
  <c r="F134" i="52"/>
  <c r="F135" i="52"/>
  <c r="F136" i="52"/>
  <c r="F137" i="52"/>
  <c r="F138" i="52"/>
  <c r="F139" i="52"/>
  <c r="F140" i="52"/>
  <c r="F141" i="52"/>
  <c r="F142" i="52"/>
  <c r="F143" i="52"/>
  <c r="F144" i="52"/>
  <c r="F145" i="52"/>
  <c r="F146" i="52"/>
  <c r="F147" i="52"/>
  <c r="F148" i="52"/>
  <c r="F149" i="52"/>
  <c r="F150" i="52"/>
  <c r="F151" i="52"/>
  <c r="F152" i="52"/>
  <c r="F153" i="52"/>
  <c r="F154" i="52"/>
  <c r="F155" i="52"/>
  <c r="F156" i="52"/>
  <c r="F157" i="52"/>
  <c r="F158" i="52"/>
  <c r="F159" i="52"/>
  <c r="F160" i="52"/>
  <c r="F161" i="52"/>
  <c r="F162" i="52"/>
  <c r="F163" i="52"/>
  <c r="F164" i="52"/>
  <c r="F165" i="52"/>
  <c r="F166" i="52"/>
  <c r="F167" i="52"/>
  <c r="F168" i="52"/>
  <c r="F169" i="52"/>
  <c r="F170" i="52"/>
  <c r="F171" i="52"/>
  <c r="F172" i="52"/>
  <c r="F173" i="52"/>
  <c r="F174" i="52"/>
  <c r="F175" i="52"/>
  <c r="F176" i="52"/>
  <c r="F177" i="52"/>
  <c r="F178" i="52"/>
  <c r="F179" i="52"/>
  <c r="F180" i="52"/>
  <c r="F181" i="52"/>
  <c r="F182" i="52"/>
  <c r="F183" i="52"/>
  <c r="F184" i="52"/>
  <c r="F185" i="52"/>
  <c r="F186" i="52"/>
  <c r="F187" i="52"/>
  <c r="F188" i="52"/>
  <c r="F189" i="52"/>
  <c r="F190" i="52"/>
  <c r="F191" i="52"/>
  <c r="F192" i="52"/>
  <c r="F193" i="52"/>
  <c r="F194" i="52"/>
  <c r="F195" i="52"/>
  <c r="F196" i="52"/>
  <c r="F197" i="52"/>
  <c r="F198" i="52"/>
  <c r="F199" i="52"/>
  <c r="F200" i="52"/>
  <c r="F201" i="52"/>
  <c r="F202" i="52"/>
  <c r="F203" i="52"/>
  <c r="F3" i="52"/>
  <c r="F4" i="52"/>
  <c r="F5" i="52"/>
  <c r="F6" i="52"/>
  <c r="F7" i="52"/>
  <c r="F8" i="52"/>
  <c r="F9" i="52"/>
  <c r="F10" i="52"/>
  <c r="F2" i="52"/>
  <c r="I5" i="40"/>
  <c r="I6" i="40"/>
  <c r="I9" i="40"/>
  <c r="I12" i="40"/>
  <c r="I13" i="40"/>
  <c r="I16" i="40"/>
  <c r="I17" i="40"/>
  <c r="I18" i="40"/>
  <c r="I19" i="40"/>
  <c r="I20" i="40"/>
  <c r="I21" i="40"/>
  <c r="I23" i="40"/>
  <c r="I27" i="40"/>
  <c r="I31" i="40"/>
  <c r="I37" i="40"/>
  <c r="I38" i="40"/>
  <c r="I40" i="40"/>
  <c r="I46" i="40"/>
  <c r="I47" i="40"/>
  <c r="I50" i="40"/>
  <c r="I51" i="40"/>
  <c r="I54" i="40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F13" i="37"/>
  <c r="F14" i="37"/>
  <c r="F15" i="37"/>
  <c r="F16" i="37"/>
  <c r="F17" i="37"/>
  <c r="E12" i="37"/>
  <c r="E13" i="37"/>
  <c r="E14" i="37"/>
  <c r="E15" i="37"/>
  <c r="E16" i="37"/>
  <c r="E17" i="37"/>
  <c r="F3" i="37"/>
  <c r="F4" i="37"/>
  <c r="F5" i="37"/>
  <c r="F6" i="37"/>
  <c r="F7" i="37"/>
  <c r="E2" i="37"/>
  <c r="E3" i="37"/>
  <c r="E4" i="37"/>
  <c r="E5" i="37"/>
  <c r="E6" i="37"/>
  <c r="E7" i="37"/>
  <c r="C11" i="49"/>
  <c r="C12" i="49"/>
  <c r="C10" i="49"/>
  <c r="C13" i="49"/>
  <c r="C9" i="49"/>
  <c r="C9" i="48"/>
  <c r="C10" i="48"/>
  <c r="C12" i="48"/>
  <c r="C13" i="48"/>
  <c r="C11" i="48"/>
  <c r="C12" i="47"/>
  <c r="C13" i="47"/>
  <c r="C9" i="47"/>
  <c r="C10" i="47"/>
  <c r="C11" i="47"/>
  <c r="C11" i="46"/>
  <c r="C12" i="46"/>
  <c r="C13" i="46"/>
  <c r="C9" i="46"/>
  <c r="C10" i="46"/>
  <c r="C12" i="44"/>
  <c r="C13" i="44"/>
  <c r="C9" i="44"/>
  <c r="C10" i="44"/>
  <c r="C11" i="44"/>
  <c r="C11" i="43"/>
  <c r="C9" i="43"/>
  <c r="C12" i="43"/>
  <c r="C13" i="43"/>
  <c r="C10" i="43"/>
  <c r="C9" i="42"/>
  <c r="C10" i="42"/>
  <c r="E13" i="49"/>
  <c r="D13" i="49"/>
  <c r="D10" i="49"/>
  <c r="D12" i="49"/>
  <c r="E11" i="49"/>
  <c r="D11" i="49"/>
  <c r="E10" i="49"/>
  <c r="E9" i="49"/>
  <c r="E12" i="49"/>
  <c r="D9" i="49"/>
  <c r="E11" i="48"/>
  <c r="D9" i="48"/>
  <c r="E9" i="48"/>
  <c r="E13" i="48"/>
  <c r="D13" i="48"/>
  <c r="D10" i="48"/>
  <c r="D11" i="48"/>
  <c r="E10" i="48"/>
  <c r="D12" i="48"/>
  <c r="E12" i="48"/>
  <c r="D10" i="47"/>
  <c r="E13" i="47"/>
  <c r="E12" i="47"/>
  <c r="D12" i="47"/>
  <c r="E9" i="47"/>
  <c r="D9" i="47"/>
  <c r="E11" i="47"/>
  <c r="E10" i="47"/>
  <c r="D13" i="47"/>
  <c r="D11" i="47"/>
  <c r="E9" i="46"/>
  <c r="D9" i="46"/>
  <c r="D13" i="46"/>
  <c r="D12" i="46"/>
  <c r="E10" i="46"/>
  <c r="D11" i="46"/>
  <c r="E13" i="46"/>
  <c r="E12" i="46"/>
  <c r="E11" i="46"/>
  <c r="D10" i="46"/>
  <c r="D10" i="44"/>
  <c r="E9" i="44"/>
  <c r="E12" i="44"/>
  <c r="D11" i="44"/>
  <c r="D9" i="44"/>
  <c r="E13" i="44"/>
  <c r="E10" i="44"/>
  <c r="D13" i="44"/>
  <c r="E11" i="44"/>
  <c r="D12" i="44"/>
  <c r="D13" i="43"/>
  <c r="E12" i="43"/>
  <c r="E9" i="43"/>
  <c r="E11" i="43"/>
  <c r="D10" i="43"/>
  <c r="E13" i="43"/>
  <c r="D12" i="43"/>
  <c r="D9" i="43"/>
  <c r="D11" i="43"/>
  <c r="E10" i="43"/>
  <c r="D9" i="42"/>
  <c r="E9" i="42"/>
  <c r="E10" i="42"/>
  <c r="D10" i="42"/>
  <c r="G215" i="15" l="1"/>
  <c r="N215" i="15" s="1"/>
  <c r="F215" i="15"/>
  <c r="M215" i="15" s="1"/>
  <c r="E215" i="15"/>
  <c r="L215" i="15" s="1"/>
  <c r="G214" i="15"/>
  <c r="N214" i="15" s="1"/>
  <c r="F214" i="15"/>
  <c r="M214" i="15" s="1"/>
  <c r="E214" i="15"/>
  <c r="L214" i="15" s="1"/>
  <c r="G213" i="15"/>
  <c r="N213" i="15" s="1"/>
  <c r="F213" i="15"/>
  <c r="M213" i="15" s="1"/>
  <c r="E213" i="15"/>
  <c r="L213" i="15" s="1"/>
  <c r="G212" i="15"/>
  <c r="N212" i="15" s="1"/>
  <c r="F212" i="15"/>
  <c r="M212" i="15" s="1"/>
  <c r="E212" i="15"/>
  <c r="L212" i="15" s="1"/>
  <c r="G211" i="15"/>
  <c r="N211" i="15" s="1"/>
  <c r="F211" i="15"/>
  <c r="M211" i="15" s="1"/>
  <c r="E211" i="15"/>
  <c r="L211" i="15" s="1"/>
  <c r="G210" i="15"/>
  <c r="N210" i="15" s="1"/>
  <c r="F210" i="15"/>
  <c r="M210" i="15" s="1"/>
  <c r="E210" i="15"/>
  <c r="L210" i="15" s="1"/>
  <c r="G209" i="15"/>
  <c r="N209" i="15" s="1"/>
  <c r="F209" i="15"/>
  <c r="M209" i="15" s="1"/>
  <c r="E209" i="15"/>
  <c r="L209" i="15" s="1"/>
  <c r="N7" i="35"/>
  <c r="M17" i="20"/>
  <c r="M16" i="20" l="1"/>
  <c r="M18" i="20" s="1"/>
  <c r="M19" i="20" s="1"/>
  <c r="M20" i="20" s="1"/>
  <c r="M21" i="20" s="1"/>
  <c r="M4" i="20"/>
  <c r="M5" i="20" s="1"/>
  <c r="M6" i="20" s="1"/>
  <c r="M7" i="20" s="1"/>
  <c r="M8" i="20" s="1"/>
  <c r="M9" i="20" s="1"/>
  <c r="L9" i="19"/>
  <c r="L8" i="19"/>
  <c r="L7" i="19"/>
  <c r="L6" i="19"/>
  <c r="L5" i="19"/>
  <c r="L4" i="19"/>
  <c r="L3" i="19"/>
  <c r="K5" i="19"/>
  <c r="K6" i="19" s="1"/>
  <c r="K7" i="19" s="1"/>
  <c r="K8" i="19" s="1"/>
  <c r="K9" i="19" s="1"/>
  <c r="K4" i="19"/>
  <c r="G19" i="19"/>
  <c r="W141" i="12"/>
  <c r="W41" i="12"/>
  <c r="W16" i="12"/>
  <c r="W22" i="12"/>
  <c r="W182" i="12"/>
  <c r="W30" i="12"/>
  <c r="W116" i="12"/>
  <c r="W176" i="12"/>
  <c r="W12" i="12"/>
  <c r="W33" i="12"/>
  <c r="W131" i="12"/>
  <c r="W56" i="12"/>
  <c r="W64" i="12"/>
  <c r="W7" i="12"/>
  <c r="W195" i="12"/>
  <c r="W201" i="12"/>
  <c r="W185" i="12"/>
  <c r="W191" i="12"/>
  <c r="W178" i="12"/>
  <c r="W198" i="12"/>
  <c r="W67" i="12"/>
  <c r="W42" i="12"/>
  <c r="W62" i="12"/>
  <c r="W37" i="12"/>
  <c r="W59" i="12"/>
  <c r="W51" i="12"/>
  <c r="W47" i="12"/>
  <c r="W188" i="12"/>
  <c r="W71" i="12"/>
  <c r="W75" i="12"/>
  <c r="W122" i="12"/>
  <c r="W127" i="12"/>
  <c r="W135" i="12"/>
  <c r="W146" i="12"/>
  <c r="W150" i="12"/>
  <c r="W154" i="12"/>
  <c r="W77" i="12"/>
  <c r="W79" i="12"/>
  <c r="W155" i="12"/>
  <c r="W4" i="12"/>
  <c r="W169" i="12"/>
  <c r="W202" i="12"/>
  <c r="W161" i="12"/>
  <c r="W168" i="12"/>
  <c r="W203" i="12"/>
  <c r="W170" i="12"/>
  <c r="W164" i="12"/>
  <c r="W2" i="12"/>
  <c r="W52" i="12"/>
  <c r="W160" i="12"/>
  <c r="W3" i="12"/>
  <c r="W166" i="12"/>
  <c r="W167" i="12"/>
  <c r="W38" i="12"/>
  <c r="W163" i="12"/>
  <c r="W53" i="12"/>
  <c r="W162" i="12"/>
  <c r="W165" i="12"/>
  <c r="W23" i="12"/>
  <c r="W172" i="12"/>
  <c r="W31" i="12"/>
  <c r="W157" i="12"/>
  <c r="W5" i="12"/>
  <c r="W183" i="12"/>
  <c r="W34" i="12"/>
  <c r="W49" i="12"/>
  <c r="W44" i="12"/>
  <c r="W186" i="12"/>
  <c r="W68" i="12"/>
  <c r="W72" i="12"/>
  <c r="W119" i="12"/>
  <c r="W125" i="12"/>
  <c r="W136" i="12"/>
  <c r="W137" i="12"/>
  <c r="W13" i="12"/>
  <c r="W17" i="12"/>
  <c r="W128" i="12"/>
  <c r="W54" i="12"/>
  <c r="W156" i="12"/>
  <c r="W142" i="12"/>
  <c r="W39" i="12"/>
  <c r="W20" i="12"/>
  <c r="W179" i="12"/>
  <c r="W193" i="12"/>
  <c r="W28" i="12"/>
  <c r="W113" i="12"/>
  <c r="W117" i="12"/>
  <c r="W123" i="12"/>
  <c r="W132" i="12"/>
  <c r="W143" i="12"/>
  <c r="W147" i="12"/>
  <c r="W151" i="12"/>
  <c r="W80" i="12"/>
  <c r="W82" i="12"/>
  <c r="W138" i="12"/>
  <c r="W18" i="12"/>
  <c r="W24" i="12"/>
  <c r="W173" i="12"/>
  <c r="W35" i="12"/>
  <c r="W8" i="12"/>
  <c r="W139" i="12"/>
  <c r="W14" i="12"/>
  <c r="W19" i="12"/>
  <c r="W114" i="12"/>
  <c r="W129" i="12"/>
  <c r="W55" i="12"/>
  <c r="W158" i="12"/>
  <c r="W192" i="12"/>
  <c r="W199" i="12"/>
  <c r="W189" i="12"/>
  <c r="W196" i="12"/>
  <c r="W65" i="12"/>
  <c r="W60" i="12"/>
  <c r="W57" i="12"/>
  <c r="W48" i="12"/>
  <c r="W69" i="12"/>
  <c r="W73" i="12"/>
  <c r="W118" i="12"/>
  <c r="W124" i="12"/>
  <c r="W133" i="12"/>
  <c r="W144" i="12"/>
  <c r="W148" i="12"/>
  <c r="W152" i="12"/>
  <c r="W25" i="12"/>
  <c r="W180" i="12"/>
  <c r="W174" i="12"/>
  <c r="W159" i="12"/>
  <c r="W45" i="12"/>
  <c r="W120" i="12"/>
  <c r="W145" i="12"/>
  <c r="W26" i="12"/>
  <c r="W9" i="12"/>
  <c r="W140" i="12"/>
  <c r="W40" i="12"/>
  <c r="W15" i="12"/>
  <c r="W21" i="12"/>
  <c r="W181" i="12"/>
  <c r="W29" i="12"/>
  <c r="W175" i="12"/>
  <c r="W11" i="12"/>
  <c r="W32" i="12"/>
  <c r="W130" i="12"/>
  <c r="W63" i="12"/>
  <c r="W6" i="12"/>
  <c r="W194" i="12"/>
  <c r="W200" i="12"/>
  <c r="W184" i="12"/>
  <c r="W190" i="12"/>
  <c r="W177" i="12"/>
  <c r="W197" i="12"/>
  <c r="W66" i="12"/>
  <c r="W43" i="12"/>
  <c r="W61" i="12"/>
  <c r="W36" i="12"/>
  <c r="W58" i="12"/>
  <c r="W50" i="12"/>
  <c r="W46" i="12"/>
  <c r="W187" i="12"/>
  <c r="W70" i="12"/>
  <c r="W74" i="12"/>
  <c r="W171" i="12"/>
  <c r="W121" i="12"/>
  <c r="W126" i="12"/>
  <c r="W134" i="12"/>
  <c r="W149" i="12"/>
  <c r="W153" i="12"/>
  <c r="W78" i="12"/>
  <c r="W81" i="12"/>
  <c r="W97" i="12"/>
  <c r="W99" i="12"/>
  <c r="W100" i="12"/>
  <c r="W103" i="12"/>
  <c r="W110" i="12"/>
  <c r="W111" i="12"/>
  <c r="W112" i="12"/>
  <c r="W115" i="12"/>
  <c r="W10" i="12"/>
  <c r="W27" i="12"/>
  <c r="E115" i="12"/>
  <c r="E9" i="12"/>
  <c r="E145" i="57" s="1"/>
  <c r="E140" i="12"/>
  <c r="E40" i="12"/>
  <c r="E15" i="12"/>
  <c r="E21" i="12"/>
  <c r="E181" i="12"/>
  <c r="E29" i="12"/>
  <c r="E175" i="12"/>
  <c r="E23" i="57" s="1"/>
  <c r="E11" i="12"/>
  <c r="E152" i="57" s="1"/>
  <c r="E32" i="12"/>
  <c r="E7" i="57" s="1"/>
  <c r="E130" i="12"/>
  <c r="E63" i="12"/>
  <c r="E6" i="12"/>
  <c r="E194" i="12"/>
  <c r="E200" i="12"/>
  <c r="E184" i="12"/>
  <c r="E190" i="12"/>
  <c r="E15" i="57" s="1"/>
  <c r="E177" i="12"/>
  <c r="E171" i="57" s="1"/>
  <c r="E197" i="12"/>
  <c r="E66" i="12"/>
  <c r="E43" i="12"/>
  <c r="E61" i="12"/>
  <c r="E36" i="12"/>
  <c r="E58" i="12"/>
  <c r="E120" i="57" s="1"/>
  <c r="E50" i="12"/>
  <c r="E26" i="57" s="1"/>
  <c r="E46" i="12"/>
  <c r="E187" i="12"/>
  <c r="E70" i="12"/>
  <c r="E74" i="12"/>
  <c r="E171" i="12"/>
  <c r="E121" i="12"/>
  <c r="E126" i="12"/>
  <c r="E133" i="57" s="1"/>
  <c r="E134" i="12"/>
  <c r="E149" i="12"/>
  <c r="E18" i="57" s="1"/>
  <c r="E153" i="12"/>
  <c r="E76" i="12"/>
  <c r="E78" i="12"/>
  <c r="E157" i="57" s="1"/>
  <c r="E81" i="12"/>
  <c r="E83" i="12"/>
  <c r="E84" i="12"/>
  <c r="E142" i="57" s="1"/>
  <c r="E85" i="12"/>
  <c r="E111" i="57" s="1"/>
  <c r="E86" i="12"/>
  <c r="E177" i="57" s="1"/>
  <c r="E87" i="12"/>
  <c r="E88" i="12"/>
  <c r="E89" i="12"/>
  <c r="E92" i="57" s="1"/>
  <c r="E90" i="12"/>
  <c r="E91" i="12"/>
  <c r="E92" i="12"/>
  <c r="E93" i="12"/>
  <c r="E178" i="57" s="1"/>
  <c r="E94" i="12"/>
  <c r="E180" i="57" s="1"/>
  <c r="E95" i="12"/>
  <c r="E96" i="12"/>
  <c r="E74" i="57" s="1"/>
  <c r="E97" i="12"/>
  <c r="E98" i="12"/>
  <c r="E99" i="12"/>
  <c r="E100" i="12"/>
  <c r="E44" i="57" s="1"/>
  <c r="E101" i="12"/>
  <c r="E78" i="57" s="1"/>
  <c r="E102" i="12"/>
  <c r="E103" i="12"/>
  <c r="E82" i="57" s="1"/>
  <c r="E104" i="12"/>
  <c r="E105" i="12"/>
  <c r="E167" i="57" s="1"/>
  <c r="E106" i="12"/>
  <c r="E107" i="12"/>
  <c r="E108" i="12"/>
  <c r="E109" i="12"/>
  <c r="E110" i="12"/>
  <c r="E93" i="57" s="1"/>
  <c r="E111" i="12"/>
  <c r="E115" i="57" s="1"/>
  <c r="E112" i="12"/>
  <c r="E26" i="12"/>
  <c r="E179" i="57" s="1"/>
  <c r="E180" i="12"/>
  <c r="E174" i="12"/>
  <c r="E159" i="12"/>
  <c r="E96" i="57" s="1"/>
  <c r="E45" i="12"/>
  <c r="E120" i="12"/>
  <c r="E145" i="12"/>
  <c r="E25" i="12"/>
  <c r="E139" i="12"/>
  <c r="E190" i="57" s="1"/>
  <c r="E14" i="12"/>
  <c r="E19" i="12"/>
  <c r="E114" i="12"/>
  <c r="E77" i="57" s="1"/>
  <c r="E129" i="12"/>
  <c r="E186" i="57" s="1"/>
  <c r="E55" i="12"/>
  <c r="E158" i="12"/>
  <c r="E192" i="12"/>
  <c r="E199" i="12"/>
  <c r="E33" i="57" s="1"/>
  <c r="E189" i="12"/>
  <c r="E106" i="57" s="1"/>
  <c r="E196" i="12"/>
  <c r="E65" i="12"/>
  <c r="E60" i="12"/>
  <c r="E57" i="12"/>
  <c r="E119" i="57" s="1"/>
  <c r="E48" i="12"/>
  <c r="E86" i="57" s="1"/>
  <c r="E69" i="12"/>
  <c r="E61" i="57" s="1"/>
  <c r="E73" i="12"/>
  <c r="E118" i="12"/>
  <c r="E124" i="12"/>
  <c r="E133" i="12"/>
  <c r="E109" i="57" s="1"/>
  <c r="E144" i="12"/>
  <c r="E49" i="57" s="1"/>
  <c r="E148" i="12"/>
  <c r="E12" i="57" s="1"/>
  <c r="E152" i="12"/>
  <c r="E187" i="57" s="1"/>
  <c r="E8" i="12"/>
  <c r="E56" i="57" s="1"/>
  <c r="E173" i="12"/>
  <c r="E35" i="12"/>
  <c r="E24" i="12"/>
  <c r="E174" i="57" s="1"/>
  <c r="E18" i="12"/>
  <c r="E138" i="12"/>
  <c r="E3" i="57" s="1"/>
  <c r="E113" i="12"/>
  <c r="E66" i="57" s="1"/>
  <c r="E117" i="12"/>
  <c r="E123" i="12"/>
  <c r="E132" i="12"/>
  <c r="E143" i="12"/>
  <c r="E147" i="12"/>
  <c r="E151" i="12"/>
  <c r="E200" i="57" s="1"/>
  <c r="E80" i="12"/>
  <c r="E173" i="57" s="1"/>
  <c r="E82" i="12"/>
  <c r="E100" i="57" s="1"/>
  <c r="E28" i="12"/>
  <c r="E20" i="12"/>
  <c r="E179" i="12"/>
  <c r="E97" i="57" s="1"/>
  <c r="E193" i="12"/>
  <c r="E39" i="12"/>
  <c r="E13" i="12"/>
  <c r="E17" i="12"/>
  <c r="E84" i="57" s="1"/>
  <c r="E128" i="12"/>
  <c r="E54" i="12"/>
  <c r="E156" i="12"/>
  <c r="E142" i="12"/>
  <c r="E137" i="12"/>
  <c r="E136" i="12"/>
  <c r="E31" i="12"/>
  <c r="E28" i="57" s="1"/>
  <c r="E157" i="12"/>
  <c r="E36" i="57" s="1"/>
  <c r="E5" i="12"/>
  <c r="E183" i="12"/>
  <c r="E34" i="12"/>
  <c r="E49" i="12"/>
  <c r="E44" i="12"/>
  <c r="E186" i="12"/>
  <c r="E68" i="12"/>
  <c r="E72" i="12"/>
  <c r="E14" i="57" s="1"/>
  <c r="E119" i="12"/>
  <c r="E73" i="57" s="1"/>
  <c r="E125" i="12"/>
  <c r="E46" i="57" s="1"/>
  <c r="E172" i="12"/>
  <c r="E144" i="57" s="1"/>
  <c r="E23" i="12"/>
  <c r="E116" i="57" s="1"/>
  <c r="E56" i="12"/>
  <c r="E64" i="12"/>
  <c r="E7" i="12"/>
  <c r="E195" i="12"/>
  <c r="E160" i="57" s="1"/>
  <c r="E201" i="12"/>
  <c r="E185" i="12"/>
  <c r="E191" i="12"/>
  <c r="E178" i="12"/>
  <c r="E83" i="57" s="1"/>
  <c r="E198" i="12"/>
  <c r="E104" i="57" s="1"/>
  <c r="E67" i="12"/>
  <c r="E42" i="12"/>
  <c r="E62" i="12"/>
  <c r="E159" i="57" s="1"/>
  <c r="E37" i="12"/>
  <c r="E102" i="57" s="1"/>
  <c r="E59" i="12"/>
  <c r="E107" i="57" s="1"/>
  <c r="E51" i="12"/>
  <c r="E37" i="57" s="1"/>
  <c r="E47" i="12"/>
  <c r="E154" i="57" s="1"/>
  <c r="E188" i="12"/>
  <c r="E117" i="57" s="1"/>
  <c r="E71" i="12"/>
  <c r="E75" i="12"/>
  <c r="E51" i="57" s="1"/>
  <c r="E122" i="12"/>
  <c r="E127" i="12"/>
  <c r="E47" i="57" s="1"/>
  <c r="E135" i="12"/>
  <c r="E45" i="57" s="1"/>
  <c r="E146" i="12"/>
  <c r="E6" i="57" s="1"/>
  <c r="E150" i="12"/>
  <c r="E134" i="57" s="1"/>
  <c r="E154" i="12"/>
  <c r="E77" i="12"/>
  <c r="E79" i="12"/>
  <c r="E158" i="57" s="1"/>
  <c r="E155" i="12"/>
  <c r="E4" i="12"/>
  <c r="E126" i="57" s="1"/>
  <c r="E169" i="12"/>
  <c r="E17" i="57" s="1"/>
  <c r="E202" i="12"/>
  <c r="E112" i="57" s="1"/>
  <c r="E161" i="12"/>
  <c r="E168" i="12"/>
  <c r="E125" i="57" s="1"/>
  <c r="E203" i="12"/>
  <c r="E170" i="12"/>
  <c r="E196" i="57" s="1"/>
  <c r="E164" i="12"/>
  <c r="E65" i="57" s="1"/>
  <c r="E2" i="12"/>
  <c r="E13" i="57" s="1"/>
  <c r="E52" i="12"/>
  <c r="E25" i="57" s="1"/>
  <c r="E160" i="12"/>
  <c r="E3" i="12"/>
  <c r="E48" i="57" s="1"/>
  <c r="E166" i="12"/>
  <c r="E110" i="57" s="1"/>
  <c r="E167" i="12"/>
  <c r="E38" i="12"/>
  <c r="E64" i="57" s="1"/>
  <c r="E163" i="12"/>
  <c r="E42" i="57" s="1"/>
  <c r="E53" i="12"/>
  <c r="E162" i="12"/>
  <c r="E165" i="12"/>
  <c r="E105" i="57" s="1"/>
  <c r="E10" i="12"/>
  <c r="E169" i="57" s="1"/>
  <c r="E141" i="12"/>
  <c r="E41" i="12"/>
  <c r="E34" i="57" s="1"/>
  <c r="E16" i="12"/>
  <c r="E22" i="12"/>
  <c r="E191" i="57" s="1"/>
  <c r="E182" i="12"/>
  <c r="E88" i="57" s="1"/>
  <c r="E30" i="12"/>
  <c r="E116" i="12"/>
  <c r="E176" i="12"/>
  <c r="E162" i="57" s="1"/>
  <c r="E12" i="12"/>
  <c r="E172" i="57" s="1"/>
  <c r="E33" i="12"/>
  <c r="E155" i="57" s="1"/>
  <c r="E131" i="12"/>
  <c r="E27" i="12"/>
  <c r="C15" i="14"/>
  <c r="B15" i="14"/>
  <c r="O2" i="7" a="1"/>
  <c r="O2" i="7" s="1"/>
  <c r="P2" i="7" s="1"/>
  <c r="Q2" i="7" s="1"/>
  <c r="O15" i="7" a="1"/>
  <c r="O15" i="7" s="1"/>
  <c r="P15" i="7" s="1"/>
  <c r="Q15" i="7" s="1"/>
  <c r="O9" i="7" a="1"/>
  <c r="O9" i="7" s="1"/>
  <c r="P9" i="7" s="1"/>
  <c r="Q9" i="7" s="1"/>
  <c r="O10" i="7" a="1"/>
  <c r="O10" i="7" s="1"/>
  <c r="P10" i="7" s="1"/>
  <c r="Q10" i="7" s="1"/>
  <c r="O5" i="7" a="1"/>
  <c r="O5" i="7" s="1"/>
  <c r="P5" i="7" s="1"/>
  <c r="Q5" i="7" s="1"/>
  <c r="O6" i="7" a="1"/>
  <c r="O6" i="7" s="1"/>
  <c r="P6" i="7" s="1"/>
  <c r="Q6" i="7" s="1"/>
  <c r="O101" i="7" a="1"/>
  <c r="O101" i="7" s="1"/>
  <c r="P101" i="7" s="1"/>
  <c r="Q101" i="7" s="1"/>
  <c r="O94" i="7" a="1"/>
  <c r="O94" i="7" s="1"/>
  <c r="P94" i="7" s="1"/>
  <c r="Q94" i="7" s="1"/>
  <c r="O95" i="7" a="1"/>
  <c r="O95" i="7" s="1"/>
  <c r="P95" i="7" s="1"/>
  <c r="Q95" i="7" s="1"/>
  <c r="O96" i="7" a="1"/>
  <c r="O96" i="7" s="1"/>
  <c r="P96" i="7" s="1"/>
  <c r="Q96" i="7" s="1"/>
  <c r="O149" i="7" a="1"/>
  <c r="O149" i="7" s="1"/>
  <c r="P149" i="7" s="1"/>
  <c r="Q149" i="7" s="1"/>
  <c r="O139" i="7" a="1"/>
  <c r="O139" i="7" s="1"/>
  <c r="P139" i="7" s="1"/>
  <c r="Q139" i="7" s="1"/>
  <c r="O112" i="7" a="1"/>
  <c r="O112" i="7" s="1"/>
  <c r="P112" i="7" s="1"/>
  <c r="Q112" i="7" s="1"/>
  <c r="O134" i="7" a="1"/>
  <c r="O134" i="7" s="1"/>
  <c r="P134" i="7" s="1"/>
  <c r="Q134" i="7" s="1"/>
  <c r="O83" i="7" a="1"/>
  <c r="O83" i="7" s="1"/>
  <c r="P83" i="7" s="1"/>
  <c r="Q83" i="7" s="1"/>
  <c r="O84" i="7" a="1"/>
  <c r="O84" i="7" s="1"/>
  <c r="P84" i="7" s="1"/>
  <c r="Q84" i="7" s="1"/>
  <c r="O85" i="7" a="1"/>
  <c r="O85" i="7" s="1"/>
  <c r="P85" i="7" s="1"/>
  <c r="Q85" i="7" s="1"/>
  <c r="O146" i="7" a="1"/>
  <c r="O146" i="7" s="1"/>
  <c r="P146" i="7" s="1"/>
  <c r="Q146" i="7" s="1"/>
  <c r="O114" i="7" a="1"/>
  <c r="O114" i="7" s="1"/>
  <c r="P114" i="7" s="1"/>
  <c r="Q114" i="7" s="1"/>
  <c r="O115" i="7" a="1"/>
  <c r="O115" i="7" s="1"/>
  <c r="P115" i="7" s="1"/>
  <c r="Q115" i="7" s="1"/>
  <c r="O116" i="7" a="1"/>
  <c r="O116" i="7" s="1"/>
  <c r="P116" i="7" s="1"/>
  <c r="Q116" i="7" s="1"/>
  <c r="O117" i="7" a="1"/>
  <c r="O117" i="7" s="1"/>
  <c r="P117" i="7" s="1"/>
  <c r="Q117" i="7" s="1"/>
  <c r="O189" i="7" a="1"/>
  <c r="O189" i="7" s="1"/>
  <c r="P189" i="7" s="1"/>
  <c r="Q189" i="7" s="1"/>
  <c r="O172" i="7" a="1"/>
  <c r="O172" i="7" s="1"/>
  <c r="P172" i="7" s="1"/>
  <c r="Q172" i="7" s="1"/>
  <c r="O180" i="7" a="1"/>
  <c r="O180" i="7" s="1"/>
  <c r="P180" i="7" s="1"/>
  <c r="Q180" i="7" s="1"/>
  <c r="O150" i="7" a="1"/>
  <c r="O150" i="7" s="1"/>
  <c r="P150" i="7" s="1"/>
  <c r="Q150" i="7" s="1"/>
  <c r="O151" i="7" a="1"/>
  <c r="O151" i="7" s="1"/>
  <c r="P151" i="7" s="1"/>
  <c r="Q151" i="7" s="1"/>
  <c r="O34" i="7" a="1"/>
  <c r="O34" i="7" s="1"/>
  <c r="P34" i="7" s="1"/>
  <c r="Q34" i="7" s="1"/>
  <c r="O31" i="7" a="1"/>
  <c r="O31" i="7" s="1"/>
  <c r="P31" i="7" s="1"/>
  <c r="Q31" i="7" s="1"/>
  <c r="O19" i="7" a="1"/>
  <c r="O19" i="7" s="1"/>
  <c r="P19" i="7" s="1"/>
  <c r="Q19" i="7" s="1"/>
  <c r="O4" i="7" a="1"/>
  <c r="O4" i="7" s="1"/>
  <c r="P4" i="7" s="1"/>
  <c r="Q4" i="7" s="1"/>
  <c r="O30" i="7" a="1"/>
  <c r="O30" i="7" s="1"/>
  <c r="P30" i="7" s="1"/>
  <c r="Q30" i="7" s="1"/>
  <c r="O25" i="7" a="1"/>
  <c r="O25" i="7" s="1"/>
  <c r="P25" i="7" s="1"/>
  <c r="Q25" i="7" s="1"/>
  <c r="O16" i="7" a="1"/>
  <c r="O16" i="7" s="1"/>
  <c r="P16" i="7" s="1"/>
  <c r="Q16" i="7" s="1"/>
  <c r="O177" i="7" a="1"/>
  <c r="O177" i="7" s="1"/>
  <c r="P177" i="7" s="1"/>
  <c r="Q177" i="7" s="1"/>
  <c r="O52" i="7" a="1"/>
  <c r="O52" i="7" s="1"/>
  <c r="P52" i="7" s="1"/>
  <c r="Q52" i="7" s="1"/>
  <c r="O157" i="7" a="1"/>
  <c r="O157" i="7" s="1"/>
  <c r="P157" i="7" s="1"/>
  <c r="Q157" i="7" s="1"/>
  <c r="O158" i="7" a="1"/>
  <c r="O158" i="7" s="1"/>
  <c r="P158" i="7" s="1"/>
  <c r="Q158" i="7" s="1"/>
  <c r="O182" i="7" a="1"/>
  <c r="O182" i="7" s="1"/>
  <c r="P182" i="7" s="1"/>
  <c r="Q182" i="7" s="1"/>
  <c r="O162" i="7" a="1"/>
  <c r="O162" i="7" s="1"/>
  <c r="P162" i="7" s="1"/>
  <c r="Q162" i="7" s="1"/>
  <c r="O132" i="7" a="1"/>
  <c r="O132" i="7" s="1"/>
  <c r="P132" i="7" s="1"/>
  <c r="Q132" i="7" s="1"/>
  <c r="O110" i="7" a="1"/>
  <c r="O110" i="7" s="1"/>
  <c r="P110" i="7" s="1"/>
  <c r="Q110" i="7" s="1"/>
  <c r="O111" i="7" a="1"/>
  <c r="O111" i="7" s="1"/>
  <c r="P111" i="7" s="1"/>
  <c r="Q111" i="7" s="1"/>
  <c r="O168" i="7" a="1"/>
  <c r="O168" i="7" s="1"/>
  <c r="P168" i="7" s="1"/>
  <c r="Q168" i="7" s="1"/>
  <c r="O128" i="7" a="1"/>
  <c r="O128" i="7" s="1"/>
  <c r="P128" i="7" s="1"/>
  <c r="Q128" i="7" s="1"/>
  <c r="O129" i="7" a="1"/>
  <c r="O129" i="7" s="1"/>
  <c r="P129" i="7" s="1"/>
  <c r="Q129" i="7" s="1"/>
  <c r="O98" i="7" a="1"/>
  <c r="O98" i="7" s="1"/>
  <c r="P98" i="7" s="1"/>
  <c r="Q98" i="7" s="1"/>
  <c r="O88" i="7" a="1"/>
  <c r="O88" i="7" s="1"/>
  <c r="P88" i="7" s="1"/>
  <c r="Q88" i="7" s="1"/>
  <c r="O87" i="7" a="1"/>
  <c r="O87" i="7" s="1"/>
  <c r="P87" i="7" s="1"/>
  <c r="Q87" i="7" s="1"/>
  <c r="O79" i="7" a="1"/>
  <c r="O79" i="7" s="1"/>
  <c r="P79" i="7" s="1"/>
  <c r="Q79" i="7" s="1"/>
  <c r="O186" i="7" a="1"/>
  <c r="O186" i="7" s="1"/>
  <c r="P186" i="7" s="1"/>
  <c r="Q186" i="7" s="1"/>
  <c r="O173" i="7" a="1"/>
  <c r="O173" i="7" s="1"/>
  <c r="P173" i="7" s="1"/>
  <c r="Q173" i="7" s="1"/>
  <c r="O174" i="7" a="1"/>
  <c r="O174" i="7" s="1"/>
  <c r="P174" i="7" s="1"/>
  <c r="Q174" i="7" s="1"/>
  <c r="O121" i="7" a="1"/>
  <c r="O121" i="7" s="1"/>
  <c r="P121" i="7" s="1"/>
  <c r="Q121" i="7" s="1"/>
  <c r="O93" i="7" a="1"/>
  <c r="O93" i="7" s="1"/>
  <c r="P93" i="7" s="1"/>
  <c r="Q93" i="7" s="1"/>
  <c r="O97" i="7" a="1"/>
  <c r="O97" i="7" s="1"/>
  <c r="P97" i="7" s="1"/>
  <c r="Q97" i="7" s="1"/>
  <c r="O190" i="7" a="1"/>
  <c r="O190" i="7" s="1"/>
  <c r="P190" i="7" s="1"/>
  <c r="Q190" i="7" s="1"/>
  <c r="O175" i="7" a="1"/>
  <c r="O175" i="7" s="1"/>
  <c r="P175" i="7" s="1"/>
  <c r="Q175" i="7" s="1"/>
  <c r="O71" i="7" a="1"/>
  <c r="O71" i="7" s="1"/>
  <c r="P71" i="7" s="1"/>
  <c r="Q71" i="7" s="1"/>
  <c r="O63" i="7" a="1"/>
  <c r="O63" i="7" s="1"/>
  <c r="P63" i="7" s="1"/>
  <c r="Q63" i="7" s="1"/>
  <c r="O61" i="7" a="1"/>
  <c r="O61" i="7" s="1"/>
  <c r="P61" i="7" s="1"/>
  <c r="Q61" i="7" s="1"/>
  <c r="O163" i="7" a="1"/>
  <c r="O163" i="7" s="1"/>
  <c r="P163" i="7" s="1"/>
  <c r="Q163" i="7" s="1"/>
  <c r="O135" i="7" a="1"/>
  <c r="O135" i="7" s="1"/>
  <c r="P135" i="7" s="1"/>
  <c r="Q135" i="7" s="1"/>
  <c r="O106" i="7" a="1"/>
  <c r="O106" i="7" s="1"/>
  <c r="P106" i="7" s="1"/>
  <c r="Q106" i="7" s="1"/>
  <c r="O80" i="7" a="1"/>
  <c r="O80" i="7" s="1"/>
  <c r="P80" i="7" s="1"/>
  <c r="Q80" i="7" s="1"/>
  <c r="O81" i="7" a="1"/>
  <c r="O81" i="7" s="1"/>
  <c r="P81" i="7" s="1"/>
  <c r="Q81" i="7" s="1"/>
  <c r="O169" i="7" a="1"/>
  <c r="O169" i="7" s="1"/>
  <c r="P169" i="7" s="1"/>
  <c r="Q169" i="7" s="1"/>
  <c r="O140" i="7" a="1"/>
  <c r="O140" i="7" s="1"/>
  <c r="P140" i="7" s="1"/>
  <c r="Q140" i="7" s="1"/>
  <c r="O109" i="7" a="1"/>
  <c r="O109" i="7" s="1"/>
  <c r="P109" i="7" s="1"/>
  <c r="Q109" i="7" s="1"/>
  <c r="O123" i="7" a="1"/>
  <c r="O123" i="7" s="1"/>
  <c r="P123" i="7" s="1"/>
  <c r="Q123" i="7" s="1"/>
  <c r="O102" i="7" a="1"/>
  <c r="O102" i="7" s="1"/>
  <c r="P102" i="7" s="1"/>
  <c r="Q102" i="7" s="1"/>
  <c r="O103" i="7" a="1"/>
  <c r="O103" i="7" s="1"/>
  <c r="P103" i="7" s="1"/>
  <c r="Q103" i="7" s="1"/>
  <c r="O104" i="7" a="1"/>
  <c r="O104" i="7" s="1"/>
  <c r="P104" i="7" s="1"/>
  <c r="Q104" i="7" s="1"/>
  <c r="O122" i="7" a="1"/>
  <c r="O122" i="7" s="1"/>
  <c r="P122" i="7" s="1"/>
  <c r="Q122" i="7" s="1"/>
  <c r="O105" i="7" a="1"/>
  <c r="O105" i="7" s="1"/>
  <c r="P105" i="7" s="1"/>
  <c r="Q105" i="7" s="1"/>
  <c r="O90" i="7" a="1"/>
  <c r="O90" i="7" s="1"/>
  <c r="P90" i="7" s="1"/>
  <c r="Q90" i="7" s="1"/>
  <c r="O108" i="7" a="1"/>
  <c r="O108" i="7" s="1"/>
  <c r="P108" i="7" s="1"/>
  <c r="Q108" i="7" s="1"/>
  <c r="O91" i="7" a="1"/>
  <c r="O91" i="7" s="1"/>
  <c r="P91" i="7" s="1"/>
  <c r="Q91" i="7" s="1"/>
  <c r="O86" i="7" a="1"/>
  <c r="O86" i="7" s="1"/>
  <c r="P86" i="7" s="1"/>
  <c r="Q86" i="7" s="1"/>
  <c r="O92" i="7" a="1"/>
  <c r="O92" i="7" s="1"/>
  <c r="P92" i="7" s="1"/>
  <c r="Q92" i="7" s="1"/>
  <c r="O170" i="7" a="1"/>
  <c r="O170" i="7" s="1"/>
  <c r="P170" i="7" s="1"/>
  <c r="Q170" i="7" s="1"/>
  <c r="O141" i="7" a="1"/>
  <c r="O141" i="7" s="1"/>
  <c r="P141" i="7" s="1"/>
  <c r="Q141" i="7" s="1"/>
  <c r="O142" i="7" a="1"/>
  <c r="O142" i="7" s="1"/>
  <c r="P142" i="7" s="1"/>
  <c r="Q142" i="7" s="1"/>
  <c r="O143" i="7" a="1"/>
  <c r="O143" i="7" s="1"/>
  <c r="P143" i="7" s="1"/>
  <c r="Q143" i="7" s="1"/>
  <c r="O113" i="7" a="1"/>
  <c r="O113" i="7" s="1"/>
  <c r="P113" i="7" s="1"/>
  <c r="Q113" i="7" s="1"/>
  <c r="O99" i="7" a="1"/>
  <c r="O99" i="7" s="1"/>
  <c r="P99" i="7" s="1"/>
  <c r="Q99" i="7" s="1"/>
  <c r="O100" i="7" a="1"/>
  <c r="O100" i="7" s="1"/>
  <c r="P100" i="7" s="1"/>
  <c r="Q100" i="7" s="1"/>
  <c r="O64" i="7" a="1"/>
  <c r="O64" i="7" s="1"/>
  <c r="P64" i="7" s="1"/>
  <c r="Q64" i="7" s="1"/>
  <c r="O67" i="7" a="1"/>
  <c r="O67" i="7" s="1"/>
  <c r="P67" i="7" s="1"/>
  <c r="Q67" i="7" s="1"/>
  <c r="O65" i="7" a="1"/>
  <c r="O65" i="7" s="1"/>
  <c r="P65" i="7" s="1"/>
  <c r="Q65" i="7" s="1"/>
  <c r="O72" i="7" a="1"/>
  <c r="O72" i="7" s="1"/>
  <c r="P72" i="7" s="1"/>
  <c r="Q72" i="7" s="1"/>
  <c r="O89" i="7" a="1"/>
  <c r="O89" i="7" s="1"/>
  <c r="P89" i="7" s="1"/>
  <c r="Q89" i="7" s="1"/>
  <c r="O82" i="7" a="1"/>
  <c r="O82" i="7" s="1"/>
  <c r="P82" i="7" s="1"/>
  <c r="Q82" i="7" s="1"/>
  <c r="O78" i="7" a="1"/>
  <c r="O78" i="7" s="1"/>
  <c r="P78" i="7" s="1"/>
  <c r="Q78" i="7" s="1"/>
  <c r="O77" i="7" a="1"/>
  <c r="O77" i="7" s="1"/>
  <c r="P77" i="7" s="1"/>
  <c r="Q77" i="7" s="1"/>
  <c r="O124" i="7" a="1"/>
  <c r="O124" i="7" s="1"/>
  <c r="P124" i="7" s="1"/>
  <c r="Q124" i="7" s="1"/>
  <c r="O69" i="7" a="1"/>
  <c r="O69" i="7" s="1"/>
  <c r="P69" i="7" s="1"/>
  <c r="Q69" i="7" s="1"/>
  <c r="O58" i="7" a="1"/>
  <c r="O58" i="7" s="1"/>
  <c r="P58" i="7" s="1"/>
  <c r="Q58" i="7" s="1"/>
  <c r="O45" i="7" a="1"/>
  <c r="O45" i="7" s="1"/>
  <c r="P45" i="7" s="1"/>
  <c r="Q45" i="7" s="1"/>
  <c r="O46" i="7" a="1"/>
  <c r="O46" i="7" s="1"/>
  <c r="P46" i="7" s="1"/>
  <c r="Q46" i="7" s="1"/>
  <c r="O59" i="7" a="1"/>
  <c r="O59" i="7" s="1"/>
  <c r="P59" i="7" s="1"/>
  <c r="Q59" i="7" s="1"/>
  <c r="O60" i="7" a="1"/>
  <c r="O60" i="7" s="1"/>
  <c r="P60" i="7" s="1"/>
  <c r="Q60" i="7" s="1"/>
  <c r="O38" i="7" a="1"/>
  <c r="O38" i="7" s="1"/>
  <c r="P38" i="7" s="1"/>
  <c r="Q38" i="7" s="1"/>
  <c r="O32" i="7" a="1"/>
  <c r="O32" i="7" s="1"/>
  <c r="P32" i="7" s="1"/>
  <c r="Q32" i="7" s="1"/>
  <c r="O28" i="7" a="1"/>
  <c r="O28" i="7" s="1"/>
  <c r="P28" i="7" s="1"/>
  <c r="Q28" i="7" s="1"/>
  <c r="O29" i="7" a="1"/>
  <c r="O29" i="7" s="1"/>
  <c r="P29" i="7" s="1"/>
  <c r="Q29" i="7" s="1"/>
  <c r="O33" i="7" a="1"/>
  <c r="O33" i="7" s="1"/>
  <c r="P33" i="7" s="1"/>
  <c r="Q33" i="7" s="1"/>
  <c r="O13" i="7" a="1"/>
  <c r="O13" i="7" s="1"/>
  <c r="P13" i="7" s="1"/>
  <c r="Q13" i="7" s="1"/>
  <c r="O14" i="7" a="1"/>
  <c r="O14" i="7" s="1"/>
  <c r="P14" i="7" s="1"/>
  <c r="Q14" i="7" s="1"/>
  <c r="O7" i="7" a="1"/>
  <c r="O7" i="7" s="1"/>
  <c r="P7" i="7" s="1"/>
  <c r="Q7" i="7" s="1"/>
  <c r="O8" i="7" a="1"/>
  <c r="O8" i="7" s="1"/>
  <c r="P8" i="7" s="1"/>
  <c r="Q8" i="7" s="1"/>
  <c r="O57" i="7" a="1"/>
  <c r="O57" i="7" s="1"/>
  <c r="P57" i="7" s="1"/>
  <c r="Q57" i="7" s="1"/>
  <c r="O50" i="7" a="1"/>
  <c r="O50" i="7" s="1"/>
  <c r="P50" i="7" s="1"/>
  <c r="Q50" i="7" s="1"/>
  <c r="O54" i="7" a="1"/>
  <c r="O54" i="7" s="1"/>
  <c r="P54" i="7" s="1"/>
  <c r="Q54" i="7" s="1"/>
  <c r="O51" i="7" a="1"/>
  <c r="O51" i="7" s="1"/>
  <c r="P51" i="7" s="1"/>
  <c r="Q51" i="7" s="1"/>
  <c r="O24" i="7" a="1"/>
  <c r="O24" i="7" s="1"/>
  <c r="P24" i="7" s="1"/>
  <c r="Q24" i="7" s="1"/>
  <c r="O43" i="7" a="1"/>
  <c r="O43" i="7" s="1"/>
  <c r="P43" i="7" s="1"/>
  <c r="Q43" i="7" s="1"/>
  <c r="O40" i="7" a="1"/>
  <c r="O40" i="7" s="1"/>
  <c r="P40" i="7" s="1"/>
  <c r="Q40" i="7" s="1"/>
  <c r="O35" i="7" a="1"/>
  <c r="O35" i="7" s="1"/>
  <c r="P35" i="7" s="1"/>
  <c r="Q35" i="7" s="1"/>
  <c r="O36" i="7" a="1"/>
  <c r="O36" i="7" s="1"/>
  <c r="P36" i="7" s="1"/>
  <c r="Q36" i="7" s="1"/>
  <c r="O23" i="7" a="1"/>
  <c r="O23" i="7" s="1"/>
  <c r="P23" i="7" s="1"/>
  <c r="Q23" i="7" s="1"/>
  <c r="O22" i="7" a="1"/>
  <c r="O22" i="7" s="1"/>
  <c r="P22" i="7" s="1"/>
  <c r="Q22" i="7" s="1"/>
  <c r="O20" i="7" a="1"/>
  <c r="O20" i="7" s="1"/>
  <c r="P20" i="7" s="1"/>
  <c r="Q20" i="7" s="1"/>
  <c r="O21" i="7" a="1"/>
  <c r="O21" i="7" s="1"/>
  <c r="P21" i="7" s="1"/>
  <c r="Q21" i="7" s="1"/>
  <c r="O199" i="7" a="1"/>
  <c r="O199" i="7" s="1"/>
  <c r="P199" i="7" s="1"/>
  <c r="Q199" i="7" s="1"/>
  <c r="O200" i="7" a="1"/>
  <c r="O200" i="7" s="1"/>
  <c r="P200" i="7" s="1"/>
  <c r="Q200" i="7" s="1"/>
  <c r="O203" i="7" a="1"/>
  <c r="O203" i="7" s="1"/>
  <c r="P203" i="7" s="1"/>
  <c r="Q203" i="7" s="1"/>
  <c r="O202" i="7" a="1"/>
  <c r="O202" i="7" s="1"/>
  <c r="P202" i="7" s="1"/>
  <c r="Q202" i="7" s="1"/>
  <c r="O201" i="7" a="1"/>
  <c r="O201" i="7" s="1"/>
  <c r="P201" i="7" s="1"/>
  <c r="Q201" i="7" s="1"/>
  <c r="O197" i="7" a="1"/>
  <c r="O197" i="7" s="1"/>
  <c r="P197" i="7" s="1"/>
  <c r="Q197" i="7" s="1"/>
  <c r="O125" i="7" a="1"/>
  <c r="O125" i="7" s="1"/>
  <c r="P125" i="7" s="1"/>
  <c r="Q125" i="7" s="1"/>
  <c r="O107" i="7" a="1"/>
  <c r="O107" i="7" s="1"/>
  <c r="P107" i="7" s="1"/>
  <c r="Q107" i="7" s="1"/>
  <c r="O192" i="7" a="1"/>
  <c r="O192" i="7" s="1"/>
  <c r="P192" i="7" s="1"/>
  <c r="Q192" i="7" s="1"/>
  <c r="O171" i="7" a="1"/>
  <c r="O171" i="7" s="1"/>
  <c r="P171" i="7" s="1"/>
  <c r="Q171" i="7" s="1"/>
  <c r="O152" i="7" a="1"/>
  <c r="O152" i="7" s="1"/>
  <c r="P152" i="7" s="1"/>
  <c r="Q152" i="7" s="1"/>
  <c r="O159" i="7" a="1"/>
  <c r="O159" i="7" s="1"/>
  <c r="P159" i="7" s="1"/>
  <c r="Q159" i="7" s="1"/>
  <c r="O136" i="7" a="1"/>
  <c r="O136" i="7" s="1"/>
  <c r="P136" i="7" s="1"/>
  <c r="Q136" i="7" s="1"/>
  <c r="O130" i="7" a="1"/>
  <c r="O130" i="7" s="1"/>
  <c r="P130" i="7" s="1"/>
  <c r="Q130" i="7" s="1"/>
  <c r="O181" i="7" a="1"/>
  <c r="O181" i="7" s="1"/>
  <c r="P181" i="7" s="1"/>
  <c r="Q181" i="7" s="1"/>
  <c r="O154" i="7" a="1"/>
  <c r="O154" i="7" s="1"/>
  <c r="P154" i="7" s="1"/>
  <c r="Q154" i="7" s="1"/>
  <c r="O148" i="7" a="1"/>
  <c r="O148" i="7" s="1"/>
  <c r="P148" i="7" s="1"/>
  <c r="Q148" i="7" s="1"/>
  <c r="O153" i="7" a="1"/>
  <c r="O153" i="7" s="1"/>
  <c r="P153" i="7" s="1"/>
  <c r="Q153" i="7" s="1"/>
  <c r="O188" i="7" a="1"/>
  <c r="O188" i="7" s="1"/>
  <c r="P188" i="7" s="1"/>
  <c r="Q188" i="7" s="1"/>
  <c r="O176" i="7" a="1"/>
  <c r="O176" i="7" s="1"/>
  <c r="P176" i="7" s="1"/>
  <c r="Q176" i="7" s="1"/>
  <c r="O164" i="7" a="1"/>
  <c r="O164" i="7" s="1"/>
  <c r="P164" i="7" s="1"/>
  <c r="Q164" i="7" s="1"/>
  <c r="O166" i="7" a="1"/>
  <c r="O166" i="7" s="1"/>
  <c r="P166" i="7" s="1"/>
  <c r="Q166" i="7" s="1"/>
  <c r="O198" i="7" a="1"/>
  <c r="O198" i="7" s="1"/>
  <c r="P198" i="7" s="1"/>
  <c r="Q198" i="7" s="1"/>
  <c r="O196" i="7" a="1"/>
  <c r="O196" i="7" s="1"/>
  <c r="P196" i="7" s="1"/>
  <c r="Q196" i="7" s="1"/>
  <c r="O194" i="7" a="1"/>
  <c r="O194" i="7" s="1"/>
  <c r="P194" i="7" s="1"/>
  <c r="Q194" i="7" s="1"/>
  <c r="O195" i="7" a="1"/>
  <c r="O195" i="7" s="1"/>
  <c r="P195" i="7" s="1"/>
  <c r="Q195" i="7" s="1"/>
  <c r="O118" i="7" a="1"/>
  <c r="O118" i="7" s="1"/>
  <c r="P118" i="7" s="1"/>
  <c r="Q118" i="7" s="1"/>
  <c r="O119" i="7" a="1"/>
  <c r="O119" i="7" s="1"/>
  <c r="P119" i="7" s="1"/>
  <c r="Q119" i="7" s="1"/>
  <c r="O127" i="7" a="1"/>
  <c r="O127" i="7" s="1"/>
  <c r="P127" i="7" s="1"/>
  <c r="Q127" i="7" s="1"/>
  <c r="O191" i="7" a="1"/>
  <c r="O191" i="7" s="1"/>
  <c r="P191" i="7" s="1"/>
  <c r="Q191" i="7" s="1"/>
  <c r="O193" i="7" a="1"/>
  <c r="O193" i="7" s="1"/>
  <c r="P193" i="7" s="1"/>
  <c r="Q193" i="7" s="1"/>
  <c r="O187" i="7" a="1"/>
  <c r="O187" i="7" s="1"/>
  <c r="P187" i="7" s="1"/>
  <c r="Q187" i="7" s="1"/>
  <c r="O178" i="7" a="1"/>
  <c r="O178" i="7" s="1"/>
  <c r="P178" i="7" s="1"/>
  <c r="Q178" i="7" s="1"/>
  <c r="O160" i="7" a="1"/>
  <c r="O160" i="7" s="1"/>
  <c r="P160" i="7" s="1"/>
  <c r="Q160" i="7" s="1"/>
  <c r="O137" i="7" a="1"/>
  <c r="O137" i="7" s="1"/>
  <c r="P137" i="7" s="1"/>
  <c r="Q137" i="7" s="1"/>
  <c r="O120" i="7" a="1"/>
  <c r="O120" i="7" s="1"/>
  <c r="P120" i="7" s="1"/>
  <c r="Q120" i="7" s="1"/>
  <c r="O133" i="7" a="1"/>
  <c r="O133" i="7" s="1"/>
  <c r="P133" i="7" s="1"/>
  <c r="Q133" i="7" s="1"/>
  <c r="O18" i="7" a="1"/>
  <c r="O18" i="7" s="1"/>
  <c r="P18" i="7" s="1"/>
  <c r="Q18" i="7" s="1"/>
  <c r="O74" i="7" a="1"/>
  <c r="O74" i="7" s="1"/>
  <c r="P74" i="7" s="1"/>
  <c r="Q74" i="7" s="1"/>
  <c r="O165" i="7" a="1"/>
  <c r="O165" i="7" s="1"/>
  <c r="P165" i="7" s="1"/>
  <c r="Q165" i="7" s="1"/>
  <c r="O126" i="7" a="1"/>
  <c r="O126" i="7" s="1"/>
  <c r="P126" i="7" s="1"/>
  <c r="Q126" i="7" s="1"/>
  <c r="O47" i="7" a="1"/>
  <c r="O47" i="7" s="1"/>
  <c r="P47" i="7" s="1"/>
  <c r="Q47" i="7" s="1"/>
  <c r="O68" i="7" a="1"/>
  <c r="O68" i="7" s="1"/>
  <c r="P68" i="7" s="1"/>
  <c r="Q68" i="7" s="1"/>
  <c r="O131" i="7" a="1"/>
  <c r="O131" i="7" s="1"/>
  <c r="P131" i="7" s="1"/>
  <c r="Q131" i="7" s="1"/>
  <c r="O39" i="7" a="1"/>
  <c r="O39" i="7" s="1"/>
  <c r="P39" i="7" s="1"/>
  <c r="Q39" i="7" s="1"/>
  <c r="O48" i="7" a="1"/>
  <c r="O48" i="7" s="1"/>
  <c r="P48" i="7" s="1"/>
  <c r="Q48" i="7" s="1"/>
  <c r="O70" i="7" a="1"/>
  <c r="O70" i="7" s="1"/>
  <c r="P70" i="7" s="1"/>
  <c r="Q70" i="7" s="1"/>
  <c r="O62" i="7" a="1"/>
  <c r="O62" i="7" s="1"/>
  <c r="P62" i="7" s="1"/>
  <c r="Q62" i="7" s="1"/>
  <c r="O41" i="7" a="1"/>
  <c r="O41" i="7" s="1"/>
  <c r="P41" i="7" s="1"/>
  <c r="Q41" i="7" s="1"/>
  <c r="O44" i="7" a="1"/>
  <c r="O44" i="7" s="1"/>
  <c r="P44" i="7" s="1"/>
  <c r="Q44" i="7" s="1"/>
  <c r="O66" i="7" a="1"/>
  <c r="O66" i="7" s="1"/>
  <c r="P66" i="7" s="1"/>
  <c r="Q66" i="7" s="1"/>
  <c r="O161" i="7" a="1"/>
  <c r="O161" i="7" s="1"/>
  <c r="P161" i="7" s="1"/>
  <c r="Q161" i="7" s="1"/>
  <c r="O49" i="7" a="1"/>
  <c r="O49" i="7" s="1"/>
  <c r="P49" i="7" s="1"/>
  <c r="Q49" i="7" s="1"/>
  <c r="O37" i="7" a="1"/>
  <c r="O37" i="7" s="1"/>
  <c r="P37" i="7" s="1"/>
  <c r="Q37" i="7" s="1"/>
  <c r="O42" i="7" a="1"/>
  <c r="O42" i="7" s="1"/>
  <c r="P42" i="7" s="1"/>
  <c r="Q42" i="7" s="1"/>
  <c r="O73" i="7" a="1"/>
  <c r="O73" i="7" s="1"/>
  <c r="P73" i="7" s="1"/>
  <c r="Q73" i="7" s="1"/>
  <c r="O76" i="7" a="1"/>
  <c r="O76" i="7" s="1"/>
  <c r="P76" i="7" s="1"/>
  <c r="Q76" i="7" s="1"/>
  <c r="O184" i="7" a="1"/>
  <c r="O184" i="7" s="1"/>
  <c r="P184" i="7" s="1"/>
  <c r="Q184" i="7" s="1"/>
  <c r="O185" i="7" a="1"/>
  <c r="O185" i="7" s="1"/>
  <c r="P185" i="7" s="1"/>
  <c r="Q185" i="7" s="1"/>
  <c r="O179" i="7" a="1"/>
  <c r="O179" i="7" s="1"/>
  <c r="P179" i="7" s="1"/>
  <c r="Q179" i="7" s="1"/>
  <c r="O147" i="7" a="1"/>
  <c r="O147" i="7" s="1"/>
  <c r="P147" i="7" s="1"/>
  <c r="Q147" i="7" s="1"/>
  <c r="O138" i="7" a="1"/>
  <c r="O138" i="7" s="1"/>
  <c r="P138" i="7" s="1"/>
  <c r="Q138" i="7" s="1"/>
  <c r="O75" i="7" a="1"/>
  <c r="O75" i="7" s="1"/>
  <c r="P75" i="7" s="1"/>
  <c r="Q75" i="7" s="1"/>
  <c r="O53" i="7" a="1"/>
  <c r="O53" i="7" s="1"/>
  <c r="P53" i="7" s="1"/>
  <c r="Q53" i="7" s="1"/>
  <c r="O26" i="7" a="1"/>
  <c r="O26" i="7" s="1"/>
  <c r="P26" i="7" s="1"/>
  <c r="Q26" i="7" s="1"/>
  <c r="O27" i="7" a="1"/>
  <c r="O27" i="7" s="1"/>
  <c r="P27" i="7" s="1"/>
  <c r="Q27" i="7" s="1"/>
  <c r="O55" i="7" a="1"/>
  <c r="O55" i="7" s="1"/>
  <c r="P55" i="7" s="1"/>
  <c r="Q55" i="7" s="1"/>
  <c r="O56" i="7" a="1"/>
  <c r="O56" i="7" s="1"/>
  <c r="P56" i="7" s="1"/>
  <c r="Q56" i="7" s="1"/>
  <c r="O167" i="7" a="1"/>
  <c r="O167" i="7" s="1"/>
  <c r="P167" i="7" s="1"/>
  <c r="Q167" i="7" s="1"/>
  <c r="O144" i="7" a="1"/>
  <c r="O144" i="7" s="1"/>
  <c r="P144" i="7" s="1"/>
  <c r="Q144" i="7" s="1"/>
  <c r="O145" i="7" a="1"/>
  <c r="O145" i="7" s="1"/>
  <c r="P145" i="7" s="1"/>
  <c r="Q145" i="7" s="1"/>
  <c r="O155" i="7" a="1"/>
  <c r="O155" i="7" s="1"/>
  <c r="P155" i="7" s="1"/>
  <c r="Q155" i="7" s="1"/>
  <c r="O17" i="7" a="1"/>
  <c r="O17" i="7" s="1"/>
  <c r="P17" i="7" s="1"/>
  <c r="Q17" i="7" s="1"/>
  <c r="O11" i="7" a="1"/>
  <c r="O11" i="7" s="1"/>
  <c r="P11" i="7" s="1"/>
  <c r="Q11" i="7" s="1"/>
  <c r="O12" i="7" a="1"/>
  <c r="O12" i="7" s="1"/>
  <c r="P12" i="7" s="1"/>
  <c r="Q12" i="7" s="1"/>
  <c r="O3" i="7" a="1"/>
  <c r="O3" i="7" s="1"/>
  <c r="P3" i="7" s="1"/>
  <c r="Q3" i="7" s="1"/>
  <c r="O183" i="7" a="1"/>
  <c r="O183" i="7" s="1"/>
  <c r="P183" i="7" s="1"/>
  <c r="Q183" i="7" s="1"/>
  <c r="O156" i="7" a="1"/>
  <c r="O156" i="7" s="1"/>
  <c r="P156" i="7" s="1"/>
  <c r="Q156" i="7" s="1"/>
  <c r="H36" i="6"/>
  <c r="G36" i="6"/>
  <c r="B61" i="23"/>
  <c r="B60" i="23"/>
  <c r="B59" i="23"/>
  <c r="B58" i="23"/>
  <c r="B57" i="23"/>
  <c r="B56" i="23"/>
  <c r="B55" i="23"/>
  <c r="D52" i="23"/>
  <c r="C49" i="23"/>
  <c r="C52" i="23"/>
  <c r="D51" i="23"/>
  <c r="C51" i="23"/>
  <c r="D49" i="23"/>
  <c r="D50" i="23"/>
  <c r="C50" i="23"/>
  <c r="C9" i="25"/>
  <c r="H2" i="25"/>
  <c r="H3" i="25"/>
  <c r="C10" i="25"/>
  <c r="C11" i="25"/>
  <c r="H4" i="25"/>
  <c r="H5" i="25"/>
  <c r="C12" i="25"/>
  <c r="D9" i="25"/>
  <c r="H6" i="25"/>
  <c r="D10" i="25"/>
  <c r="H7" i="25"/>
  <c r="D11" i="25"/>
  <c r="H8" i="25"/>
  <c r="D12" i="25"/>
  <c r="C9" i="23"/>
  <c r="C10" i="23"/>
  <c r="C11" i="23"/>
  <c r="C12" i="23"/>
  <c r="E153" i="57" l="1"/>
  <c r="E67" i="57"/>
  <c r="E122" i="57"/>
  <c r="E166" i="57"/>
  <c r="E21" i="57"/>
  <c r="E170" i="57"/>
  <c r="E183" i="57"/>
  <c r="E139" i="57"/>
  <c r="E202" i="57"/>
  <c r="E98" i="57"/>
  <c r="E188" i="57"/>
  <c r="E95" i="57"/>
  <c r="E136" i="57"/>
  <c r="E114" i="57"/>
  <c r="E130" i="57"/>
  <c r="E181" i="57"/>
  <c r="E71" i="57"/>
  <c r="E94" i="57"/>
  <c r="E52" i="57"/>
  <c r="E201" i="57"/>
  <c r="E141" i="57"/>
  <c r="E68" i="57"/>
  <c r="E146" i="57"/>
  <c r="E58" i="57"/>
  <c r="E20" i="57"/>
  <c r="E2" i="57"/>
  <c r="E203" i="57"/>
  <c r="E8" i="57"/>
  <c r="E5" i="57"/>
  <c r="E76" i="57"/>
  <c r="E59" i="57"/>
  <c r="E80" i="57"/>
  <c r="E41" i="57"/>
  <c r="E192" i="57"/>
  <c r="E118" i="57"/>
  <c r="E10" i="57"/>
  <c r="E164" i="57"/>
  <c r="E182" i="57"/>
  <c r="E150" i="57"/>
  <c r="E121" i="57"/>
  <c r="E89" i="57"/>
  <c r="E161" i="57"/>
  <c r="E24" i="57"/>
  <c r="E138" i="57"/>
  <c r="E29" i="57"/>
  <c r="E103" i="57"/>
  <c r="E11" i="57"/>
  <c r="E143" i="57"/>
  <c r="E149" i="57"/>
  <c r="E81" i="57"/>
  <c r="E127" i="57"/>
  <c r="E148" i="57"/>
  <c r="E22" i="57"/>
  <c r="E90" i="57"/>
  <c r="E35" i="57"/>
  <c r="E199" i="57"/>
  <c r="E128" i="57"/>
  <c r="E16" i="57"/>
  <c r="E85" i="57"/>
  <c r="E147" i="57"/>
  <c r="E189" i="57"/>
  <c r="E113" i="57"/>
  <c r="E175" i="57"/>
  <c r="E38" i="57"/>
  <c r="E30" i="57"/>
  <c r="E53" i="57"/>
  <c r="E156" i="57"/>
  <c r="E91" i="57"/>
  <c r="E108" i="57"/>
  <c r="E129" i="57"/>
  <c r="E131" i="57"/>
  <c r="E123" i="57"/>
  <c r="E79" i="57"/>
  <c r="E195" i="57"/>
  <c r="E137" i="57"/>
  <c r="E72" i="57"/>
  <c r="E9" i="57"/>
  <c r="E168" i="57"/>
  <c r="E163" i="57"/>
  <c r="E132" i="57"/>
  <c r="E70" i="57"/>
  <c r="E197" i="57"/>
  <c r="E40" i="57"/>
  <c r="E184" i="57"/>
  <c r="E151" i="57"/>
  <c r="E55" i="57"/>
  <c r="E185" i="57"/>
  <c r="E140" i="57"/>
  <c r="E43" i="57"/>
  <c r="E124" i="57"/>
  <c r="E57" i="57"/>
  <c r="E135" i="57"/>
  <c r="E101" i="57"/>
  <c r="E62" i="57"/>
  <c r="E194" i="57"/>
  <c r="E198" i="57"/>
  <c r="E75" i="57"/>
  <c r="E54" i="57"/>
  <c r="E31" i="57"/>
  <c r="E19" i="57"/>
  <c r="H27" i="12"/>
  <c r="E165" i="57"/>
  <c r="H122" i="12"/>
  <c r="E32" i="57"/>
  <c r="H60" i="12"/>
  <c r="E27" i="57"/>
  <c r="H109" i="12"/>
  <c r="E69" i="57"/>
  <c r="H134" i="12"/>
  <c r="E193" i="57"/>
  <c r="H131" i="12"/>
  <c r="E39" i="57"/>
  <c r="H16" i="12"/>
  <c r="E60" i="57"/>
  <c r="H7" i="12"/>
  <c r="E63" i="57"/>
  <c r="H68" i="12"/>
  <c r="E50" i="57"/>
  <c r="H18" i="12"/>
  <c r="E99" i="57"/>
  <c r="H65" i="12"/>
  <c r="E4" i="57"/>
  <c r="H92" i="12"/>
  <c r="E87" i="57"/>
  <c r="H184" i="12"/>
  <c r="E176" i="57"/>
  <c r="H164" i="12"/>
  <c r="H101" i="12"/>
  <c r="H50" i="12"/>
  <c r="H9" i="12"/>
  <c r="H44" i="12"/>
  <c r="H143" i="12"/>
  <c r="H171" i="12"/>
  <c r="H49" i="12"/>
  <c r="H169" i="12"/>
  <c r="H48" i="12"/>
  <c r="H141" i="12"/>
  <c r="H180" i="12"/>
  <c r="H106" i="12"/>
  <c r="H81" i="12"/>
  <c r="H181" i="12"/>
  <c r="H178" i="12"/>
  <c r="H142" i="12"/>
  <c r="H183" i="12"/>
  <c r="H45" i="12"/>
  <c r="H186" i="12"/>
  <c r="H196" i="12"/>
  <c r="H29" i="12"/>
  <c r="H188" i="12"/>
  <c r="H154" i="12"/>
  <c r="H14" i="12"/>
  <c r="H90" i="12"/>
  <c r="H23" i="12"/>
  <c r="H179" i="12"/>
  <c r="H132" i="12"/>
  <c r="H173" i="12"/>
  <c r="H139" i="12"/>
  <c r="H26" i="12"/>
  <c r="H89" i="12"/>
  <c r="H78" i="12"/>
  <c r="H74" i="12"/>
  <c r="H21" i="12"/>
  <c r="H72" i="12"/>
  <c r="H56" i="12"/>
  <c r="H176" i="12"/>
  <c r="H10" i="12"/>
  <c r="H3" i="12"/>
  <c r="H96" i="12"/>
  <c r="H76" i="12"/>
  <c r="H35" i="12"/>
  <c r="H162" i="12"/>
  <c r="H135" i="12"/>
  <c r="H185" i="12"/>
  <c r="H125" i="12"/>
  <c r="H54" i="12"/>
  <c r="H28" i="12"/>
  <c r="H117" i="12"/>
  <c r="H152" i="12"/>
  <c r="H158" i="12"/>
  <c r="H145" i="12"/>
  <c r="H103" i="12"/>
  <c r="H153" i="12"/>
  <c r="H187" i="12"/>
  <c r="H40" i="12"/>
  <c r="L22" i="12"/>
  <c r="H22" i="12"/>
  <c r="P17" i="12"/>
  <c r="H17" i="12"/>
  <c r="L138" i="12"/>
  <c r="H138" i="12"/>
  <c r="J144" i="12"/>
  <c r="H144" i="12"/>
  <c r="T129" i="12"/>
  <c r="H129" i="12"/>
  <c r="N38" i="12"/>
  <c r="H38" i="12"/>
  <c r="L133" i="12"/>
  <c r="H133" i="12"/>
  <c r="L100" i="12"/>
  <c r="H100" i="12"/>
  <c r="J115" i="12"/>
  <c r="H115" i="12"/>
  <c r="R155" i="12"/>
  <c r="H155" i="12"/>
  <c r="J62" i="12"/>
  <c r="H62" i="12"/>
  <c r="J157" i="12"/>
  <c r="H157" i="12"/>
  <c r="L80" i="12"/>
  <c r="H80" i="12"/>
  <c r="P93" i="12"/>
  <c r="H93" i="12"/>
  <c r="J85" i="12"/>
  <c r="H85" i="12"/>
  <c r="P190" i="12"/>
  <c r="H190" i="12"/>
  <c r="L11" i="12"/>
  <c r="H11" i="12"/>
  <c r="T170" i="12"/>
  <c r="H170" i="12"/>
  <c r="L79" i="12"/>
  <c r="H79" i="12"/>
  <c r="P75" i="12"/>
  <c r="H75" i="12"/>
  <c r="L42" i="12"/>
  <c r="H42" i="12"/>
  <c r="J31" i="12"/>
  <c r="H31" i="12"/>
  <c r="J13" i="12"/>
  <c r="H13" i="12"/>
  <c r="P151" i="12"/>
  <c r="H151" i="12"/>
  <c r="J114" i="12"/>
  <c r="H114" i="12"/>
  <c r="N159" i="12"/>
  <c r="H159" i="12"/>
  <c r="L108" i="12"/>
  <c r="H108" i="12"/>
  <c r="L84" i="12"/>
  <c r="H84" i="12"/>
  <c r="N126" i="12"/>
  <c r="H126" i="12"/>
  <c r="L58" i="12"/>
  <c r="H58" i="12"/>
  <c r="L175" i="12"/>
  <c r="H175" i="12"/>
  <c r="J33" i="12"/>
  <c r="H33" i="12"/>
  <c r="J41" i="12"/>
  <c r="H41" i="12"/>
  <c r="N167" i="12"/>
  <c r="H167" i="12"/>
  <c r="L203" i="12"/>
  <c r="H203" i="12"/>
  <c r="V77" i="12"/>
  <c r="H77" i="12"/>
  <c r="J71" i="12"/>
  <c r="H71" i="12"/>
  <c r="P67" i="12"/>
  <c r="H67" i="12"/>
  <c r="T64" i="12"/>
  <c r="H64" i="12"/>
  <c r="P136" i="12"/>
  <c r="H136" i="12"/>
  <c r="J39" i="12"/>
  <c r="H39" i="12"/>
  <c r="L147" i="12"/>
  <c r="H147" i="12"/>
  <c r="N24" i="12"/>
  <c r="H24" i="12"/>
  <c r="J124" i="12"/>
  <c r="H124" i="12"/>
  <c r="V19" i="12"/>
  <c r="H19" i="12"/>
  <c r="N174" i="12"/>
  <c r="H174" i="12"/>
  <c r="P107" i="12"/>
  <c r="H107" i="12"/>
  <c r="P99" i="12"/>
  <c r="H99" i="12"/>
  <c r="P91" i="12"/>
  <c r="H91" i="12"/>
  <c r="L83" i="12"/>
  <c r="H83" i="12"/>
  <c r="J121" i="12"/>
  <c r="H121" i="12"/>
  <c r="P36" i="12"/>
  <c r="H36" i="12"/>
  <c r="J200" i="12"/>
  <c r="H200" i="12"/>
  <c r="N161" i="12"/>
  <c r="H161" i="12"/>
  <c r="P150" i="12"/>
  <c r="H150" i="12"/>
  <c r="J47" i="12"/>
  <c r="H47" i="12"/>
  <c r="L73" i="12"/>
  <c r="H73" i="12"/>
  <c r="L199" i="12"/>
  <c r="H199" i="12"/>
  <c r="R105" i="12"/>
  <c r="H105" i="12"/>
  <c r="R97" i="12"/>
  <c r="H97" i="12"/>
  <c r="L43" i="12"/>
  <c r="H43" i="12"/>
  <c r="N6" i="12"/>
  <c r="H6" i="12"/>
  <c r="N163" i="12"/>
  <c r="H163" i="12"/>
  <c r="N195" i="12"/>
  <c r="H195" i="12"/>
  <c r="J12" i="12"/>
  <c r="H12" i="12"/>
  <c r="R166" i="12"/>
  <c r="H166" i="12"/>
  <c r="P168" i="12"/>
  <c r="H168" i="12"/>
  <c r="L198" i="12"/>
  <c r="H198" i="12"/>
  <c r="J193" i="12"/>
  <c r="H193" i="12"/>
  <c r="J118" i="12"/>
  <c r="H118" i="12"/>
  <c r="L165" i="12"/>
  <c r="H165" i="12"/>
  <c r="R202" i="12"/>
  <c r="H202" i="12"/>
  <c r="J51" i="12"/>
  <c r="H51" i="12"/>
  <c r="J191" i="12"/>
  <c r="H191" i="12"/>
  <c r="L34" i="12"/>
  <c r="H34" i="12"/>
  <c r="N156" i="12"/>
  <c r="H156" i="12"/>
  <c r="J123" i="12"/>
  <c r="H123" i="12"/>
  <c r="N8" i="12"/>
  <c r="H8" i="12"/>
  <c r="L192" i="12"/>
  <c r="H192" i="12"/>
  <c r="P25" i="12"/>
  <c r="H25" i="12"/>
  <c r="L104" i="12"/>
  <c r="H104" i="12"/>
  <c r="P88" i="12"/>
  <c r="H88" i="12"/>
  <c r="L70" i="12"/>
  <c r="H70" i="12"/>
  <c r="L63" i="12"/>
  <c r="H63" i="12"/>
  <c r="P15" i="12"/>
  <c r="H15" i="12"/>
  <c r="J30" i="12"/>
  <c r="H30" i="12"/>
  <c r="L52" i="12"/>
  <c r="H52" i="12"/>
  <c r="J59" i="12"/>
  <c r="H59" i="12"/>
  <c r="J111" i="12"/>
  <c r="H111" i="12"/>
  <c r="V95" i="12"/>
  <c r="H95" i="12"/>
  <c r="J87" i="12"/>
  <c r="H87" i="12"/>
  <c r="J197" i="12"/>
  <c r="H197" i="12"/>
  <c r="J130" i="12"/>
  <c r="H130" i="12"/>
  <c r="P137" i="12"/>
  <c r="H137" i="12"/>
  <c r="V189" i="12"/>
  <c r="H189" i="12"/>
  <c r="J98" i="12"/>
  <c r="H98" i="12"/>
  <c r="N61" i="12"/>
  <c r="H61" i="12"/>
  <c r="V194" i="12"/>
  <c r="H194" i="12"/>
  <c r="P116" i="12"/>
  <c r="H116" i="12"/>
  <c r="J160" i="12"/>
  <c r="H160" i="12"/>
  <c r="N146" i="12"/>
  <c r="H146" i="12"/>
  <c r="P172" i="12"/>
  <c r="H172" i="12"/>
  <c r="J20" i="12"/>
  <c r="H20" i="12"/>
  <c r="N69" i="12"/>
  <c r="H69" i="12"/>
  <c r="P112" i="12"/>
  <c r="H112" i="12"/>
  <c r="N66" i="12"/>
  <c r="H66" i="12"/>
  <c r="L182" i="12"/>
  <c r="H182" i="12"/>
  <c r="T53" i="12"/>
  <c r="H53" i="12"/>
  <c r="J2" i="12"/>
  <c r="H2" i="12"/>
  <c r="J4" i="12"/>
  <c r="H4" i="12"/>
  <c r="J127" i="12"/>
  <c r="H127" i="12"/>
  <c r="J37" i="12"/>
  <c r="H37" i="12"/>
  <c r="P201" i="12"/>
  <c r="H201" i="12"/>
  <c r="J119" i="12"/>
  <c r="H119" i="12"/>
  <c r="N5" i="12"/>
  <c r="H5" i="12"/>
  <c r="L128" i="12"/>
  <c r="H128" i="12"/>
  <c r="P82" i="12"/>
  <c r="H82" i="12"/>
  <c r="P113" i="12"/>
  <c r="H113" i="12"/>
  <c r="R148" i="12"/>
  <c r="H148" i="12"/>
  <c r="P57" i="12"/>
  <c r="H57" i="12"/>
  <c r="P55" i="12"/>
  <c r="H55" i="12"/>
  <c r="L120" i="12"/>
  <c r="H120" i="12"/>
  <c r="J110" i="12"/>
  <c r="H110" i="12"/>
  <c r="T102" i="12"/>
  <c r="H102" i="12"/>
  <c r="L94" i="12"/>
  <c r="H94" i="12"/>
  <c r="L86" i="12"/>
  <c r="H86" i="12"/>
  <c r="L149" i="12"/>
  <c r="H149" i="12"/>
  <c r="P46" i="12"/>
  <c r="H46" i="12"/>
  <c r="N177" i="12"/>
  <c r="H177" i="12"/>
  <c r="L32" i="12"/>
  <c r="H32" i="12"/>
  <c r="T140" i="12"/>
  <c r="H140" i="12"/>
  <c r="J128" i="12"/>
  <c r="N149" i="12"/>
  <c r="R46" i="12"/>
  <c r="J182" i="12"/>
  <c r="N148" i="12"/>
  <c r="R37" i="12"/>
  <c r="L102" i="12"/>
  <c r="L82" i="12"/>
  <c r="J202" i="12"/>
  <c r="J92" i="12"/>
  <c r="J113" i="12"/>
  <c r="L53" i="12"/>
  <c r="N32" i="12"/>
  <c r="N120" i="12"/>
  <c r="R5" i="12"/>
  <c r="J69" i="12"/>
  <c r="J63" i="12"/>
  <c r="J102" i="12"/>
  <c r="J201" i="12"/>
  <c r="J5" i="12"/>
  <c r="L57" i="12"/>
  <c r="N102" i="12"/>
  <c r="N119" i="12"/>
  <c r="J140" i="12"/>
  <c r="J46" i="12"/>
  <c r="J53" i="12"/>
  <c r="J120" i="12"/>
  <c r="L5" i="12"/>
  <c r="N55" i="12"/>
  <c r="P182" i="12"/>
  <c r="T46" i="12"/>
  <c r="J76" i="12"/>
  <c r="L127" i="12"/>
  <c r="N53" i="12"/>
  <c r="J25" i="12"/>
  <c r="L148" i="12"/>
  <c r="N113" i="12"/>
  <c r="J8" i="12"/>
  <c r="J84" i="12"/>
  <c r="G141" i="12"/>
  <c r="V141" i="12"/>
  <c r="L141" i="12"/>
  <c r="T141" i="12"/>
  <c r="P141" i="12"/>
  <c r="R141" i="12"/>
  <c r="G188" i="12"/>
  <c r="V188" i="12"/>
  <c r="R188" i="12"/>
  <c r="L188" i="12"/>
  <c r="T188" i="12"/>
  <c r="G44" i="12"/>
  <c r="T44" i="12"/>
  <c r="R44" i="12"/>
  <c r="N44" i="12"/>
  <c r="V44" i="12"/>
  <c r="G35" i="12"/>
  <c r="P35" i="12"/>
  <c r="V35" i="12"/>
  <c r="R35" i="12"/>
  <c r="N35" i="12"/>
  <c r="T35" i="12"/>
  <c r="G14" i="12"/>
  <c r="T14" i="12"/>
  <c r="N14" i="12"/>
  <c r="G81" i="12"/>
  <c r="T81" i="12"/>
  <c r="N81" i="12"/>
  <c r="P81" i="12"/>
  <c r="V81" i="12"/>
  <c r="R81" i="12"/>
  <c r="L81" i="12"/>
  <c r="G171" i="12"/>
  <c r="T171" i="12"/>
  <c r="N171" i="12"/>
  <c r="V171" i="12"/>
  <c r="P171" i="12"/>
  <c r="L171" i="12"/>
  <c r="R171" i="12"/>
  <c r="G181" i="12"/>
  <c r="R181" i="12"/>
  <c r="P181" i="12"/>
  <c r="N181" i="12"/>
  <c r="G176" i="12"/>
  <c r="T176" i="12"/>
  <c r="V176" i="12"/>
  <c r="R176" i="12"/>
  <c r="P176" i="12"/>
  <c r="G3" i="12"/>
  <c r="T3" i="12"/>
  <c r="V3" i="12"/>
  <c r="N3" i="12"/>
  <c r="R3" i="12"/>
  <c r="P3" i="12"/>
  <c r="G178" i="12"/>
  <c r="T178" i="12"/>
  <c r="R178" i="12"/>
  <c r="V178" i="12"/>
  <c r="P178" i="12"/>
  <c r="G49" i="12"/>
  <c r="P49" i="12"/>
  <c r="V49" i="12"/>
  <c r="T49" i="12"/>
  <c r="N49" i="12"/>
  <c r="J49" i="12"/>
  <c r="G132" i="12"/>
  <c r="T132" i="12"/>
  <c r="N132" i="12"/>
  <c r="L132" i="12"/>
  <c r="G139" i="12"/>
  <c r="T139" i="12"/>
  <c r="R139" i="12"/>
  <c r="P139" i="12"/>
  <c r="V139" i="12"/>
  <c r="G78" i="12"/>
  <c r="T78" i="12"/>
  <c r="R78" i="12"/>
  <c r="V78" i="12"/>
  <c r="P78" i="12"/>
  <c r="N78" i="12"/>
  <c r="G162" i="12"/>
  <c r="V162" i="12"/>
  <c r="R162" i="12"/>
  <c r="P162" i="12"/>
  <c r="T162" i="12"/>
  <c r="G135" i="12"/>
  <c r="V135" i="12"/>
  <c r="R135" i="12"/>
  <c r="T135" i="12"/>
  <c r="P135" i="12"/>
  <c r="L135" i="12"/>
  <c r="G59" i="12"/>
  <c r="R59" i="12"/>
  <c r="V59" i="12"/>
  <c r="T59" i="12"/>
  <c r="P59" i="12"/>
  <c r="G125" i="12"/>
  <c r="R125" i="12"/>
  <c r="T125" i="12"/>
  <c r="J125" i="12"/>
  <c r="G54" i="12"/>
  <c r="T54" i="12"/>
  <c r="R54" i="12"/>
  <c r="V54" i="12"/>
  <c r="P54" i="12"/>
  <c r="N54" i="12"/>
  <c r="L54" i="12"/>
  <c r="G117" i="12"/>
  <c r="V117" i="12"/>
  <c r="T117" i="12"/>
  <c r="P117" i="12"/>
  <c r="R117" i="12"/>
  <c r="G152" i="12"/>
  <c r="R152" i="12"/>
  <c r="T152" i="12"/>
  <c r="V152" i="12"/>
  <c r="P152" i="12"/>
  <c r="J152" i="12"/>
  <c r="G145" i="12"/>
  <c r="V145" i="12"/>
  <c r="T145" i="12"/>
  <c r="P145" i="12"/>
  <c r="R145" i="12"/>
  <c r="N145" i="12"/>
  <c r="L145" i="12"/>
  <c r="G103" i="12"/>
  <c r="V103" i="12"/>
  <c r="T103" i="12"/>
  <c r="R103" i="12"/>
  <c r="L103" i="12"/>
  <c r="G87" i="12"/>
  <c r="V87" i="12"/>
  <c r="T87" i="12"/>
  <c r="R87" i="12"/>
  <c r="G197" i="12"/>
  <c r="V197" i="12"/>
  <c r="R197" i="12"/>
  <c r="N197" i="12"/>
  <c r="T197" i="12"/>
  <c r="P197" i="12"/>
  <c r="J175" i="12"/>
  <c r="J91" i="12"/>
  <c r="J108" i="12"/>
  <c r="J95" i="12"/>
  <c r="J166" i="12"/>
  <c r="J167" i="12"/>
  <c r="J55" i="12"/>
  <c r="J67" i="12"/>
  <c r="J100" i="12"/>
  <c r="J75" i="12"/>
  <c r="J162" i="12"/>
  <c r="J174" i="12"/>
  <c r="J165" i="12"/>
  <c r="L33" i="12"/>
  <c r="L200" i="12"/>
  <c r="L98" i="12"/>
  <c r="L167" i="12"/>
  <c r="L156" i="12"/>
  <c r="L160" i="12"/>
  <c r="L144" i="12"/>
  <c r="L126" i="12"/>
  <c r="N176" i="12"/>
  <c r="N141" i="12"/>
  <c r="N19" i="12"/>
  <c r="N100" i="12"/>
  <c r="N165" i="12"/>
  <c r="N121" i="12"/>
  <c r="N123" i="12"/>
  <c r="N135" i="12"/>
  <c r="P98" i="12"/>
  <c r="P14" i="12"/>
  <c r="P138" i="12"/>
  <c r="R8" i="12"/>
  <c r="R137" i="12"/>
  <c r="R67" i="12"/>
  <c r="R73" i="12"/>
  <c r="T121" i="12"/>
  <c r="V125" i="12"/>
  <c r="G12" i="12"/>
  <c r="V12" i="12"/>
  <c r="R12" i="12"/>
  <c r="T12" i="12"/>
  <c r="G154" i="12"/>
  <c r="R154" i="12"/>
  <c r="V154" i="12"/>
  <c r="T154" i="12"/>
  <c r="G56" i="12"/>
  <c r="T56" i="12"/>
  <c r="R56" i="12"/>
  <c r="V56" i="12"/>
  <c r="G118" i="12"/>
  <c r="V118" i="12"/>
  <c r="L118" i="12"/>
  <c r="T118" i="12"/>
  <c r="P118" i="12"/>
  <c r="G90" i="12"/>
  <c r="V90" i="12"/>
  <c r="L90" i="12"/>
  <c r="T90" i="12"/>
  <c r="P90" i="12"/>
  <c r="G10" i="12"/>
  <c r="V10" i="12"/>
  <c r="T10" i="12"/>
  <c r="R10" i="12"/>
  <c r="G161" i="12"/>
  <c r="V161" i="12"/>
  <c r="P161" i="12"/>
  <c r="R161" i="12"/>
  <c r="T161" i="12"/>
  <c r="J161" i="12"/>
  <c r="L161" i="12"/>
  <c r="G23" i="12"/>
  <c r="R23" i="12"/>
  <c r="T23" i="12"/>
  <c r="P23" i="12"/>
  <c r="V23" i="12"/>
  <c r="G142" i="12"/>
  <c r="T142" i="12"/>
  <c r="R142" i="12"/>
  <c r="J142" i="12"/>
  <c r="P142" i="12"/>
  <c r="V142" i="12"/>
  <c r="G173" i="12"/>
  <c r="T173" i="12"/>
  <c r="R173" i="12"/>
  <c r="P173" i="12"/>
  <c r="V173" i="12"/>
  <c r="L173" i="12"/>
  <c r="G26" i="12"/>
  <c r="V26" i="12"/>
  <c r="L26" i="12"/>
  <c r="R26" i="12"/>
  <c r="P26" i="12"/>
  <c r="G74" i="12"/>
  <c r="P74" i="12"/>
  <c r="V74" i="12"/>
  <c r="N74" i="12"/>
  <c r="L74" i="12"/>
  <c r="G30" i="12"/>
  <c r="T30" i="12"/>
  <c r="L30" i="12"/>
  <c r="G52" i="12"/>
  <c r="V52" i="12"/>
  <c r="R52" i="12"/>
  <c r="T52" i="12"/>
  <c r="G169" i="12"/>
  <c r="V169" i="12"/>
  <c r="P169" i="12"/>
  <c r="T169" i="12"/>
  <c r="R169" i="12"/>
  <c r="J169" i="12"/>
  <c r="G185" i="12"/>
  <c r="V185" i="12"/>
  <c r="T185" i="12"/>
  <c r="L185" i="12"/>
  <c r="R185" i="12"/>
  <c r="P185" i="12"/>
  <c r="G183" i="12"/>
  <c r="V183" i="12"/>
  <c r="R183" i="12"/>
  <c r="T183" i="12"/>
  <c r="P183" i="12"/>
  <c r="N183" i="12"/>
  <c r="G28" i="12"/>
  <c r="V28" i="12"/>
  <c r="P28" i="12"/>
  <c r="R28" i="12"/>
  <c r="N28" i="12"/>
  <c r="J28" i="12"/>
  <c r="T28" i="12"/>
  <c r="G48" i="12"/>
  <c r="V48" i="12"/>
  <c r="R48" i="12"/>
  <c r="T48" i="12"/>
  <c r="G158" i="12"/>
  <c r="V158" i="12"/>
  <c r="T158" i="12"/>
  <c r="L158" i="12"/>
  <c r="P158" i="12"/>
  <c r="G111" i="12"/>
  <c r="V111" i="12"/>
  <c r="T111" i="12"/>
  <c r="R111" i="12"/>
  <c r="G95" i="12"/>
  <c r="R95" i="12"/>
  <c r="P95" i="12"/>
  <c r="T95" i="12"/>
  <c r="G153" i="12"/>
  <c r="T153" i="12"/>
  <c r="R153" i="12"/>
  <c r="V153" i="12"/>
  <c r="P153" i="12"/>
  <c r="G187" i="12"/>
  <c r="P187" i="12"/>
  <c r="V187" i="12"/>
  <c r="N187" i="12"/>
  <c r="R187" i="12"/>
  <c r="T187" i="12"/>
  <c r="G130" i="12"/>
  <c r="T130" i="12"/>
  <c r="R130" i="12"/>
  <c r="N130" i="12"/>
  <c r="V130" i="12"/>
  <c r="P130" i="12"/>
  <c r="G40" i="12"/>
  <c r="R40" i="12"/>
  <c r="T40" i="12"/>
  <c r="V40" i="12"/>
  <c r="G182" i="12"/>
  <c r="T182" i="12"/>
  <c r="N182" i="12"/>
  <c r="R182" i="12"/>
  <c r="V182" i="12"/>
  <c r="G53" i="12"/>
  <c r="V53" i="12"/>
  <c r="R53" i="12"/>
  <c r="G2" i="12"/>
  <c r="T2" i="12"/>
  <c r="N2" i="12"/>
  <c r="V2" i="12"/>
  <c r="R2" i="12"/>
  <c r="P2" i="12"/>
  <c r="L2" i="12"/>
  <c r="G4" i="12"/>
  <c r="V4" i="12"/>
  <c r="L4" i="12"/>
  <c r="R4" i="12"/>
  <c r="T4" i="12"/>
  <c r="P4" i="12"/>
  <c r="N4" i="12"/>
  <c r="G127" i="12"/>
  <c r="T127" i="12"/>
  <c r="N127" i="12"/>
  <c r="P127" i="12"/>
  <c r="R127" i="12"/>
  <c r="G37" i="12"/>
  <c r="V37" i="12"/>
  <c r="T37" i="12"/>
  <c r="P37" i="12"/>
  <c r="N37" i="12"/>
  <c r="G201" i="12"/>
  <c r="V201" i="12"/>
  <c r="R201" i="12"/>
  <c r="T201" i="12"/>
  <c r="L201" i="12"/>
  <c r="G119" i="12"/>
  <c r="R119" i="12"/>
  <c r="P119" i="12"/>
  <c r="T119" i="12"/>
  <c r="V119" i="12"/>
  <c r="L119" i="12"/>
  <c r="G5" i="12"/>
  <c r="V5" i="12"/>
  <c r="T5" i="12"/>
  <c r="P5" i="12"/>
  <c r="G128" i="12"/>
  <c r="R128" i="12"/>
  <c r="P128" i="12"/>
  <c r="V128" i="12"/>
  <c r="T128" i="12"/>
  <c r="N128" i="12"/>
  <c r="G82" i="12"/>
  <c r="V82" i="12"/>
  <c r="R82" i="12"/>
  <c r="T82" i="12"/>
  <c r="N82" i="12"/>
  <c r="J82" i="12"/>
  <c r="G113" i="12"/>
  <c r="V113" i="12"/>
  <c r="R113" i="12"/>
  <c r="T113" i="12"/>
  <c r="L113" i="12"/>
  <c r="G148" i="12"/>
  <c r="V148" i="12"/>
  <c r="P148" i="12"/>
  <c r="J148" i="12"/>
  <c r="G57" i="12"/>
  <c r="R57" i="12"/>
  <c r="V57" i="12"/>
  <c r="T57" i="12"/>
  <c r="N57" i="12"/>
  <c r="J57" i="12"/>
  <c r="G55" i="12"/>
  <c r="V55" i="12"/>
  <c r="L55" i="12"/>
  <c r="R55" i="12"/>
  <c r="T55" i="12"/>
  <c r="G120" i="12"/>
  <c r="V120" i="12"/>
  <c r="R120" i="12"/>
  <c r="T120" i="12"/>
  <c r="P120" i="12"/>
  <c r="G110" i="12"/>
  <c r="V110" i="12"/>
  <c r="L110" i="12"/>
  <c r="T110" i="12"/>
  <c r="N110" i="12"/>
  <c r="P110" i="12"/>
  <c r="G102" i="12"/>
  <c r="R102" i="12"/>
  <c r="P102" i="12"/>
  <c r="V102" i="12"/>
  <c r="G94" i="12"/>
  <c r="V94" i="12"/>
  <c r="R94" i="12"/>
  <c r="T94" i="12"/>
  <c r="P94" i="12"/>
  <c r="G86" i="12"/>
  <c r="T86" i="12"/>
  <c r="V86" i="12"/>
  <c r="R86" i="12"/>
  <c r="P86" i="12"/>
  <c r="G149" i="12"/>
  <c r="V149" i="12"/>
  <c r="R149" i="12"/>
  <c r="P149" i="12"/>
  <c r="G46" i="12"/>
  <c r="V46" i="12"/>
  <c r="N46" i="12"/>
  <c r="L46" i="12"/>
  <c r="G177" i="12"/>
  <c r="V177" i="12"/>
  <c r="R177" i="12"/>
  <c r="L177" i="12"/>
  <c r="T177" i="12"/>
  <c r="P177" i="12"/>
  <c r="G32" i="12"/>
  <c r="V32" i="12"/>
  <c r="P32" i="12"/>
  <c r="R32" i="12"/>
  <c r="T32" i="12"/>
  <c r="J32" i="12"/>
  <c r="G140" i="12"/>
  <c r="V140" i="12"/>
  <c r="R140" i="12"/>
  <c r="P140" i="12"/>
  <c r="N140" i="12"/>
  <c r="L140" i="12"/>
  <c r="J11" i="12"/>
  <c r="J177" i="12"/>
  <c r="J10" i="12"/>
  <c r="J42" i="12"/>
  <c r="J88" i="12"/>
  <c r="J86" i="12"/>
  <c r="J94" i="12"/>
  <c r="J195" i="12"/>
  <c r="J99" i="12"/>
  <c r="J56" i="12"/>
  <c r="J189" i="12"/>
  <c r="J136" i="12"/>
  <c r="J3" i="12"/>
  <c r="J188" i="12"/>
  <c r="J187" i="12"/>
  <c r="J149" i="12"/>
  <c r="J34" i="12"/>
  <c r="L23" i="12"/>
  <c r="L169" i="12"/>
  <c r="L36" i="12"/>
  <c r="L37" i="12"/>
  <c r="L136" i="12"/>
  <c r="L111" i="12"/>
  <c r="L124" i="12"/>
  <c r="L187" i="12"/>
  <c r="L152" i="12"/>
  <c r="L151" i="12"/>
  <c r="L77" i="12"/>
  <c r="N30" i="12"/>
  <c r="N10" i="12"/>
  <c r="N201" i="12"/>
  <c r="N189" i="12"/>
  <c r="N97" i="12"/>
  <c r="N73" i="12"/>
  <c r="N152" i="12"/>
  <c r="N117" i="12"/>
  <c r="P40" i="12"/>
  <c r="P10" i="12"/>
  <c r="P43" i="12"/>
  <c r="P53" i="12"/>
  <c r="R83" i="12"/>
  <c r="R66" i="12"/>
  <c r="R74" i="12"/>
  <c r="R118" i="12"/>
  <c r="T43" i="12"/>
  <c r="T148" i="12"/>
  <c r="V98" i="12"/>
  <c r="V127" i="12"/>
  <c r="G198" i="12"/>
  <c r="T198" i="12"/>
  <c r="N198" i="12"/>
  <c r="V198" i="12"/>
  <c r="R198" i="12"/>
  <c r="P198" i="12"/>
  <c r="G180" i="12"/>
  <c r="R180" i="12"/>
  <c r="T180" i="12"/>
  <c r="V180" i="12"/>
  <c r="P180" i="12"/>
  <c r="L180" i="12"/>
  <c r="N180" i="12"/>
  <c r="G22" i="12"/>
  <c r="V22" i="12"/>
  <c r="P22" i="12"/>
  <c r="R22" i="12"/>
  <c r="T22" i="12"/>
  <c r="N22" i="12"/>
  <c r="J22" i="12"/>
  <c r="G164" i="12"/>
  <c r="P164" i="12"/>
  <c r="V164" i="12"/>
  <c r="T164" i="12"/>
  <c r="N164" i="12"/>
  <c r="G155" i="12"/>
  <c r="V155" i="12"/>
  <c r="T155" i="12"/>
  <c r="P155" i="12"/>
  <c r="J155" i="12"/>
  <c r="N155" i="12"/>
  <c r="G62" i="12"/>
  <c r="V62" i="12"/>
  <c r="N62" i="12"/>
  <c r="R62" i="12"/>
  <c r="P62" i="12"/>
  <c r="G72" i="12"/>
  <c r="V72" i="12"/>
  <c r="T72" i="12"/>
  <c r="R72" i="12"/>
  <c r="J72" i="12"/>
  <c r="G17" i="12"/>
  <c r="V17" i="12"/>
  <c r="T17" i="12"/>
  <c r="L17" i="12"/>
  <c r="G80" i="12"/>
  <c r="P80" i="12"/>
  <c r="V80" i="12"/>
  <c r="N80" i="12"/>
  <c r="T80" i="12"/>
  <c r="R80" i="12"/>
  <c r="G144" i="12"/>
  <c r="V144" i="12"/>
  <c r="T144" i="12"/>
  <c r="P144" i="12"/>
  <c r="R144" i="12"/>
  <c r="G129" i="12"/>
  <c r="V129" i="12"/>
  <c r="L129" i="12"/>
  <c r="P129" i="12"/>
  <c r="R129" i="12"/>
  <c r="G109" i="12"/>
  <c r="R109" i="12"/>
  <c r="P109" i="12"/>
  <c r="V109" i="12"/>
  <c r="T109" i="12"/>
  <c r="G101" i="12"/>
  <c r="V101" i="12"/>
  <c r="R101" i="12"/>
  <c r="T101" i="12"/>
  <c r="G85" i="12"/>
  <c r="T85" i="12"/>
  <c r="R85" i="12"/>
  <c r="V85" i="12"/>
  <c r="P85" i="12"/>
  <c r="G134" i="12"/>
  <c r="V134" i="12"/>
  <c r="R134" i="12"/>
  <c r="T134" i="12"/>
  <c r="P134" i="12"/>
  <c r="J134" i="12"/>
  <c r="L134" i="12"/>
  <c r="G50" i="12"/>
  <c r="R50" i="12"/>
  <c r="P50" i="12"/>
  <c r="V50" i="12"/>
  <c r="G190" i="12"/>
  <c r="T190" i="12"/>
  <c r="N190" i="12"/>
  <c r="R190" i="12"/>
  <c r="G11" i="12"/>
  <c r="V11" i="12"/>
  <c r="R11" i="12"/>
  <c r="T11" i="12"/>
  <c r="P11" i="12"/>
  <c r="G9" i="12"/>
  <c r="V9" i="12"/>
  <c r="R9" i="12"/>
  <c r="N9" i="12"/>
  <c r="T9" i="12"/>
  <c r="L9" i="12"/>
  <c r="J26" i="12"/>
  <c r="J178" i="12"/>
  <c r="J109" i="12"/>
  <c r="J116" i="12"/>
  <c r="J64" i="12"/>
  <c r="J19" i="12"/>
  <c r="J50" i="12"/>
  <c r="J192" i="12"/>
  <c r="J52" i="12"/>
  <c r="J133" i="12"/>
  <c r="J173" i="12"/>
  <c r="J183" i="12"/>
  <c r="L41" i="12"/>
  <c r="L155" i="12"/>
  <c r="L87" i="12"/>
  <c r="L137" i="12"/>
  <c r="L166" i="12"/>
  <c r="L78" i="12"/>
  <c r="L197" i="12"/>
  <c r="L189" i="12"/>
  <c r="L130" i="12"/>
  <c r="L162" i="12"/>
  <c r="L150" i="12"/>
  <c r="N12" i="12"/>
  <c r="N178" i="12"/>
  <c r="N158" i="12"/>
  <c r="N199" i="12"/>
  <c r="N142" i="12"/>
  <c r="P41" i="12"/>
  <c r="P160" i="12"/>
  <c r="P193" i="12"/>
  <c r="P34" i="12"/>
  <c r="R14" i="12"/>
  <c r="R194" i="12"/>
  <c r="R49" i="12"/>
  <c r="T62" i="12"/>
  <c r="T172" i="12"/>
  <c r="G143" i="12"/>
  <c r="P143" i="12"/>
  <c r="V143" i="12"/>
  <c r="R143" i="12"/>
  <c r="N143" i="12"/>
  <c r="T143" i="12"/>
  <c r="G27" i="12"/>
  <c r="V27" i="12"/>
  <c r="P27" i="12"/>
  <c r="R27" i="12"/>
  <c r="L27" i="12"/>
  <c r="J27" i="12"/>
  <c r="G163" i="12"/>
  <c r="V163" i="12"/>
  <c r="L163" i="12"/>
  <c r="T163" i="12"/>
  <c r="G122" i="12"/>
  <c r="R122" i="12"/>
  <c r="V122" i="12"/>
  <c r="P122" i="12"/>
  <c r="T122" i="12"/>
  <c r="N122" i="12"/>
  <c r="L122" i="12"/>
  <c r="G195" i="12"/>
  <c r="V195" i="12"/>
  <c r="R195" i="12"/>
  <c r="L195" i="12"/>
  <c r="T195" i="12"/>
  <c r="P195" i="12"/>
  <c r="G157" i="12"/>
  <c r="V157" i="12"/>
  <c r="T157" i="12"/>
  <c r="P157" i="12"/>
  <c r="R157" i="12"/>
  <c r="N157" i="12"/>
  <c r="G138" i="12"/>
  <c r="T138" i="12"/>
  <c r="R138" i="12"/>
  <c r="V138" i="12"/>
  <c r="G60" i="12"/>
  <c r="V60" i="12"/>
  <c r="R60" i="12"/>
  <c r="T60" i="12"/>
  <c r="P60" i="12"/>
  <c r="N60" i="12"/>
  <c r="L60" i="12"/>
  <c r="G45" i="12"/>
  <c r="T45" i="12"/>
  <c r="R45" i="12"/>
  <c r="V45" i="12"/>
  <c r="P45" i="12"/>
  <c r="N45" i="12"/>
  <c r="L45" i="12"/>
  <c r="G93" i="12"/>
  <c r="V93" i="12"/>
  <c r="T93" i="12"/>
  <c r="G131" i="12"/>
  <c r="V131" i="12"/>
  <c r="L131" i="12"/>
  <c r="R131" i="12"/>
  <c r="T131" i="12"/>
  <c r="P131" i="12"/>
  <c r="N131" i="12"/>
  <c r="G16" i="12"/>
  <c r="V16" i="12"/>
  <c r="T16" i="12"/>
  <c r="P16" i="12"/>
  <c r="R16" i="12"/>
  <c r="J16" i="12"/>
  <c r="G38" i="12"/>
  <c r="V38" i="12"/>
  <c r="R38" i="12"/>
  <c r="P38" i="12"/>
  <c r="T38" i="12"/>
  <c r="L38" i="12"/>
  <c r="J38" i="12"/>
  <c r="G170" i="12"/>
  <c r="V170" i="12"/>
  <c r="L170" i="12"/>
  <c r="P170" i="12"/>
  <c r="R170" i="12"/>
  <c r="G79" i="12"/>
  <c r="V79" i="12"/>
  <c r="T79" i="12"/>
  <c r="P79" i="12"/>
  <c r="G75" i="12"/>
  <c r="T75" i="12"/>
  <c r="N75" i="12"/>
  <c r="V75" i="12"/>
  <c r="R75" i="12"/>
  <c r="G42" i="12"/>
  <c r="T42" i="12"/>
  <c r="R42" i="12"/>
  <c r="G7" i="12"/>
  <c r="R7" i="12"/>
  <c r="P7" i="12"/>
  <c r="T7" i="12"/>
  <c r="V7" i="12"/>
  <c r="L7" i="12"/>
  <c r="G68" i="12"/>
  <c r="P68" i="12"/>
  <c r="V68" i="12"/>
  <c r="T68" i="12"/>
  <c r="N68" i="12"/>
  <c r="G31" i="12"/>
  <c r="R31" i="12"/>
  <c r="P31" i="12"/>
  <c r="T31" i="12"/>
  <c r="G13" i="12"/>
  <c r="V13" i="12"/>
  <c r="N13" i="12"/>
  <c r="T13" i="12"/>
  <c r="R13" i="12"/>
  <c r="L13" i="12"/>
  <c r="G151" i="12"/>
  <c r="T151" i="12"/>
  <c r="V151" i="12"/>
  <c r="N151" i="12"/>
  <c r="R151" i="12"/>
  <c r="G18" i="12"/>
  <c r="R18" i="12"/>
  <c r="T18" i="12"/>
  <c r="V18" i="12"/>
  <c r="L18" i="12"/>
  <c r="N18" i="12"/>
  <c r="J18" i="12"/>
  <c r="G133" i="12"/>
  <c r="T133" i="12"/>
  <c r="N133" i="12"/>
  <c r="V133" i="12"/>
  <c r="R133" i="12"/>
  <c r="P133" i="12"/>
  <c r="G65" i="12"/>
  <c r="V65" i="12"/>
  <c r="R65" i="12"/>
  <c r="T65" i="12"/>
  <c r="P65" i="12"/>
  <c r="N65" i="12"/>
  <c r="J65" i="12"/>
  <c r="G114" i="12"/>
  <c r="V114" i="12"/>
  <c r="T114" i="12"/>
  <c r="P114" i="12"/>
  <c r="R114" i="12"/>
  <c r="G159" i="12"/>
  <c r="V159" i="12"/>
  <c r="R159" i="12"/>
  <c r="T159" i="12"/>
  <c r="P159" i="12"/>
  <c r="G108" i="12"/>
  <c r="V108" i="12"/>
  <c r="T108" i="12"/>
  <c r="G100" i="12"/>
  <c r="T100" i="12"/>
  <c r="R100" i="12"/>
  <c r="V100" i="12"/>
  <c r="P100" i="12"/>
  <c r="G92" i="12"/>
  <c r="V92" i="12"/>
  <c r="T92" i="12"/>
  <c r="R92" i="12"/>
  <c r="G84" i="12"/>
  <c r="T84" i="12"/>
  <c r="R84" i="12"/>
  <c r="V84" i="12"/>
  <c r="P84" i="12"/>
  <c r="G126" i="12"/>
  <c r="V126" i="12"/>
  <c r="P126" i="12"/>
  <c r="R126" i="12"/>
  <c r="J126" i="12"/>
  <c r="G58" i="12"/>
  <c r="V58" i="12"/>
  <c r="R58" i="12"/>
  <c r="T58" i="12"/>
  <c r="G184" i="12"/>
  <c r="V184" i="12"/>
  <c r="R184" i="12"/>
  <c r="T184" i="12"/>
  <c r="G175" i="12"/>
  <c r="T175" i="12"/>
  <c r="N175" i="12"/>
  <c r="V175" i="12"/>
  <c r="P175" i="12"/>
  <c r="R175" i="12"/>
  <c r="G115" i="12"/>
  <c r="P115" i="12"/>
  <c r="V115" i="12"/>
  <c r="N115" i="12"/>
  <c r="R115" i="12"/>
  <c r="L115" i="12"/>
  <c r="J6" i="12"/>
  <c r="J101" i="12"/>
  <c r="J190" i="12"/>
  <c r="J58" i="12"/>
  <c r="J141" i="12"/>
  <c r="J93" i="12"/>
  <c r="J78" i="12"/>
  <c r="J168" i="12"/>
  <c r="J14" i="12"/>
  <c r="J48" i="12"/>
  <c r="J170" i="12"/>
  <c r="J73" i="12"/>
  <c r="J112" i="12"/>
  <c r="J143" i="12"/>
  <c r="J60" i="12"/>
  <c r="J145" i="12"/>
  <c r="J80" i="12"/>
  <c r="J172" i="12"/>
  <c r="L176" i="12"/>
  <c r="L184" i="12"/>
  <c r="L109" i="12"/>
  <c r="L190" i="12"/>
  <c r="L59" i="12"/>
  <c r="L67" i="12"/>
  <c r="L48" i="12"/>
  <c r="L164" i="12"/>
  <c r="L157" i="12"/>
  <c r="L65" i="12"/>
  <c r="L153" i="12"/>
  <c r="L35" i="12"/>
  <c r="L117" i="12"/>
  <c r="N27" i="12"/>
  <c r="N58" i="12"/>
  <c r="N7" i="12"/>
  <c r="N59" i="12"/>
  <c r="N67" i="12"/>
  <c r="N52" i="12"/>
  <c r="N160" i="12"/>
  <c r="N144" i="12"/>
  <c r="N20" i="12"/>
  <c r="P30" i="12"/>
  <c r="P108" i="12"/>
  <c r="P58" i="12"/>
  <c r="P48" i="12"/>
  <c r="P188" i="12"/>
  <c r="P125" i="12"/>
  <c r="R108" i="12"/>
  <c r="R93" i="12"/>
  <c r="R156" i="12"/>
  <c r="R132" i="12"/>
  <c r="R79" i="12"/>
  <c r="T160" i="12"/>
  <c r="T27" i="12"/>
  <c r="G33" i="12"/>
  <c r="T33" i="12"/>
  <c r="R33" i="12"/>
  <c r="V33" i="12"/>
  <c r="P33" i="12"/>
  <c r="G41" i="12"/>
  <c r="T41" i="12"/>
  <c r="V41" i="12"/>
  <c r="G167" i="12"/>
  <c r="V167" i="12"/>
  <c r="R167" i="12"/>
  <c r="T167" i="12"/>
  <c r="G203" i="12"/>
  <c r="R203" i="12"/>
  <c r="T203" i="12"/>
  <c r="V203" i="12"/>
  <c r="P203" i="12"/>
  <c r="N203" i="12"/>
  <c r="G77" i="12"/>
  <c r="T77" i="12"/>
  <c r="R77" i="12"/>
  <c r="J77" i="12"/>
  <c r="G71" i="12"/>
  <c r="V71" i="12"/>
  <c r="R71" i="12"/>
  <c r="T71" i="12"/>
  <c r="P71" i="12"/>
  <c r="N71" i="12"/>
  <c r="G67" i="12"/>
  <c r="V67" i="12"/>
  <c r="T67" i="12"/>
  <c r="G64" i="12"/>
  <c r="V64" i="12"/>
  <c r="L64" i="12"/>
  <c r="R64" i="12"/>
  <c r="P64" i="12"/>
  <c r="N64" i="12"/>
  <c r="G186" i="12"/>
  <c r="V186" i="12"/>
  <c r="R186" i="12"/>
  <c r="P186" i="12"/>
  <c r="T186" i="12"/>
  <c r="L186" i="12"/>
  <c r="J186" i="12"/>
  <c r="G136" i="12"/>
  <c r="V136" i="12"/>
  <c r="R136" i="12"/>
  <c r="N136" i="12"/>
  <c r="T136" i="12"/>
  <c r="G39" i="12"/>
  <c r="V39" i="12"/>
  <c r="N39" i="12"/>
  <c r="T39" i="12"/>
  <c r="R39" i="12"/>
  <c r="P39" i="12"/>
  <c r="G147" i="12"/>
  <c r="V147" i="12"/>
  <c r="R147" i="12"/>
  <c r="T147" i="12"/>
  <c r="P147" i="12"/>
  <c r="G24" i="12"/>
  <c r="V24" i="12"/>
  <c r="T24" i="12"/>
  <c r="P24" i="12"/>
  <c r="J24" i="12"/>
  <c r="R24" i="12"/>
  <c r="G124" i="12"/>
  <c r="T124" i="12"/>
  <c r="R124" i="12"/>
  <c r="P124" i="12"/>
  <c r="V124" i="12"/>
  <c r="G196" i="12"/>
  <c r="V196" i="12"/>
  <c r="R196" i="12"/>
  <c r="T196" i="12"/>
  <c r="G19" i="12"/>
  <c r="T19" i="12"/>
  <c r="R19" i="12"/>
  <c r="P19" i="12"/>
  <c r="G174" i="12"/>
  <c r="V174" i="12"/>
  <c r="L174" i="12"/>
  <c r="P174" i="12"/>
  <c r="R174" i="12"/>
  <c r="T174" i="12"/>
  <c r="G107" i="12"/>
  <c r="V107" i="12"/>
  <c r="R107" i="12"/>
  <c r="T107" i="12"/>
  <c r="L107" i="12"/>
  <c r="G99" i="12"/>
  <c r="V99" i="12"/>
  <c r="T99" i="12"/>
  <c r="G91" i="12"/>
  <c r="V91" i="12"/>
  <c r="L91" i="12"/>
  <c r="R91" i="12"/>
  <c r="T91" i="12"/>
  <c r="G83" i="12"/>
  <c r="V83" i="12"/>
  <c r="P83" i="12"/>
  <c r="T83" i="12"/>
  <c r="J83" i="12"/>
  <c r="G121" i="12"/>
  <c r="V121" i="12"/>
  <c r="L121" i="12"/>
  <c r="G36" i="12"/>
  <c r="V36" i="12"/>
  <c r="T36" i="12"/>
  <c r="N36" i="12"/>
  <c r="R36" i="12"/>
  <c r="G200" i="12"/>
  <c r="R200" i="12"/>
  <c r="P200" i="12"/>
  <c r="T200" i="12"/>
  <c r="V200" i="12"/>
  <c r="G29" i="12"/>
  <c r="V29" i="12"/>
  <c r="P29" i="12"/>
  <c r="R29" i="12"/>
  <c r="T29" i="12"/>
  <c r="N29" i="12"/>
  <c r="J29" i="12"/>
  <c r="L29" i="12"/>
  <c r="J176" i="12"/>
  <c r="J23" i="12"/>
  <c r="J203" i="12"/>
  <c r="J43" i="12"/>
  <c r="J139" i="12"/>
  <c r="J198" i="12"/>
  <c r="J163" i="12"/>
  <c r="J154" i="12"/>
  <c r="J132" i="12"/>
  <c r="J45" i="12"/>
  <c r="J151" i="12"/>
  <c r="J79" i="12"/>
  <c r="L181" i="12"/>
  <c r="L10" i="12"/>
  <c r="L105" i="12"/>
  <c r="L62" i="12"/>
  <c r="L93" i="12"/>
  <c r="L16" i="12"/>
  <c r="L56" i="12"/>
  <c r="L97" i="12"/>
  <c r="L75" i="12"/>
  <c r="L112" i="12"/>
  <c r="L143" i="12"/>
  <c r="L125" i="12"/>
  <c r="L44" i="12"/>
  <c r="L142" i="12"/>
  <c r="N40" i="12"/>
  <c r="N25" i="12"/>
  <c r="N16" i="12"/>
  <c r="N56" i="12"/>
  <c r="N129" i="12"/>
  <c r="N170" i="12"/>
  <c r="N134" i="12"/>
  <c r="N124" i="12"/>
  <c r="N153" i="12"/>
  <c r="N118" i="12"/>
  <c r="N186" i="12"/>
  <c r="P42" i="12"/>
  <c r="P56" i="12"/>
  <c r="P163" i="12"/>
  <c r="P72" i="12"/>
  <c r="P77" i="12"/>
  <c r="R163" i="12"/>
  <c r="R17" i="12"/>
  <c r="T26" i="12"/>
  <c r="T74" i="12"/>
  <c r="V181" i="12"/>
  <c r="V14" i="12"/>
  <c r="J181" i="12"/>
  <c r="J9" i="12"/>
  <c r="J90" i="12"/>
  <c r="J137" i="12"/>
  <c r="J129" i="12"/>
  <c r="J97" i="12"/>
  <c r="J138" i="12"/>
  <c r="J35" i="12"/>
  <c r="J147" i="12"/>
  <c r="J150" i="12"/>
  <c r="L178" i="12"/>
  <c r="L101" i="12"/>
  <c r="L95" i="12"/>
  <c r="L139" i="12"/>
  <c r="L196" i="12"/>
  <c r="L50" i="12"/>
  <c r="L14" i="12"/>
  <c r="L28" i="12"/>
  <c r="L71" i="12"/>
  <c r="L154" i="12"/>
  <c r="L72" i="12"/>
  <c r="L49" i="12"/>
  <c r="N11" i="12"/>
  <c r="N33" i="12"/>
  <c r="N185" i="12"/>
  <c r="N200" i="12"/>
  <c r="N137" i="12"/>
  <c r="N196" i="12"/>
  <c r="N50" i="12"/>
  <c r="N31" i="12"/>
  <c r="N111" i="12"/>
  <c r="N162" i="12"/>
  <c r="N125" i="12"/>
  <c r="N114" i="12"/>
  <c r="N79" i="12"/>
  <c r="P12" i="12"/>
  <c r="P101" i="12"/>
  <c r="P167" i="12"/>
  <c r="P97" i="12"/>
  <c r="P154" i="12"/>
  <c r="P121" i="12"/>
  <c r="R63" i="12"/>
  <c r="T181" i="12"/>
  <c r="T115" i="12"/>
  <c r="V30" i="12"/>
  <c r="V31" i="12"/>
  <c r="G168" i="12"/>
  <c r="V168" i="12"/>
  <c r="N168" i="12"/>
  <c r="R168" i="12"/>
  <c r="T168" i="12"/>
  <c r="G137" i="12"/>
  <c r="V137" i="12"/>
  <c r="T137" i="12"/>
  <c r="G189" i="12"/>
  <c r="R189" i="12"/>
  <c r="P189" i="12"/>
  <c r="T189" i="12"/>
  <c r="G106" i="12"/>
  <c r="V106" i="12"/>
  <c r="T106" i="12"/>
  <c r="R106" i="12"/>
  <c r="L106" i="12"/>
  <c r="G61" i="12"/>
  <c r="T61" i="12"/>
  <c r="R61" i="12"/>
  <c r="V61" i="12"/>
  <c r="P61" i="12"/>
  <c r="L61" i="12"/>
  <c r="G47" i="12"/>
  <c r="V47" i="12"/>
  <c r="R47" i="12"/>
  <c r="P47" i="12"/>
  <c r="N47" i="12"/>
  <c r="L47" i="12"/>
  <c r="G179" i="12"/>
  <c r="R179" i="12"/>
  <c r="P179" i="12"/>
  <c r="T179" i="12"/>
  <c r="V179" i="12"/>
  <c r="L179" i="12"/>
  <c r="G199" i="12"/>
  <c r="V199" i="12"/>
  <c r="P199" i="12"/>
  <c r="T199" i="12"/>
  <c r="J199" i="12"/>
  <c r="R199" i="12"/>
  <c r="G105" i="12"/>
  <c r="V105" i="12"/>
  <c r="P105" i="12"/>
  <c r="J105" i="12"/>
  <c r="G97" i="12"/>
  <c r="V97" i="12"/>
  <c r="T97" i="12"/>
  <c r="G89" i="12"/>
  <c r="R89" i="12"/>
  <c r="T89" i="12"/>
  <c r="V89" i="12"/>
  <c r="P89" i="12"/>
  <c r="L89" i="12"/>
  <c r="G43" i="12"/>
  <c r="V43" i="12"/>
  <c r="R43" i="12"/>
  <c r="G6" i="12"/>
  <c r="R6" i="12"/>
  <c r="P6" i="12"/>
  <c r="V6" i="12"/>
  <c r="G21" i="12"/>
  <c r="T21" i="12"/>
  <c r="R21" i="12"/>
  <c r="V21" i="12"/>
  <c r="P21" i="12"/>
  <c r="N21" i="12"/>
  <c r="L21" i="12"/>
  <c r="J122" i="12"/>
  <c r="J171" i="12"/>
  <c r="J107" i="12"/>
  <c r="J7" i="12"/>
  <c r="J81" i="12"/>
  <c r="J131" i="12"/>
  <c r="J61" i="12"/>
  <c r="J179" i="12"/>
  <c r="J74" i="12"/>
  <c r="J194" i="12"/>
  <c r="J17" i="12"/>
  <c r="J153" i="12"/>
  <c r="J44" i="12"/>
  <c r="J135" i="12"/>
  <c r="L12" i="12"/>
  <c r="L6" i="12"/>
  <c r="L116" i="12"/>
  <c r="L99" i="12"/>
  <c r="L66" i="12"/>
  <c r="L39" i="12"/>
  <c r="L24" i="12"/>
  <c r="L68" i="12"/>
  <c r="L114" i="12"/>
  <c r="N26" i="12"/>
  <c r="N23" i="12"/>
  <c r="N169" i="12"/>
  <c r="N139" i="12"/>
  <c r="N138" i="12"/>
  <c r="N188" i="12"/>
  <c r="N17" i="12"/>
  <c r="N72" i="12"/>
  <c r="N173" i="12"/>
  <c r="N77" i="12"/>
  <c r="P9" i="12"/>
  <c r="P106" i="12"/>
  <c r="P13" i="12"/>
  <c r="P103" i="12"/>
  <c r="P52" i="12"/>
  <c r="P44" i="12"/>
  <c r="R41" i="12"/>
  <c r="R90" i="12"/>
  <c r="R99" i="12"/>
  <c r="R164" i="12"/>
  <c r="R68" i="12"/>
  <c r="T6" i="12"/>
  <c r="T50" i="12"/>
  <c r="T126" i="12"/>
  <c r="V42" i="12"/>
  <c r="G166" i="12"/>
  <c r="T166" i="12"/>
  <c r="N166" i="12"/>
  <c r="V166" i="12"/>
  <c r="P166" i="12"/>
  <c r="G193" i="12"/>
  <c r="V193" i="12"/>
  <c r="L193" i="12"/>
  <c r="R193" i="12"/>
  <c r="T193" i="12"/>
  <c r="N193" i="12"/>
  <c r="G98" i="12"/>
  <c r="T98" i="12"/>
  <c r="R98" i="12"/>
  <c r="G194" i="12"/>
  <c r="T194" i="12"/>
  <c r="N194" i="12"/>
  <c r="L194" i="12"/>
  <c r="P194" i="12"/>
  <c r="G150" i="12"/>
  <c r="R150" i="12"/>
  <c r="V150" i="12"/>
  <c r="T150" i="12"/>
  <c r="G73" i="12"/>
  <c r="V73" i="12"/>
  <c r="T73" i="12"/>
  <c r="P73" i="12"/>
  <c r="G116" i="12"/>
  <c r="V116" i="12"/>
  <c r="R116" i="12"/>
  <c r="T116" i="12"/>
  <c r="G165" i="12"/>
  <c r="T165" i="12"/>
  <c r="R165" i="12"/>
  <c r="V165" i="12"/>
  <c r="P165" i="12"/>
  <c r="G160" i="12"/>
  <c r="R160" i="12"/>
  <c r="V160" i="12"/>
  <c r="G202" i="12"/>
  <c r="T202" i="12"/>
  <c r="N202" i="12"/>
  <c r="V202" i="12"/>
  <c r="P202" i="12"/>
  <c r="L202" i="12"/>
  <c r="G146" i="12"/>
  <c r="R146" i="12"/>
  <c r="P146" i="12"/>
  <c r="V146" i="12"/>
  <c r="T146" i="12"/>
  <c r="J146" i="12"/>
  <c r="G51" i="12"/>
  <c r="V51" i="12"/>
  <c r="T51" i="12"/>
  <c r="R51" i="12"/>
  <c r="P51" i="12"/>
  <c r="N51" i="12"/>
  <c r="L51" i="12"/>
  <c r="G191" i="12"/>
  <c r="V191" i="12"/>
  <c r="T191" i="12"/>
  <c r="R191" i="12"/>
  <c r="P191" i="12"/>
  <c r="N191" i="12"/>
  <c r="L191" i="12"/>
  <c r="G172" i="12"/>
  <c r="V172" i="12"/>
  <c r="L172" i="12"/>
  <c r="R172" i="12"/>
  <c r="N172" i="12"/>
  <c r="G34" i="12"/>
  <c r="T34" i="12"/>
  <c r="N34" i="12"/>
  <c r="V34" i="12"/>
  <c r="R34" i="12"/>
  <c r="G156" i="12"/>
  <c r="V156" i="12"/>
  <c r="P156" i="12"/>
  <c r="T156" i="12"/>
  <c r="J156" i="12"/>
  <c r="G20" i="12"/>
  <c r="V20" i="12"/>
  <c r="T20" i="12"/>
  <c r="P20" i="12"/>
  <c r="R20" i="12"/>
  <c r="L20" i="12"/>
  <c r="G123" i="12"/>
  <c r="V123" i="12"/>
  <c r="L123" i="12"/>
  <c r="T123" i="12"/>
  <c r="R123" i="12"/>
  <c r="P123" i="12"/>
  <c r="G8" i="12"/>
  <c r="V8" i="12"/>
  <c r="T8" i="12"/>
  <c r="P8" i="12"/>
  <c r="G69" i="12"/>
  <c r="T69" i="12"/>
  <c r="R69" i="12"/>
  <c r="V69" i="12"/>
  <c r="P69" i="12"/>
  <c r="G192" i="12"/>
  <c r="V192" i="12"/>
  <c r="T192" i="12"/>
  <c r="N192" i="12"/>
  <c r="R192" i="12"/>
  <c r="G25" i="12"/>
  <c r="V25" i="12"/>
  <c r="L25" i="12"/>
  <c r="T25" i="12"/>
  <c r="G112" i="12"/>
  <c r="T112" i="12"/>
  <c r="R112" i="12"/>
  <c r="V112" i="12"/>
  <c r="N112" i="12"/>
  <c r="G104" i="12"/>
  <c r="V104" i="12"/>
  <c r="P104" i="12"/>
  <c r="R104" i="12"/>
  <c r="J104" i="12"/>
  <c r="T104" i="12"/>
  <c r="G96" i="12"/>
  <c r="V96" i="12"/>
  <c r="R96" i="12"/>
  <c r="P96" i="12"/>
  <c r="T96" i="12"/>
  <c r="L96" i="12"/>
  <c r="J96" i="12"/>
  <c r="G88" i="12"/>
  <c r="V88" i="12"/>
  <c r="R88" i="12"/>
  <c r="T88" i="12"/>
  <c r="G76" i="12"/>
  <c r="T76" i="12"/>
  <c r="R76" i="12"/>
  <c r="V76" i="12"/>
  <c r="P76" i="12"/>
  <c r="L76" i="12"/>
  <c r="G70" i="12"/>
  <c r="T70" i="12"/>
  <c r="N70" i="12"/>
  <c r="R70" i="12"/>
  <c r="P70" i="12"/>
  <c r="V70" i="12"/>
  <c r="G66" i="12"/>
  <c r="V66" i="12"/>
  <c r="P66" i="12"/>
  <c r="T66" i="12"/>
  <c r="J66" i="12"/>
  <c r="G63" i="12"/>
  <c r="T63" i="12"/>
  <c r="N63" i="12"/>
  <c r="V63" i="12"/>
  <c r="P63" i="12"/>
  <c r="G15" i="12"/>
  <c r="T15" i="12"/>
  <c r="N15" i="12"/>
  <c r="R15" i="12"/>
  <c r="V15" i="12"/>
  <c r="J40" i="12"/>
  <c r="J184" i="12"/>
  <c r="J185" i="12"/>
  <c r="J106" i="12"/>
  <c r="J21" i="12"/>
  <c r="J89" i="12"/>
  <c r="J36" i="12"/>
  <c r="J15" i="12"/>
  <c r="J196" i="12"/>
  <c r="J158" i="12"/>
  <c r="J103" i="12"/>
  <c r="J54" i="12"/>
  <c r="J180" i="12"/>
  <c r="J164" i="12"/>
  <c r="J70" i="12"/>
  <c r="J159" i="12"/>
  <c r="J68" i="12"/>
  <c r="J117" i="12"/>
  <c r="L40" i="12"/>
  <c r="L8" i="12"/>
  <c r="L85" i="12"/>
  <c r="L88" i="12"/>
  <c r="L92" i="12"/>
  <c r="L15" i="12"/>
  <c r="L19" i="12"/>
  <c r="L168" i="12"/>
  <c r="L31" i="12"/>
  <c r="L3" i="12"/>
  <c r="L69" i="12"/>
  <c r="L159" i="12"/>
  <c r="L146" i="12"/>
  <c r="L183" i="12"/>
  <c r="N41" i="12"/>
  <c r="N184" i="12"/>
  <c r="N42" i="12"/>
  <c r="N43" i="12"/>
  <c r="N116" i="12"/>
  <c r="N99" i="12"/>
  <c r="N103" i="12"/>
  <c r="N48" i="12"/>
  <c r="N179" i="12"/>
  <c r="N154" i="12"/>
  <c r="N147" i="12"/>
  <c r="N150" i="12"/>
  <c r="P184" i="12"/>
  <c r="P87" i="12"/>
  <c r="P92" i="12"/>
  <c r="P196" i="12"/>
  <c r="P192" i="12"/>
  <c r="P111" i="12"/>
  <c r="P132" i="12"/>
  <c r="P18" i="12"/>
  <c r="R30" i="12"/>
  <c r="R25" i="12"/>
  <c r="R158" i="12"/>
  <c r="R110" i="12"/>
  <c r="R121" i="12"/>
  <c r="T105" i="12"/>
  <c r="T47" i="12"/>
  <c r="T149" i="12"/>
  <c r="V190" i="12"/>
  <c r="V132" i="12"/>
  <c r="E11" i="23"/>
  <c r="D11" i="23"/>
  <c r="E10" i="23"/>
  <c r="D9" i="23"/>
  <c r="E12" i="23"/>
  <c r="D10" i="23"/>
  <c r="E9" i="23"/>
  <c r="D12" i="23"/>
  <c r="W102" i="12" l="1"/>
  <c r="W94" i="12" l="1"/>
  <c r="N94" i="12"/>
  <c r="W93" i="12"/>
  <c r="N93" i="12"/>
  <c r="W96" i="12" l="1"/>
  <c r="N96" i="12"/>
  <c r="W98" i="12" l="1"/>
  <c r="N98" i="12"/>
  <c r="W83" i="12" l="1"/>
  <c r="N83" i="12"/>
  <c r="W92" i="12"/>
  <c r="N92" i="12"/>
  <c r="W86" i="12"/>
  <c r="N86" i="12"/>
  <c r="W76" i="12" l="1"/>
  <c r="N76" i="12"/>
  <c r="W89" i="12"/>
  <c r="N89" i="12"/>
  <c r="W84" i="12" l="1"/>
  <c r="N84" i="12"/>
  <c r="W88" i="12" l="1"/>
  <c r="N88" i="12"/>
  <c r="W104" i="12"/>
  <c r="N104" i="12"/>
  <c r="W95" i="12" l="1"/>
  <c r="N95" i="12"/>
  <c r="W90" i="12" l="1"/>
  <c r="N90" i="12"/>
  <c r="W85" i="12" l="1"/>
  <c r="N85" i="12"/>
  <c r="W87" i="12"/>
  <c r="N87" i="12"/>
  <c r="W101" i="12" l="1"/>
  <c r="N101" i="12"/>
  <c r="W106" i="12"/>
  <c r="N106" i="12"/>
  <c r="W105" i="12" l="1"/>
  <c r="N105" i="12"/>
  <c r="W109" i="12" l="1"/>
  <c r="N109" i="12"/>
  <c r="W108" i="12"/>
  <c r="N108" i="12"/>
  <c r="W107" i="12" l="1"/>
  <c r="N107" i="12"/>
  <c r="W91" i="12"/>
  <c r="N91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<sst xmlns="http://schemas.openxmlformats.org/spreadsheetml/2006/main" count="6982" uniqueCount="399">
  <si>
    <t>Product</t>
  </si>
  <si>
    <t>Description</t>
  </si>
  <si>
    <t>Colour</t>
  </si>
  <si>
    <t>Powder weight (kg)</t>
  </si>
  <si>
    <t>Selling Price £</t>
  </si>
  <si>
    <t>Product Family</t>
  </si>
  <si>
    <t>Due Date Performance/%</t>
  </si>
  <si>
    <t>CAS 0P</t>
  </si>
  <si>
    <t>Cup and Saucer</t>
  </si>
  <si>
    <t>Black</t>
  </si>
  <si>
    <t>Self-Watering</t>
  </si>
  <si>
    <t xml:space="preserve">Cup and Saucer </t>
  </si>
  <si>
    <t>Standard Green</t>
  </si>
  <si>
    <t>Orange</t>
  </si>
  <si>
    <t>Sky Blue</t>
  </si>
  <si>
    <t>BBU 1P</t>
  </si>
  <si>
    <t>Barrier Basket</t>
  </si>
  <si>
    <t>Pink Granite</t>
  </si>
  <si>
    <t>OCT 0P</t>
  </si>
  <si>
    <t>Octagonal fountain</t>
  </si>
  <si>
    <t>Dark Sandstone</t>
  </si>
  <si>
    <t>Guerney Granite</t>
  </si>
  <si>
    <t>Millstone Gritt</t>
  </si>
  <si>
    <t>CNS 1P</t>
  </si>
  <si>
    <t>Cup and Saucer on pole</t>
  </si>
  <si>
    <t>Light Green</t>
  </si>
  <si>
    <t>BRL 0P</t>
  </si>
  <si>
    <t>Barrel</t>
  </si>
  <si>
    <t>Brown</t>
  </si>
  <si>
    <t>BHV 5P</t>
  </si>
  <si>
    <t>Bee hive fountain (5)</t>
  </si>
  <si>
    <t>BHV 6P</t>
  </si>
  <si>
    <t>Bee hive fountain (6)</t>
  </si>
  <si>
    <t>Moss Stone</t>
  </si>
  <si>
    <t>UTP 2P</t>
  </si>
  <si>
    <t>Half basket up the pole</t>
  </si>
  <si>
    <t>CAS 1P</t>
  </si>
  <si>
    <t>Cup and Saucer (HB)</t>
  </si>
  <si>
    <t>Light Sandstone</t>
  </si>
  <si>
    <t>MSP 0P</t>
  </si>
  <si>
    <t>Meter sq planter</t>
  </si>
  <si>
    <t>White Marble</t>
  </si>
  <si>
    <t>UTP 1P</t>
  </si>
  <si>
    <t>Cherry</t>
  </si>
  <si>
    <t>BBU 1PL</t>
  </si>
  <si>
    <t>Barrier Basket Liner</t>
  </si>
  <si>
    <t>CHB 1P</t>
  </si>
  <si>
    <t>Conventional Hanging Basket</t>
  </si>
  <si>
    <t>MSP 3P</t>
  </si>
  <si>
    <t>Meter sq planter (3)</t>
  </si>
  <si>
    <t>FF 2P</t>
  </si>
  <si>
    <t xml:space="preserve">Floural fountain </t>
  </si>
  <si>
    <t>OVL 0P</t>
  </si>
  <si>
    <t>Floor standing oval planter</t>
  </si>
  <si>
    <t>HBB 2P</t>
  </si>
  <si>
    <t>Half barrier basket</t>
  </si>
  <si>
    <t>BBU 0P</t>
  </si>
  <si>
    <t>Full barrier basket</t>
  </si>
  <si>
    <t>WBX 1PL</t>
  </si>
  <si>
    <t>Wall and window box</t>
  </si>
  <si>
    <t>WBX 3PL</t>
  </si>
  <si>
    <t>UTP 2PL</t>
  </si>
  <si>
    <t>Half pole basket</t>
  </si>
  <si>
    <t>WBX 1P</t>
  </si>
  <si>
    <t>UTP 1PL</t>
  </si>
  <si>
    <t>WBX 3P</t>
  </si>
  <si>
    <t>HBB 2PL</t>
  </si>
  <si>
    <t>CNS 1PL</t>
  </si>
  <si>
    <t>half cup and saucer up the pole</t>
  </si>
  <si>
    <t>HBB 1PL</t>
  </si>
  <si>
    <t>CHB 2P</t>
  </si>
  <si>
    <t>HBB 1P</t>
  </si>
  <si>
    <t>CUH 2P</t>
  </si>
  <si>
    <t>Up the pole basket</t>
  </si>
  <si>
    <t>CUH 1P</t>
  </si>
  <si>
    <t>up the pole basket</t>
  </si>
  <si>
    <t>WBX 0P</t>
  </si>
  <si>
    <t>HBB 3P</t>
  </si>
  <si>
    <t>HBB 3PL</t>
  </si>
  <si>
    <t>Half barrier basket liner</t>
  </si>
  <si>
    <t>TES 0P</t>
  </si>
  <si>
    <t>Terresterial Basket</t>
  </si>
  <si>
    <t>MSP 1P</t>
  </si>
  <si>
    <t>Meter sq planter (1)</t>
  </si>
  <si>
    <t>MSP 2P</t>
  </si>
  <si>
    <t>Meter sq planter (2)</t>
  </si>
  <si>
    <t>MSP 4P</t>
  </si>
  <si>
    <t>Meter sq planter (4)</t>
  </si>
  <si>
    <t>OCT 1P</t>
  </si>
  <si>
    <t>Octagonal fountain (1)</t>
  </si>
  <si>
    <t>OCT 2P</t>
  </si>
  <si>
    <t>Octagonal fountain (2)</t>
  </si>
  <si>
    <t>OCT 3P</t>
  </si>
  <si>
    <t>Octagonal fountain (3)</t>
  </si>
  <si>
    <t>J-C40</t>
  </si>
  <si>
    <t>Cylinder</t>
  </si>
  <si>
    <t>Terracotta</t>
  </si>
  <si>
    <t>Planterware</t>
  </si>
  <si>
    <t>J-C41</t>
  </si>
  <si>
    <t>J-C45-T2</t>
  </si>
  <si>
    <t>J-C45-T3</t>
  </si>
  <si>
    <t>J-C45-T4</t>
  </si>
  <si>
    <t>J-C65</t>
  </si>
  <si>
    <t>J-EPS40-DG</t>
  </si>
  <si>
    <t>Egg pot square</t>
  </si>
  <si>
    <t>J-EPS50</t>
  </si>
  <si>
    <t>J-EPS60-AT</t>
  </si>
  <si>
    <t>J-EPV40-DG</t>
  </si>
  <si>
    <t>Egg pot vase</t>
  </si>
  <si>
    <t>J-EPV50-T2</t>
  </si>
  <si>
    <t>J-EPV60</t>
  </si>
  <si>
    <t>J-EPV75</t>
  </si>
  <si>
    <t>J-R100</t>
  </si>
  <si>
    <t>Rectangular container</t>
  </si>
  <si>
    <t>J-R100/40</t>
  </si>
  <si>
    <t>J-R120</t>
  </si>
  <si>
    <t>J-R65</t>
  </si>
  <si>
    <t>J-S40</t>
  </si>
  <si>
    <t>Square</t>
  </si>
  <si>
    <t>J-S50</t>
  </si>
  <si>
    <t>J-S60</t>
  </si>
  <si>
    <t>J-S75-AG</t>
  </si>
  <si>
    <t>J-TS3550</t>
  </si>
  <si>
    <t>Tall square</t>
  </si>
  <si>
    <t>J-TS4056</t>
  </si>
  <si>
    <t>J-TS4070</t>
  </si>
  <si>
    <t>J-TS4590</t>
  </si>
  <si>
    <t>J-TV5070</t>
  </si>
  <si>
    <t>Tall vase</t>
  </si>
  <si>
    <t>J-TV6084-RBL</t>
  </si>
  <si>
    <t>J-V110-T2</t>
  </si>
  <si>
    <t>Plain vase</t>
  </si>
  <si>
    <t>J-V40-PR</t>
  </si>
  <si>
    <t>J-V50</t>
  </si>
  <si>
    <t>J-V60</t>
  </si>
  <si>
    <t>J-V70-PR</t>
  </si>
  <si>
    <t>J-V85-PR</t>
  </si>
  <si>
    <t>J-VG40</t>
  </si>
  <si>
    <t>Garlanded vase</t>
  </si>
  <si>
    <t>J-VG50</t>
  </si>
  <si>
    <t>J-WINBOX-LG</t>
  </si>
  <si>
    <t>Window Box</t>
  </si>
  <si>
    <t>OLY 1P</t>
  </si>
  <si>
    <t>Olympic dual bin</t>
  </si>
  <si>
    <t>Bins</t>
  </si>
  <si>
    <t>AMP 1P</t>
  </si>
  <si>
    <t>Ample bin</t>
  </si>
  <si>
    <t>ST 1P</t>
  </si>
  <si>
    <t>Stipple bin</t>
  </si>
  <si>
    <t>WLB 1P</t>
  </si>
  <si>
    <t>West min bin</t>
  </si>
  <si>
    <t>PEN 1P</t>
  </si>
  <si>
    <t>Penguin bin</t>
  </si>
  <si>
    <t>SQD 0P</t>
  </si>
  <si>
    <t>Square hood bin</t>
  </si>
  <si>
    <t>WLB 1PL</t>
  </si>
  <si>
    <t>West min liner</t>
  </si>
  <si>
    <t>TAR 1P</t>
  </si>
  <si>
    <t>Tapered hood bin</t>
  </si>
  <si>
    <t>ROB 1P</t>
  </si>
  <si>
    <t>Robin bin</t>
  </si>
  <si>
    <t>ACT 1P</t>
  </si>
  <si>
    <t>Enviro can recycle - post</t>
  </si>
  <si>
    <t>ECO 1P</t>
  </si>
  <si>
    <t>Eco bin</t>
  </si>
  <si>
    <t>PAR 1P</t>
  </si>
  <si>
    <t xml:space="preserve">Parot bin </t>
  </si>
  <si>
    <t>AMB 1P</t>
  </si>
  <si>
    <t>Bear bin</t>
  </si>
  <si>
    <t>SCW TP</t>
  </si>
  <si>
    <t>Screwball post bin</t>
  </si>
  <si>
    <t>SLM 0P</t>
  </si>
  <si>
    <t>Slim bin</t>
  </si>
  <si>
    <t>CHK 1P</t>
  </si>
  <si>
    <t>Chick bin</t>
  </si>
  <si>
    <t>RCY 1P</t>
  </si>
  <si>
    <t>Westmin recycle</t>
  </si>
  <si>
    <t>ENV 0P</t>
  </si>
  <si>
    <t>Eviro bin - floor</t>
  </si>
  <si>
    <t>POOP 0P</t>
  </si>
  <si>
    <t>Poo bin</t>
  </si>
  <si>
    <t>SCW 0P</t>
  </si>
  <si>
    <t>Powder Cost</t>
  </si>
  <si>
    <t>Cost</t>
  </si>
  <si>
    <t>Net Profit</t>
  </si>
  <si>
    <t>Profit Margin %</t>
  </si>
  <si>
    <t>The company produces own range of plastic planters and bins. There are two product families for planters: Self-watering and Planterware.</t>
  </si>
  <si>
    <t xml:space="preserve">Self-watering planters are planters designed with self-watering feature. This feature consists of a built-in water reservoir and capillary mechanisms. </t>
  </si>
  <si>
    <t>In order to increase competitiveness, the company has increased the colours offered. Majority of the colours were only introduced from year 2011 onwards</t>
  </si>
  <si>
    <t xml:space="preserve">except Black and Standard Green colors. Make-to-Order business model is adopted. </t>
  </si>
  <si>
    <t>Standard Industry Lead Time : 2 Weeks for Planters, 3 Weeks for Bins</t>
  </si>
  <si>
    <t>Powder Cost £/kg</t>
  </si>
  <si>
    <t>Typical Demand Distribution %</t>
  </si>
  <si>
    <t>White</t>
  </si>
  <si>
    <t>Jan</t>
  </si>
  <si>
    <t>Feb</t>
  </si>
  <si>
    <t>Biscuit</t>
  </si>
  <si>
    <t>Mac</t>
  </si>
  <si>
    <t>April</t>
  </si>
  <si>
    <t>May</t>
  </si>
  <si>
    <t>June</t>
  </si>
  <si>
    <t>July</t>
  </si>
  <si>
    <t>Navy Blue</t>
  </si>
  <si>
    <t>August</t>
  </si>
  <si>
    <t>Sept</t>
  </si>
  <si>
    <t>Oct</t>
  </si>
  <si>
    <t>Nov</t>
  </si>
  <si>
    <t>Dec</t>
  </si>
  <si>
    <t>Tudor Brown Mottle</t>
  </si>
  <si>
    <t>Total</t>
  </si>
  <si>
    <t>Dark Standstone</t>
  </si>
  <si>
    <t>Guernsey Granite</t>
  </si>
  <si>
    <t>Transaction cost/order to supplier: £50</t>
  </si>
  <si>
    <t>Distance between Powder Supplier and the company is assumed to be 500 miles</t>
  </si>
  <si>
    <t>Delivery Cost/20 ft Container: £750 (for 500 miles)</t>
  </si>
  <si>
    <t>Capacity/20 ft Container:  10 pallets</t>
  </si>
  <si>
    <t xml:space="preserve">Delivery Cost/Pallet (500 miles): £100 </t>
  </si>
  <si>
    <t>Minimum order quantity for powder is ONE pallet per colour; Each pallet is 500kg</t>
  </si>
  <si>
    <t>Warehouse:</t>
  </si>
  <si>
    <t>The company has their own warehouse and assumed to be always available (for both Raw Material and Finished Goods).</t>
  </si>
  <si>
    <t>Holding Cost:</t>
  </si>
  <si>
    <t xml:space="preserve"> 7% of total capital tied up as inventory (Raw Material/Finished Goods)</t>
  </si>
  <si>
    <t>Product selling price is Ex Works: Delivery method and cost is chosen and paid by customers</t>
  </si>
  <si>
    <t>(All)</t>
  </si>
  <si>
    <t>Row Labels</t>
  </si>
  <si>
    <t>Sum of Cost</t>
  </si>
  <si>
    <t>Sum of Profit Margin</t>
  </si>
  <si>
    <t>Sum of Powder Cost</t>
  </si>
  <si>
    <t>Grand Total</t>
  </si>
  <si>
    <t>Product family</t>
  </si>
  <si>
    <t>Sum of Selling Price £</t>
  </si>
  <si>
    <t>Salesin_2012</t>
  </si>
  <si>
    <t>Salesin_2011</t>
  </si>
  <si>
    <t>Salesin_2010</t>
  </si>
  <si>
    <t>Salesin_2009</t>
  </si>
  <si>
    <t>Salesin_2008</t>
  </si>
  <si>
    <t>Salesin_2007</t>
  </si>
  <si>
    <t>Salesin_2006</t>
  </si>
  <si>
    <t>Total Nr of Sales</t>
  </si>
  <si>
    <t>Month</t>
  </si>
  <si>
    <t>Demand of Planters</t>
  </si>
  <si>
    <t>Demand of Bins</t>
  </si>
  <si>
    <t>Sum of Demand of Bins</t>
  </si>
  <si>
    <t>Sum of Demand of Planters</t>
  </si>
  <si>
    <t>TOTAL</t>
  </si>
  <si>
    <t>Profitin_2012</t>
  </si>
  <si>
    <t xml:space="preserve"> Profit</t>
  </si>
  <si>
    <t>Profitin_2011</t>
  </si>
  <si>
    <t>Profitin_2010</t>
  </si>
  <si>
    <t>Profitin_2009</t>
  </si>
  <si>
    <t>Profitin_2008</t>
  </si>
  <si>
    <t>Profitin_2007</t>
  </si>
  <si>
    <t>Profitin_2006</t>
  </si>
  <si>
    <t>Sum of Profitin_2011</t>
  </si>
  <si>
    <t>Sum of Profitin_2006</t>
  </si>
  <si>
    <t>Sum of Profitin_2007</t>
  </si>
  <si>
    <t>Sum of Profitin_2008</t>
  </si>
  <si>
    <t>Sum of Profitin_2009</t>
  </si>
  <si>
    <t>Sum of Profitin_2010</t>
  </si>
  <si>
    <t>Sum of Profitin_2012</t>
  </si>
  <si>
    <t>2012</t>
  </si>
  <si>
    <t>2011</t>
  </si>
  <si>
    <t>2010</t>
  </si>
  <si>
    <t>2009</t>
  </si>
  <si>
    <t>2008</t>
  </si>
  <si>
    <t>2007</t>
  </si>
  <si>
    <t>2006</t>
  </si>
  <si>
    <t>Years</t>
  </si>
  <si>
    <t>Profit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</si>
  <si>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</si>
  <si>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</si>
  <si>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</si>
  <si>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</si>
  <si>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</si>
  <si>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</si>
  <si>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</si>
  <si>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</si>
  <si>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</si>
  <si>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Total Sales</t>
  </si>
  <si>
    <t>Forecast(Total Sales)</t>
  </si>
  <si>
    <t>Lower Confidence Bound(Total Sales)</t>
  </si>
  <si>
    <t>Upper Confidence Bound(Total Sales)</t>
  </si>
  <si>
    <t xml:space="preserve">Annual Total Profit </t>
  </si>
  <si>
    <t>Forecast(Annual Total Profit )</t>
  </si>
  <si>
    <t>Confidence Interval(Annual Total Profit )</t>
  </si>
  <si>
    <t>Terracota</t>
  </si>
  <si>
    <t>Colours</t>
  </si>
  <si>
    <t>Selling_Price_Pound</t>
  </si>
  <si>
    <t>Powder_weight_kg</t>
  </si>
  <si>
    <t>Sales_2012</t>
  </si>
  <si>
    <t>Sales_2011</t>
  </si>
  <si>
    <t>Sum of Salesin_2006</t>
  </si>
  <si>
    <t>Sum of Salesin_2012</t>
  </si>
  <si>
    <t>Sum of Salesin_2011</t>
  </si>
  <si>
    <t>Sum of Salesin_2010</t>
  </si>
  <si>
    <t>Sum of Salesin_2009</t>
  </si>
  <si>
    <t>Sum of Salesin_2008</t>
  </si>
  <si>
    <t>Sum of Salesin_2007</t>
  </si>
  <si>
    <t>New Colour Sales</t>
  </si>
  <si>
    <t>Self Watering</t>
  </si>
  <si>
    <t>Total Profit</t>
  </si>
  <si>
    <t>Self Watering  Profit %</t>
  </si>
  <si>
    <t>Bins  Profit %</t>
  </si>
  <si>
    <t>Planterware Profit %</t>
  </si>
  <si>
    <t>Sum of Total Profit</t>
  </si>
  <si>
    <t>Profit of Bins</t>
  </si>
  <si>
    <t>Profit of Self Watering</t>
  </si>
  <si>
    <t>Profit of Planterware</t>
  </si>
  <si>
    <t>Year</t>
  </si>
  <si>
    <t>Total_of_Sales</t>
  </si>
  <si>
    <t>Sales_in_2006</t>
  </si>
  <si>
    <t>Sales_in2012</t>
  </si>
  <si>
    <t>Sales_in2011</t>
  </si>
  <si>
    <t>Sales_in2010</t>
  </si>
  <si>
    <t>Sales_in2009</t>
  </si>
  <si>
    <t>Sales_in2008</t>
  </si>
  <si>
    <t>Sales_in2007</t>
  </si>
  <si>
    <t>Profit_in2012</t>
  </si>
  <si>
    <t>Profit_in2011</t>
  </si>
  <si>
    <t>Profit_in2010</t>
  </si>
  <si>
    <t>Profit_in2009</t>
  </si>
  <si>
    <t>Profit_in2008</t>
  </si>
  <si>
    <t>Profit_in2007</t>
  </si>
  <si>
    <t>Profit_in2006</t>
  </si>
  <si>
    <t>Due Date Performance</t>
  </si>
  <si>
    <t>Powder_Cost</t>
  </si>
  <si>
    <t>NumProductFamily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</si>
  <si>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</si>
  <si>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</si>
  <si>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</si>
  <si>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</si>
  <si>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</si>
  <si>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</si>
  <si>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</si>
  <si>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</si>
  <si>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</si>
  <si>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</si>
  <si>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</si>
  <si>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</si>
  <si>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</si>
  <si>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</si>
  <si>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</si>
  <si>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</si>
  <si>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</si>
  <si>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</si>
  <si>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</si>
  <si>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</si>
  <si>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</si>
  <si>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</si>
  <si>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</si>
  <si>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Forecast(Bins  Profit %)</t>
  </si>
  <si>
    <t>Lower Confidence Bound(Bins  Profit %)</t>
  </si>
  <si>
    <t>Upper Confidence Bound(Bins  Profit %)</t>
  </si>
  <si>
    <t>Forecast(Planterware Profit %)</t>
  </si>
  <si>
    <t>Lower Confidence Bound(Planterware Profit %)</t>
  </si>
  <si>
    <t>Upper Confidence Bound(Planterware Profit %)</t>
  </si>
  <si>
    <t>Forecast(Self Watering  Profit %)</t>
  </si>
  <si>
    <t>Lower Confidence Bound(Self Watering  Profit %)</t>
  </si>
  <si>
    <t>Upper Confidence Bound(Self Watering  Profit %)</t>
  </si>
  <si>
    <t>Column1</t>
  </si>
  <si>
    <t>Self_Watering</t>
  </si>
  <si>
    <t>Forecast(Bins)</t>
  </si>
  <si>
    <t>Lower Confidence Bound(Bins)</t>
  </si>
  <si>
    <t>Upper Confidence Bound(Bins)</t>
  </si>
  <si>
    <t>Forecast(Planterware)</t>
  </si>
  <si>
    <t>Lower Confidence Bound(Planterware)</t>
  </si>
  <si>
    <t>Upper Confidence Bound(Planterware)</t>
  </si>
  <si>
    <t>Forecast(Self-Watering)</t>
  </si>
  <si>
    <t>Lower Confidence Bound(Self-Watering)</t>
  </si>
  <si>
    <t>Upper Confidence Bound(Self-Watering)</t>
  </si>
  <si>
    <t>Profit Margin</t>
  </si>
  <si>
    <t>Average of Profit Margin</t>
  </si>
  <si>
    <t>Sum of Total Nr of Sales</t>
  </si>
  <si>
    <t>Sales</t>
  </si>
  <si>
    <t>Sum of Sales</t>
  </si>
  <si>
    <t>Performance Score (Number of Sales * Profit Margin) / Selling Price)</t>
  </si>
  <si>
    <t>Average of Performance Score (Number of Sales * Profit Margin) / Selling Price)</t>
  </si>
  <si>
    <t>Total_Powder_Weight_kg</t>
  </si>
  <si>
    <t xml:space="preserve"> Cost</t>
  </si>
  <si>
    <t>Selling Price</t>
  </si>
  <si>
    <t>Sales in 2012</t>
  </si>
  <si>
    <t>Ideal Price</t>
  </si>
  <si>
    <t>Margin = cost * Profit Margin %</t>
  </si>
  <si>
    <t>Ideal Price = Product Cost + Margin</t>
  </si>
  <si>
    <t>Profit_Margin</t>
  </si>
  <si>
    <t>Product__Family</t>
  </si>
  <si>
    <t>Product_Family_Num</t>
  </si>
  <si>
    <t>Color</t>
  </si>
  <si>
    <t>Sales of New Introduced Colours</t>
  </si>
  <si>
    <t>Toplam satış sayısı: 11,127</t>
  </si>
  <si>
    <t>Ortalama kar marjı: %67</t>
  </si>
  <si>
    <t xml:space="preserve">Planterware </t>
  </si>
  <si>
    <t>Toplam satış sayısı: 7,699</t>
  </si>
  <si>
    <t>Ortalama kar marjı: %33</t>
  </si>
  <si>
    <t xml:space="preserve">Self-Watering </t>
  </si>
  <si>
    <t>Toplam satış sayısı: 132,354</t>
  </si>
  <si>
    <t>Ortalama kar marjı: %65</t>
  </si>
  <si>
    <t>Total Sale</t>
  </si>
  <si>
    <t>Average Profit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</si>
</sst>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374151"/>
      <name val="Segoe UI"/>
      <family val="2"/>
    </font>
    <font>
      <b/>
      <sz val="10"/>
      <color rgb="FFFF0000"/>
      <name val="Arial"/>
      <family val="2"/>
    </font>
    <font>
      <b/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theme="7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pivotButton="1"/>
    <xf numFmtId="0" fontId="3" fillId="3" borderId="2" xfId="0" applyFont="1" applyFill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/>
    <xf numFmtId="0" fontId="3" fillId="0" borderId="0" xfId="0" applyFont="1" applyAlignment="1">
      <alignment horizontal="center" vertical="center"/>
    </xf>
    <xf numFmtId="0" fontId="0" fillId="3" borderId="10" xfId="0" applyFill="1" applyBorder="1"/>
    <xf numFmtId="0" fontId="0" fillId="0" borderId="10" xfId="0" applyBorder="1"/>
    <xf numFmtId="0" fontId="0" fillId="0" borderId="6" xfId="0" applyBorder="1"/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3" borderId="10" xfId="0" applyFont="1" applyFill="1" applyBorder="1"/>
    <xf numFmtId="0" fontId="4" fillId="3" borderId="11" xfId="0" applyFont="1" applyFill="1" applyBorder="1"/>
    <xf numFmtId="0" fontId="0" fillId="3" borderId="11" xfId="0" applyFill="1" applyBorder="1"/>
    <xf numFmtId="0" fontId="0" fillId="0" borderId="11" xfId="0" applyBorder="1"/>
    <xf numFmtId="0" fontId="5" fillId="3" borderId="2" xfId="0" applyFont="1" applyFill="1" applyBorder="1"/>
    <xf numFmtId="0" fontId="3" fillId="0" borderId="12" xfId="0" applyFont="1" applyBorder="1"/>
    <xf numFmtId="3" fontId="3" fillId="3" borderId="3" xfId="0" applyNumberFormat="1" applyFont="1" applyFill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center" vertical="center"/>
    </xf>
    <xf numFmtId="3" fontId="3" fillId="0" borderId="0" xfId="0" applyNumberFormat="1" applyFont="1"/>
    <xf numFmtId="1" fontId="3" fillId="0" borderId="15" xfId="0" applyNumberFormat="1" applyFont="1" applyBorder="1" applyAlignment="1">
      <alignment horizontal="center" vertical="center"/>
    </xf>
    <xf numFmtId="9" fontId="0" fillId="0" borderId="0" xfId="0" applyNumberFormat="1"/>
    <xf numFmtId="0" fontId="4" fillId="4" borderId="16" xfId="0" applyFont="1" applyFill="1" applyBorder="1"/>
    <xf numFmtId="0" fontId="4" fillId="4" borderId="3" xfId="0" applyFont="1" applyFill="1" applyBorder="1"/>
    <xf numFmtId="0" fontId="0" fillId="3" borderId="16" xfId="0" applyFill="1" applyBorder="1"/>
    <xf numFmtId="9" fontId="0" fillId="3" borderId="3" xfId="0" applyNumberFormat="1" applyFill="1" applyBorder="1"/>
    <xf numFmtId="0" fontId="0" fillId="0" borderId="16" xfId="0" applyBorder="1"/>
    <xf numFmtId="9" fontId="0" fillId="0" borderId="3" xfId="0" applyNumberFormat="1" applyBorder="1"/>
    <xf numFmtId="9" fontId="0" fillId="3" borderId="11" xfId="0" applyNumberForma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17" xfId="0" applyFont="1" applyFill="1" applyBorder="1"/>
    <xf numFmtId="0" fontId="0" fillId="3" borderId="17" xfId="0" applyFont="1" applyFill="1" applyBorder="1"/>
    <xf numFmtId="0" fontId="0" fillId="0" borderId="17" xfId="0" applyFont="1" applyBorder="1"/>
    <xf numFmtId="0" fontId="3" fillId="0" borderId="18" xfId="0" applyFont="1" applyBorder="1"/>
    <xf numFmtId="0" fontId="3" fillId="0" borderId="15" xfId="0" applyFont="1" applyBorder="1"/>
    <xf numFmtId="0" fontId="0" fillId="5" borderId="20" xfId="0" applyFont="1" applyFill="1" applyBorder="1"/>
    <xf numFmtId="1" fontId="0" fillId="0" borderId="0" xfId="0" applyNumberFormat="1"/>
    <xf numFmtId="0" fontId="0" fillId="0" borderId="0" xfId="0" applyFill="1" applyBorder="1" applyAlignment="1"/>
    <xf numFmtId="0" fontId="0" fillId="0" borderId="22" xfId="0" applyFill="1" applyBorder="1" applyAlignment="1"/>
    <xf numFmtId="0" fontId="7" fillId="0" borderId="23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Continuous"/>
    </xf>
    <xf numFmtId="0" fontId="4" fillId="6" borderId="0" xfId="0" applyFont="1" applyFill="1" applyBorder="1"/>
    <xf numFmtId="0" fontId="4" fillId="6" borderId="24" xfId="0" applyFont="1" applyFill="1" applyBorder="1"/>
    <xf numFmtId="0" fontId="0" fillId="7" borderId="25" xfId="0" applyFont="1" applyFill="1" applyBorder="1"/>
    <xf numFmtId="0" fontId="0" fillId="7" borderId="26" xfId="0" applyFont="1" applyFill="1" applyBorder="1"/>
    <xf numFmtId="0" fontId="0" fillId="5" borderId="27" xfId="0" applyFont="1" applyFill="1" applyBorder="1"/>
    <xf numFmtId="0" fontId="0" fillId="7" borderId="27" xfId="0" applyFont="1" applyFill="1" applyBorder="1"/>
    <xf numFmtId="0" fontId="0" fillId="7" borderId="20" xfId="0" applyFont="1" applyFill="1" applyBorder="1"/>
    <xf numFmtId="0" fontId="0" fillId="0" borderId="0" xfId="0" applyFont="1"/>
    <xf numFmtId="0" fontId="0" fillId="8" borderId="0" xfId="0" applyFont="1" applyFill="1"/>
    <xf numFmtId="0" fontId="0" fillId="0" borderId="28" xfId="0" applyFont="1" applyBorder="1"/>
    <xf numFmtId="0" fontId="4" fillId="4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0" fillId="0" borderId="0" xfId="0" applyNumberFormat="1"/>
    <xf numFmtId="0" fontId="1" fillId="4" borderId="16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4" borderId="29" xfId="0" applyFont="1" applyFill="1" applyBorder="1"/>
    <xf numFmtId="0" fontId="0" fillId="3" borderId="16" xfId="0" applyFont="1" applyFill="1" applyBorder="1"/>
    <xf numFmtId="0" fontId="0" fillId="3" borderId="3" xfId="0" applyFont="1" applyFill="1" applyBorder="1"/>
    <xf numFmtId="0" fontId="0" fillId="3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0" fillId="3" borderId="29" xfId="0" applyFont="1" applyFill="1" applyBorder="1"/>
    <xf numFmtId="0" fontId="0" fillId="0" borderId="16" xfId="0" applyFont="1" applyBorder="1"/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29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19" xfId="0" applyNumberFormat="1" applyFont="1" applyBorder="1" applyAlignment="1">
      <alignment horizontal="center" vertical="center"/>
    </xf>
    <xf numFmtId="0" fontId="0" fillId="9" borderId="30" xfId="0" applyFont="1" applyFill="1" applyBorder="1"/>
    <xf numFmtId="0" fontId="0" fillId="0" borderId="30" xfId="0" applyFont="1" applyBorder="1"/>
    <xf numFmtId="9" fontId="0" fillId="0" borderId="30" xfId="0" applyNumberFormat="1" applyFont="1" applyBorder="1"/>
    <xf numFmtId="9" fontId="0" fillId="9" borderId="30" xfId="0" applyNumberFormat="1" applyFont="1" applyFill="1" applyBorder="1"/>
    <xf numFmtId="0" fontId="0" fillId="9" borderId="0" xfId="0" applyFont="1" applyFill="1" applyBorder="1"/>
    <xf numFmtId="0" fontId="4" fillId="6" borderId="31" xfId="0" applyFont="1" applyFill="1" applyBorder="1"/>
    <xf numFmtId="0" fontId="0" fillId="8" borderId="31" xfId="0" applyFont="1" applyFill="1" applyBorder="1"/>
    <xf numFmtId="9" fontId="0" fillId="8" borderId="31" xfId="0" applyNumberFormat="1" applyFont="1" applyFill="1" applyBorder="1"/>
    <xf numFmtId="9" fontId="0" fillId="0" borderId="0" xfId="0" applyNumberFormat="1" applyFont="1"/>
    <xf numFmtId="9" fontId="0" fillId="8" borderId="0" xfId="0" applyNumberFormat="1" applyFont="1" applyFill="1"/>
    <xf numFmtId="9" fontId="0" fillId="0" borderId="28" xfId="0" applyNumberFormat="1" applyFont="1" applyBorder="1"/>
    <xf numFmtId="167" fontId="0" fillId="0" borderId="0" xfId="0" applyNumberFormat="1"/>
    <xf numFmtId="9" fontId="0" fillId="3" borderId="3" xfId="0" applyNumberFormat="1" applyFont="1" applyFill="1" applyBorder="1" applyAlignment="1">
      <alignment horizontal="center"/>
    </xf>
    <xf numFmtId="9" fontId="0" fillId="0" borderId="3" xfId="0" applyNumberFormat="1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168" fontId="0" fillId="0" borderId="0" xfId="0" applyNumberFormat="1"/>
    <xf numFmtId="0" fontId="8" fillId="0" borderId="0" xfId="0" applyFont="1"/>
    <xf numFmtId="0" fontId="9" fillId="4" borderId="0" xfId="0" applyFont="1" applyFill="1" applyBorder="1" applyAlignment="1">
      <alignment horizontal="center"/>
    </xf>
    <xf numFmtId="1" fontId="6" fillId="0" borderId="0" xfId="0" applyNumberFormat="1" applyFont="1"/>
    <xf numFmtId="0" fontId="6" fillId="0" borderId="0" xfId="0" applyFont="1"/>
    <xf numFmtId="0" fontId="4" fillId="4" borderId="32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0" fillId="3" borderId="34" xfId="0" applyFont="1" applyFill="1" applyBorder="1"/>
    <xf numFmtId="0" fontId="0" fillId="3" borderId="9" xfId="0" applyFont="1" applyFill="1" applyBorder="1" applyAlignment="1">
      <alignment horizontal="center"/>
    </xf>
    <xf numFmtId="0" fontId="0" fillId="3" borderId="35" xfId="0" applyFont="1" applyFill="1" applyBorder="1" applyAlignment="1">
      <alignment horizontal="center"/>
    </xf>
    <xf numFmtId="0" fontId="0" fillId="0" borderId="34" xfId="0" applyFont="1" applyBorder="1"/>
    <xf numFmtId="0" fontId="0" fillId="0" borderId="9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36" xfId="0" applyFont="1" applyBorder="1"/>
    <xf numFmtId="0" fontId="0" fillId="0" borderId="5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0" xfId="0" applyAlignment="1"/>
    <xf numFmtId="10" fontId="0" fillId="0" borderId="0" xfId="0" applyNumberFormat="1"/>
    <xf numFmtId="0" fontId="10" fillId="0" borderId="37" xfId="0" applyFont="1" applyBorder="1" applyAlignment="1">
      <alignment vertical="center" wrapText="1"/>
    </xf>
    <xf numFmtId="0" fontId="10" fillId="0" borderId="38" xfId="0" applyFont="1" applyBorder="1" applyAlignment="1">
      <alignment vertical="center" wrapText="1"/>
    </xf>
    <xf numFmtId="0" fontId="4" fillId="4" borderId="1" xfId="0" applyFont="1" applyFill="1" applyBorder="1"/>
    <xf numFmtId="0" fontId="0" fillId="3" borderId="1" xfId="0" applyFont="1" applyFill="1" applyBorder="1"/>
    <xf numFmtId="9" fontId="0" fillId="3" borderId="1" xfId="0" applyNumberFormat="1" applyFont="1" applyFill="1" applyBorder="1"/>
    <xf numFmtId="0" fontId="0" fillId="0" borderId="1" xfId="0" applyFont="1" applyBorder="1"/>
    <xf numFmtId="9" fontId="0" fillId="0" borderId="1" xfId="0" applyNumberFormat="1" applyFont="1" applyBorder="1"/>
  </cellXfs>
  <cellStyles count="1">
    <cellStyle name="Normal" xfId="0" builtinId="0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67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theme="0"/>
        </left>
      </border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50" Type="http://schemas.openxmlformats.org/officeDocument/2006/relationships/pivotCacheDefinition" Target="pivotCache/pivotCacheDefinition1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5.xml"/><Relationship Id="rId53" Type="http://schemas.openxmlformats.org/officeDocument/2006/relationships/theme" Target="theme/theme1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pivotCacheDefinition" Target="pivotCache/pivotCacheDefinition12.xml"/><Relationship Id="rId6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Planterware 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Sheet8!$B$2:$B$13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1.5657435767400918E-2</c:v>
                </c:pt>
                <c:pt idx="5">
                  <c:v>-1.1998599359787582E-2</c:v>
                </c:pt>
                <c:pt idx="6">
                  <c:v>-8.683958917634016E-3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C-4619-A176-D2F41A439982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Forecast(Planterware Profit 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Sheet8!$A$2:$A$13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Sheet8!$C$2:$C$13</c:f>
              <c:numCache>
                <c:formatCode>General</c:formatCode>
                <c:ptCount val="12"/>
                <c:pt idx="6" formatCode="0%">
                  <c:v>-8.683958917634016E-3</c:v>
                </c:pt>
                <c:pt idx="7" formatCode="0%">
                  <c:v>-8.4742343552676163E-3</c:v>
                </c:pt>
                <c:pt idx="8" formatCode="0%">
                  <c:v>-9.681983468815155E-3</c:v>
                </c:pt>
                <c:pt idx="9" formatCode="0%">
                  <c:v>-1.0889732582362701E-2</c:v>
                </c:pt>
                <c:pt idx="10" formatCode="0%">
                  <c:v>-1.2097481695910238E-2</c:v>
                </c:pt>
                <c:pt idx="11" formatCode="0%">
                  <c:v>-1.3305230809457782E-2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C-4619-A176-D2F41A439982}"/>
            </c:ext>
          </c:extLst>
        </c:ser>
        <c:ser>
          <c:idx val="2"/>
          <c:order val="2"/>
          <c:tx>
            <c:strRef>
              <c:f>Sheet8!$D$1</c:f>
              <c:strCache>
                <c:ptCount val="1"/>
                <c:pt idx="0">
                  <c:v>Lower Confidence Bound(Planterware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Sheet8!$D$2:$D$13</c:f>
              <c:numCache>
                <c:formatCode>General</c:formatCode>
                <c:ptCount val="12"/>
                <c:pt idx="6" formatCode="0%">
                  <c:v>-8.683958917634016E-3</c:v>
                </c:pt>
                <c:pt idx="7" formatCode="0%">
                  <c:v>-2.4712868700844423E-2</c:v>
                </c:pt>
                <c:pt idx="8" formatCode="0%">
                  <c:v>-2.5920690888082101E-2</c:v>
                </c:pt>
                <c:pt idx="9" formatCode="0%">
                  <c:v>-2.7128569909600199E-2</c:v>
                </c:pt>
                <c:pt idx="10" formatCode="0%">
                  <c:v>-2.8336522002271242E-2</c:v>
                </c:pt>
                <c:pt idx="11" formatCode="0%">
                  <c:v>-2.9544563401299476E-2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C-4619-A176-D2F41A439982}"/>
            </c:ext>
          </c:extLst>
        </c:ser>
        <c:ser>
          <c:idx val="3"/>
          <c:order val="3"/>
          <c:tx>
            <c:strRef>
              <c:f>Sheet8!$E$1</c:f>
              <c:strCache>
                <c:ptCount val="1"/>
                <c:pt idx="0">
                  <c:v>Upper Confidence Bound(Planterware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Sheet8!$E$2:$E$13</c:f>
              <c:numCache>
                <c:formatCode>General</c:formatCode>
                <c:ptCount val="12"/>
                <c:pt idx="6" formatCode="0%">
                  <c:v>-8.683958917634016E-3</c:v>
                </c:pt>
                <c:pt idx="7" formatCode="0%">
                  <c:v>7.7643999903091922E-3</c:v>
                </c:pt>
                <c:pt idx="8" formatCode="0%">
                  <c:v>6.5567239504517906E-3</c:v>
                </c:pt>
                <c:pt idx="9" formatCode="0%">
                  <c:v>5.3491047448747994E-3</c:v>
                </c:pt>
                <c:pt idx="10" formatCode="0%">
                  <c:v>4.1415586104507646E-3</c:v>
                </c:pt>
                <c:pt idx="11" formatCode="0%">
                  <c:v>2.9341017823839143E-3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C-4619-A176-D2F41A43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64351"/>
        <c:axId val="795761471"/>
      </c:lineChart>
      <c:catAx>
        <c:axId val="7957643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1471"/>
        <c:crosses val="autoZero"/>
        <c:auto val="1"/>
        <c:lblAlgn val="ctr"/>
        <c:lblOffset val="100"/>
        <c:noMultiLvlLbl val="0"/>
      </c:catAx>
      <c:valAx>
        <c:axId val="7957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24303483803651E-2"/>
          <c:y val="5.5411255411255411E-2"/>
          <c:w val="0.92386886421805969"/>
          <c:h val="0.74909609026144464"/>
        </c:manualLayout>
      </c:layout>
      <c:lineChart>
        <c:grouping val="standar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Self Watering  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Sheet9!$B$2:$B$13</c:f>
              <c:numCache>
                <c:formatCode>0%</c:formatCode>
                <c:ptCount val="12"/>
                <c:pt idx="0">
                  <c:v>0.84680475485620266</c:v>
                </c:pt>
                <c:pt idx="1">
                  <c:v>0.87116813200598642</c:v>
                </c:pt>
                <c:pt idx="2">
                  <c:v>0.85565081093734896</c:v>
                </c:pt>
                <c:pt idx="3">
                  <c:v>0.8943358978219772</c:v>
                </c:pt>
                <c:pt idx="4">
                  <c:v>0.6454567557873333</c:v>
                </c:pt>
                <c:pt idx="5">
                  <c:v>0.75770815563958971</c:v>
                </c:pt>
                <c:pt idx="6">
                  <c:v>0.74140511340882398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7-432E-9BA7-8F36798B91DE}"/>
            </c:ext>
          </c:extLst>
        </c:ser>
        <c:ser>
          <c:idx val="1"/>
          <c:order val="1"/>
          <c:tx>
            <c:strRef>
              <c:f>Sheet9!$C$1</c:f>
              <c:strCache>
                <c:ptCount val="1"/>
                <c:pt idx="0">
                  <c:v>Forecast(Self Watering  Profit 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Sheet9!$A$2:$A$13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Sheet9!$C$2:$C$13</c:f>
              <c:numCache>
                <c:formatCode>General</c:formatCode>
                <c:ptCount val="12"/>
                <c:pt idx="6" formatCode="0%">
                  <c:v>0.74140511340882398</c:v>
                </c:pt>
                <c:pt idx="7" formatCode="0%">
                  <c:v>0.67772982383104907</c:v>
                </c:pt>
                <c:pt idx="8" formatCode="0%">
                  <c:v>0.65101009603821025</c:v>
                </c:pt>
                <c:pt idx="9" formatCode="0%">
                  <c:v>0.62429036824537132</c:v>
                </c:pt>
                <c:pt idx="10" formatCode="0%">
                  <c:v>0.59757064045253239</c:v>
                </c:pt>
                <c:pt idx="11" formatCode="0%">
                  <c:v>0.57085091265969345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7-432E-9BA7-8F36798B91DE}"/>
            </c:ext>
          </c:extLst>
        </c:ser>
        <c:ser>
          <c:idx val="2"/>
          <c:order val="2"/>
          <c:tx>
            <c:strRef>
              <c:f>Sheet9!$D$1</c:f>
              <c:strCache>
                <c:ptCount val="1"/>
                <c:pt idx="0">
                  <c:v>Lower Confidence Bound(Self Watering 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Sheet9!$A$2:$A$13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Sheet9!$D$2:$D$13</c:f>
              <c:numCache>
                <c:formatCode>General</c:formatCode>
                <c:ptCount val="12"/>
                <c:pt idx="6" formatCode="0%">
                  <c:v>0.74140511340882398</c:v>
                </c:pt>
                <c:pt idx="7" formatCode="0%">
                  <c:v>0.53691201726112014</c:v>
                </c:pt>
                <c:pt idx="8" formatCode="0%">
                  <c:v>0.50947587065713273</c:v>
                </c:pt>
                <c:pt idx="9" formatCode="0%">
                  <c:v>0.48202918351400903</c:v>
                </c:pt>
                <c:pt idx="10" formatCode="0%">
                  <c:v>0.45457197791570103</c:v>
                </c:pt>
                <c:pt idx="11" formatCode="0%">
                  <c:v>0.42710427780521654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D7-432E-9BA7-8F36798B91DE}"/>
            </c:ext>
          </c:extLst>
        </c:ser>
        <c:ser>
          <c:idx val="3"/>
          <c:order val="3"/>
          <c:tx>
            <c:strRef>
              <c:f>Sheet9!$E$1</c:f>
              <c:strCache>
                <c:ptCount val="1"/>
                <c:pt idx="0">
                  <c:v>Upper Confidence Bound(Self Watering 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Sheet9!$A$2:$A$13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Sheet9!$E$2:$E$13</c:f>
              <c:numCache>
                <c:formatCode>General</c:formatCode>
                <c:ptCount val="12"/>
                <c:pt idx="6" formatCode="0%">
                  <c:v>0.74140511340882398</c:v>
                </c:pt>
                <c:pt idx="7" formatCode="0%">
                  <c:v>0.818547630400978</c:v>
                </c:pt>
                <c:pt idx="8" formatCode="0%">
                  <c:v>0.79254432141928777</c:v>
                </c:pt>
                <c:pt idx="9" formatCode="0%">
                  <c:v>0.76655155297673361</c:v>
                </c:pt>
                <c:pt idx="10" formatCode="0%">
                  <c:v>0.74056930298936374</c:v>
                </c:pt>
                <c:pt idx="11" formatCode="0%">
                  <c:v>0.71459754751417037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D7-432E-9BA7-8F36798B9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60511"/>
        <c:axId val="795765311"/>
      </c:lineChart>
      <c:catAx>
        <c:axId val="79576051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5311"/>
        <c:crosses val="autoZero"/>
        <c:auto val="1"/>
        <c:lblAlgn val="ctr"/>
        <c:lblOffset val="100"/>
        <c:noMultiLvlLbl val="0"/>
      </c:catAx>
      <c:valAx>
        <c:axId val="79576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distribution of new and existing colors in 2012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297-4E89-8AFE-0F780381C6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97-4E89-8AFE-0F780381C6D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9ACC196-468A-4C1C-85B9-1EE60773E920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F45DB1F1-727F-4A04-A52C-77F008F3B7E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1F26CE5-66F3-49E9-9C9B-A8196289BE5A}" type="PERCENTAGE">
                      <a:rPr lang="en-US" sz="1200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297-4E89-8AFE-0F780381C6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16CA1F-B358-4CED-A421-380C3FB31A41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0098EBA4-F43D-498B-9A9E-BEF19B578607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C431B11-F22C-4978-B2A7-A38318B365E8}" type="PERCENTAGE">
                      <a:rPr lang="en-US" sz="1400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97-4E89-8AFE-0F780381C6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CleanedDataset!$G$206:$G$207</c:f>
              <c:numCache>
                <c:formatCode>General</c:formatCode>
                <c:ptCount val="2"/>
              </c:numCache>
            </c:numRef>
          </c:cat>
          <c:val>
            <c:numRef>
              <c:f>CleanedDataset!$I$206:$I$207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F297-4E89-8AFE-0F780381C6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Bin Sales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Bins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Sheet11!$B$2:$B$13</c:f>
              <c:numCache>
                <c:formatCode>General</c:formatCode>
                <c:ptCount val="12"/>
                <c:pt idx="0">
                  <c:v>1230</c:v>
                </c:pt>
                <c:pt idx="1">
                  <c:v>1453</c:v>
                </c:pt>
                <c:pt idx="2">
                  <c:v>1674</c:v>
                </c:pt>
                <c:pt idx="3">
                  <c:v>1328</c:v>
                </c:pt>
                <c:pt idx="4">
                  <c:v>2543</c:v>
                </c:pt>
                <c:pt idx="5">
                  <c:v>2081</c:v>
                </c:pt>
                <c:pt idx="6">
                  <c:v>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F-468D-8490-3E7E75C7CC9E}"/>
            </c:ext>
          </c:extLst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Forecast(Bins)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Sheet11!$A$2:$A$13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Sheet11!$C$2:$C$13</c:f>
              <c:numCache>
                <c:formatCode>General</c:formatCode>
                <c:ptCount val="12"/>
                <c:pt idx="6" formatCode="0">
                  <c:v>2048</c:v>
                </c:pt>
                <c:pt idx="7" formatCode="0">
                  <c:v>2376.6127652546393</c:v>
                </c:pt>
                <c:pt idx="8" formatCode="0">
                  <c:v>2540.4576489385904</c:v>
                </c:pt>
                <c:pt idx="9" formatCode="0">
                  <c:v>2704.3025326225415</c:v>
                </c:pt>
                <c:pt idx="10" formatCode="0">
                  <c:v>2868.1474163064922</c:v>
                </c:pt>
                <c:pt idx="11" formatCode="0">
                  <c:v>3031.9922999904438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F-468D-8490-3E7E75C7CC9E}"/>
            </c:ext>
          </c:extLst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Lower Confidence Bound(Bins)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Sheet11!$A$2:$A$13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Sheet11!$D$2:$D$13</c:f>
              <c:numCache>
                <c:formatCode>General</c:formatCode>
                <c:ptCount val="12"/>
                <c:pt idx="6" formatCode="0">
                  <c:v>2048</c:v>
                </c:pt>
                <c:pt idx="7" formatCode="0">
                  <c:v>1786.4394446787251</c:v>
                </c:pt>
                <c:pt idx="8" formatCode="0">
                  <c:v>1950.2816725887092</c:v>
                </c:pt>
                <c:pt idx="9" formatCode="0">
                  <c:v>2114.1218349262272</c:v>
                </c:pt>
                <c:pt idx="10" formatCode="0">
                  <c:v>2277.9593415819882</c:v>
                </c:pt>
                <c:pt idx="11" formatCode="0">
                  <c:v>2441.7936025073368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F-468D-8490-3E7E75C7CC9E}"/>
            </c:ext>
          </c:extLst>
        </c:ser>
        <c:ser>
          <c:idx val="3"/>
          <c:order val="3"/>
          <c:tx>
            <c:strRef>
              <c:f>Sheet11!$E$1</c:f>
              <c:strCache>
                <c:ptCount val="1"/>
                <c:pt idx="0">
                  <c:v>Upper Confidence Bound(Bins)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Sheet11!$A$2:$A$13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Sheet11!$E$2:$E$13</c:f>
              <c:numCache>
                <c:formatCode>General</c:formatCode>
                <c:ptCount val="12"/>
                <c:pt idx="6" formatCode="0">
                  <c:v>2048</c:v>
                </c:pt>
                <c:pt idx="7" formatCode="0">
                  <c:v>2966.7860858305535</c:v>
                </c:pt>
                <c:pt idx="8" formatCode="0">
                  <c:v>3130.6336252884716</c:v>
                </c:pt>
                <c:pt idx="9" formatCode="0">
                  <c:v>3294.4832303188559</c:v>
                </c:pt>
                <c:pt idx="10" formatCode="0">
                  <c:v>3458.3354910309963</c:v>
                </c:pt>
                <c:pt idx="11" formatCode="0">
                  <c:v>3622.1909974735509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DF-468D-8490-3E7E75C7CC9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214463"/>
        <c:axId val="810213503"/>
      </c:lineChart>
      <c:catAx>
        <c:axId val="8102144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3503"/>
        <c:crosses val="autoZero"/>
        <c:auto val="1"/>
        <c:lblAlgn val="ctr"/>
        <c:lblOffset val="100"/>
        <c:noMultiLvlLbl val="0"/>
      </c:catAx>
      <c:valAx>
        <c:axId val="81021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4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Family by Manufacturing and Selling Cost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'!$G$14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'!$F$15:$F$17</c:f>
              <c:strCache>
                <c:ptCount val="3"/>
                <c:pt idx="0">
                  <c:v>Bins</c:v>
                </c:pt>
                <c:pt idx="1">
                  <c:v>Planterware</c:v>
                </c:pt>
                <c:pt idx="2">
                  <c:v>Self-Watering</c:v>
                </c:pt>
              </c:strCache>
            </c:strRef>
          </c:cat>
          <c:val>
            <c:numRef>
              <c:f>'Pivot '!$G$15:$G$17</c:f>
              <c:numCache>
                <c:formatCode>General</c:formatCode>
                <c:ptCount val="3"/>
                <c:pt idx="0">
                  <c:v>1265.5999999999999</c:v>
                </c:pt>
                <c:pt idx="1">
                  <c:v>1341.9</c:v>
                </c:pt>
                <c:pt idx="2">
                  <c:v>8787.1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C-4D7C-AA94-B29C4171FF09}"/>
            </c:ext>
          </c:extLst>
        </c:ser>
        <c:ser>
          <c:idx val="1"/>
          <c:order val="1"/>
          <c:tx>
            <c:strRef>
              <c:f>'Pivot '!$H$14</c:f>
              <c:strCache>
                <c:ptCount val="1"/>
                <c:pt idx="0">
                  <c:v>Sum of Selling Price 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'!$F$15:$F$17</c:f>
              <c:strCache>
                <c:ptCount val="3"/>
                <c:pt idx="0">
                  <c:v>Bins</c:v>
                </c:pt>
                <c:pt idx="1">
                  <c:v>Planterware</c:v>
                </c:pt>
                <c:pt idx="2">
                  <c:v>Self-Watering</c:v>
                </c:pt>
              </c:strCache>
            </c:strRef>
          </c:cat>
          <c:val>
            <c:numRef>
              <c:f>'Pivot '!$H$15:$H$17</c:f>
              <c:numCache>
                <c:formatCode>General</c:formatCode>
                <c:ptCount val="3"/>
                <c:pt idx="0">
                  <c:v>3944</c:v>
                </c:pt>
                <c:pt idx="1">
                  <c:v>2124</c:v>
                </c:pt>
                <c:pt idx="2">
                  <c:v>28115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C-4D7C-AA94-B29C4171F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928095"/>
        <c:axId val="1787997151"/>
      </c:barChart>
      <c:catAx>
        <c:axId val="188792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Family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97151"/>
        <c:crosses val="autoZero"/>
        <c:auto val="1"/>
        <c:lblAlgn val="ctr"/>
        <c:lblOffset val="100"/>
        <c:noMultiLvlLbl val="0"/>
      </c:catAx>
      <c:valAx>
        <c:axId val="17879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 involved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2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[DAEXCELN0985928_BUSI49152.xlsx]Powder Cost!PivotTable1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Powder Costs</a:t>
            </a:r>
            <a:r>
              <a:rPr lang="tr-TR" baseline="0"/>
              <a:t> By Colours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'Powder Cost'!$B$2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'Powder Cost'!$A$3:$A$22</c:f>
              <c:strCache>
                <c:ptCount val="19"/>
                <c:pt idx="0">
                  <c:v>Light Sandstone</c:v>
                </c:pt>
                <c:pt idx="1">
                  <c:v>Pink Granite</c:v>
                </c:pt>
                <c:pt idx="2">
                  <c:v>Millstone Gritt</c:v>
                </c:pt>
                <c:pt idx="3">
                  <c:v>Dark Standstone</c:v>
                </c:pt>
                <c:pt idx="4">
                  <c:v>White Marble</c:v>
                </c:pt>
                <c:pt idx="5">
                  <c:v>Guernsey Granite</c:v>
                </c:pt>
                <c:pt idx="6">
                  <c:v>Moss Stone</c:v>
                </c:pt>
                <c:pt idx="7">
                  <c:v>Terracotta</c:v>
                </c:pt>
                <c:pt idx="8">
                  <c:v>Sky Blue</c:v>
                </c:pt>
                <c:pt idx="9">
                  <c:v>White</c:v>
                </c:pt>
                <c:pt idx="10">
                  <c:v>Biscuit</c:v>
                </c:pt>
                <c:pt idx="11">
                  <c:v>Standard Green</c:v>
                </c:pt>
                <c:pt idx="12">
                  <c:v>Navy Blue</c:v>
                </c:pt>
                <c:pt idx="13">
                  <c:v>Tudor Brown Mottle</c:v>
                </c:pt>
                <c:pt idx="14">
                  <c:v>Orange</c:v>
                </c:pt>
                <c:pt idx="15">
                  <c:v>Light Green</c:v>
                </c:pt>
                <c:pt idx="16">
                  <c:v>Cherry</c:v>
                </c:pt>
                <c:pt idx="17">
                  <c:v>Brown</c:v>
                </c:pt>
                <c:pt idx="18">
                  <c:v>Black</c:v>
                </c:pt>
              </c:strCache>
            </c:strRef>
          </c:cat>
          <c:val>
            <c:numRef>
              <c:f>'Powder Cost'!$B$3:$B$22</c:f>
              <c:numCache>
                <c:formatCode>General</c:formatCode>
                <c:ptCount val="19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2-40EC-A409-40AF41BA7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323968"/>
        <c:axId val="1984322528"/>
      </c:barChart>
      <c:catAx>
        <c:axId val="19843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22528"/>
        <c:crosses val="autoZero"/>
        <c:auto val="1"/>
        <c:lblAlgn val="ctr"/>
        <c:lblOffset val="100"/>
        <c:noMultiLvlLbl val="0"/>
      </c:catAx>
      <c:valAx>
        <c:axId val="198432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32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Total Profitability: 2006 - 2012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12047323389709"/>
          <c:y val="0.21433461703038084"/>
          <c:w val="0.62501407490226868"/>
          <c:h val="0.65129094100721363"/>
        </c:manualLayout>
      </c:layout>
      <c:scatterChart>
        <c:scatterStyle val="lineMarker"/>
        <c:varyColors val="0"/>
        <c:ser>
          <c:idx val="0"/>
          <c:order val="0"/>
          <c:tx>
            <c:strRef>
              <c:f>AnnualPDashBoard!$L$2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AnnualPDashBoard!$K$3:$K$9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xVal>
          <c:yVal>
            <c:numRef>
              <c:f>AnnualPDashBoard!$L$3:$L$9</c:f>
              <c:numCache>
                <c:formatCode>#,##0</c:formatCode>
                <c:ptCount val="7"/>
                <c:pt idx="0">
                  <c:v>943793.2</c:v>
                </c:pt>
                <c:pt idx="1">
                  <c:v>1028316.8</c:v>
                </c:pt>
                <c:pt idx="2">
                  <c:v>982504.6</c:v>
                </c:pt>
                <c:pt idx="3">
                  <c:v>836814</c:v>
                </c:pt>
                <c:pt idx="4">
                  <c:v>1246212.8999999999</c:v>
                </c:pt>
                <c:pt idx="5">
                  <c:v>1068083.2999999998</c:v>
                </c:pt>
                <c:pt idx="6">
                  <c:v>1475767.2999999998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F-4A4A-BAB1-61BC27A11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97964784"/>
        <c:axId val="1097965264"/>
      </c:scatterChart>
      <c:valAx>
        <c:axId val="109796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65264"/>
        <c:crosses val="autoZero"/>
        <c:crossBetween val="midCat"/>
      </c:valAx>
      <c:valAx>
        <c:axId val="10979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Profit(£)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6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</a:t>
            </a:r>
            <a:r>
              <a:rPr lang="tr-TR"/>
              <a:t>Total Sales</a:t>
            </a:r>
            <a:r>
              <a:rPr lang="en-US"/>
              <a:t> Graph Between 2006-2012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84798775153105"/>
          <c:y val="0.15319444444444447"/>
          <c:w val="0.73870756780402447"/>
          <c:h val="0.67457604257801107"/>
        </c:manualLayout>
      </c:layout>
      <c:lineChart>
        <c:grouping val="standard"/>
        <c:varyColors val="0"/>
        <c:ser>
          <c:idx val="0"/>
          <c:order val="0"/>
          <c:tx>
            <c:strRef>
              <c:f>MovingAverage!$C$1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MovingAverage!$A$2:$A$8</c:f>
              <c:numCache>
                <c:formatCode>0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MovingAverage!$C$2:$C$8</c:f>
              <c:numCache>
                <c:formatCode>0</c:formatCode>
                <c:ptCount val="7"/>
                <c:pt idx="0">
                  <c:v>24122</c:v>
                </c:pt>
                <c:pt idx="1">
                  <c:v>25891</c:v>
                </c:pt>
                <c:pt idx="2">
                  <c:v>24809</c:v>
                </c:pt>
                <c:pt idx="3">
                  <c:v>23226</c:v>
                </c:pt>
                <c:pt idx="4">
                  <c:v>22470</c:v>
                </c:pt>
                <c:pt idx="5">
                  <c:v>24843</c:v>
                </c:pt>
                <c:pt idx="6">
                  <c:v>29941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C-42BA-AF95-6BC5654EE3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88532352"/>
        <c:axId val="688526592"/>
      </c:lineChart>
      <c:catAx>
        <c:axId val="6885323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526592"/>
        <c:crosses val="autoZero"/>
        <c:auto val="1"/>
        <c:lblAlgn val="ctr"/>
        <c:lblOffset val="100"/>
        <c:noMultiLvlLbl val="0"/>
      </c:catAx>
      <c:valAx>
        <c:axId val="6885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Total Sales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532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Total Profit Graph Between 2006-2012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MovingAverage!$B$1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MovingAverage!$A$2:$A$8</c:f>
              <c:numCache>
                <c:formatCode>0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MovingAverage!$B$2:$B$8</c:f>
              <c:numCache>
                <c:formatCode>0</c:formatCode>
                <c:ptCount val="7"/>
                <c:pt idx="0">
                  <c:v>943793</c:v>
                </c:pt>
                <c:pt idx="1">
                  <c:v>1028317</c:v>
                </c:pt>
                <c:pt idx="2">
                  <c:v>982505</c:v>
                </c:pt>
                <c:pt idx="3">
                  <c:v>836814</c:v>
                </c:pt>
                <c:pt idx="4">
                  <c:v>1246213</c:v>
                </c:pt>
                <c:pt idx="5">
                  <c:v>1068083</c:v>
                </c:pt>
                <c:pt idx="6">
                  <c:v>1475767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9-4A3B-8376-E171EE1F29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9849536"/>
        <c:axId val="2099850496"/>
      </c:lineChart>
      <c:catAx>
        <c:axId val="20998495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50496"/>
        <c:crosses val="autoZero"/>
        <c:auto val="1"/>
        <c:lblAlgn val="ctr"/>
        <c:lblOffset val="100"/>
        <c:noMultiLvlLbl val="0"/>
      </c:catAx>
      <c:valAx>
        <c:axId val="20998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Profit (£)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49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 Profit</a:t>
            </a:r>
            <a:r>
              <a:rPr lang="en-GB"/>
              <a:t> Forecast Chart (2013- 2016)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ForeCast'!$B$1</c:f>
              <c:strCache>
                <c:ptCount val="1"/>
                <c:pt idx="0">
                  <c:v>Annual Total Profit 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 ForeCast'!$B$2:$B$12</c:f>
              <c:numCache>
                <c:formatCode>#,##0</c:formatCode>
                <c:ptCount val="11"/>
                <c:pt idx="0">
                  <c:v>943783</c:v>
                </c:pt>
                <c:pt idx="1">
                  <c:v>1028317</c:v>
                </c:pt>
                <c:pt idx="2">
                  <c:v>982505</c:v>
                </c:pt>
                <c:pt idx="3">
                  <c:v>836814</c:v>
                </c:pt>
                <c:pt idx="4">
                  <c:v>1246213</c:v>
                </c:pt>
                <c:pt idx="5">
                  <c:v>1068083</c:v>
                </c:pt>
                <c:pt idx="6">
                  <c:v>1475767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8-4286-89AC-1862D078C440}"/>
            </c:ext>
          </c:extLst>
        </c:ser>
        <c:ser>
          <c:idx val="1"/>
          <c:order val="1"/>
          <c:tx>
            <c:strRef>
              <c:f>'Profit ForeCast'!$C$1</c:f>
              <c:strCache>
                <c:ptCount val="1"/>
                <c:pt idx="0">
                  <c:v>Forecast(Annual Total Profit 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dLbl>
              <c:idx val="7"/>
              <c:tx>
                <c:rich>
                  <a:bodyPr/>
                  <a:lstStyle/>
                  <a:p>
                    <a:fld id="{60EF9A95-38E2-415F-87E2-11568521A4A8}" type="VALUE">
                      <a:rPr lang="en-US" b="1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C28-4286-89AC-1862D078C4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cust"/>
            <c:noEndCap val="0"/>
            <c:plus>
              <c:numRef>
                <c:f>'Profit ForeCast'!$D$2:$D$12</c:f>
                <c:numCache>
                  <c:formatCode>General</c:formatCode>
                  <c:ptCount val="11"/>
                  <c:pt idx="7">
                    <c:v>307742.44698059082</c:v>
                  </c:pt>
                  <c:pt idx="8">
                    <c:v>307743.83181848633</c:v>
                  </c:pt>
                  <c:pt idx="9">
                    <c:v>307746.293737136</c:v>
                  </c:pt>
                  <c:pt idx="10">
                    <c:v>307750.14044559823</c:v>
                  </c:pt>
                </c:numCache>
              </c:numRef>
            </c:plus>
            <c:minus>
              <c:numRef>
                <c:f>'Profit ForeCast'!$D$2:$D$12</c:f>
                <c:numCache>
                  <c:formatCode>General</c:formatCode>
                  <c:ptCount val="11"/>
                  <c:pt idx="7">
                    <c:v>307742.44698059082</c:v>
                  </c:pt>
                  <c:pt idx="8">
                    <c:v>307743.83181848633</c:v>
                  </c:pt>
                  <c:pt idx="9">
                    <c:v>307746.293737136</c:v>
                  </c:pt>
                  <c:pt idx="10">
                    <c:v>307750.14044559823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'Profit ForeCast'!$A$2:$A$12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'Profit ForeCast'!$C$2:$C$12</c:f>
              <c:numCache>
                <c:formatCode>General</c:formatCode>
                <c:ptCount val="11"/>
                <c:pt idx="7" formatCode="#,##0">
                  <c:v>1425726.2833676687</c:v>
                </c:pt>
                <c:pt idx="8" formatCode="#,##0">
                  <c:v>1494509.4111847996</c:v>
                </c:pt>
                <c:pt idx="9" formatCode="#,##0">
                  <c:v>1563292.5390019305</c:v>
                </c:pt>
                <c:pt idx="10" formatCode="#,##0">
                  <c:v>1632075.6668190616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8-4286-89AC-1862D078C4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2038565472"/>
        <c:axId val="2038565952"/>
      </c:barChart>
      <c:catAx>
        <c:axId val="2038565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65952"/>
        <c:crosses val="autoZero"/>
        <c:auto val="1"/>
        <c:lblAlgn val="ctr"/>
        <c:lblOffset val="100"/>
        <c:noMultiLvlLbl val="0"/>
      </c:catAx>
      <c:valAx>
        <c:axId val="203856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/>
                  <a:t>Total Profit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Annual Sales Forecast  (2013- 2016)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83334148448836"/>
          <c:y val="0.10767099567099568"/>
          <c:w val="0.6826656233188243"/>
          <c:h val="0.47490363704536931"/>
        </c:manualLayout>
      </c:layout>
      <c:lineChart>
        <c:grouping val="standard"/>
        <c:varyColors val="0"/>
        <c:ser>
          <c:idx val="0"/>
          <c:order val="0"/>
          <c:tx>
            <c:strRef>
              <c:f>ForecastDashboard2!$B$1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ForecastDashboard2!$B$2:$B$12</c:f>
              <c:numCache>
                <c:formatCode>#,##0</c:formatCode>
                <c:ptCount val="11"/>
                <c:pt idx="0">
                  <c:v>24122</c:v>
                </c:pt>
                <c:pt idx="1">
                  <c:v>25891</c:v>
                </c:pt>
                <c:pt idx="2">
                  <c:v>24809</c:v>
                </c:pt>
                <c:pt idx="3">
                  <c:v>23226</c:v>
                </c:pt>
                <c:pt idx="4">
                  <c:v>22470</c:v>
                </c:pt>
                <c:pt idx="5">
                  <c:v>24843</c:v>
                </c:pt>
                <c:pt idx="6">
                  <c:v>29941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F-43D1-9CFB-633B7BD63C2D}"/>
            </c:ext>
          </c:extLst>
        </c:ser>
        <c:ser>
          <c:idx val="1"/>
          <c:order val="1"/>
          <c:tx>
            <c:strRef>
              <c:f>ForecastDashboard2!$C$1</c:f>
              <c:strCache>
                <c:ptCount val="1"/>
                <c:pt idx="0">
                  <c:v>Forecast(Total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ForecastDashboard2!$A$2:$A$12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ForecastDashboard2!$C$2:$C$12</c:f>
              <c:numCache>
                <c:formatCode>General</c:formatCode>
                <c:ptCount val="11"/>
                <c:pt idx="6" formatCode="#,##0">
                  <c:v>29941</c:v>
                </c:pt>
                <c:pt idx="7" formatCode="#,##0">
                  <c:v>30406.071428571428</c:v>
                </c:pt>
                <c:pt idx="8" formatCode="#,##0">
                  <c:v>30871.142857142859</c:v>
                </c:pt>
                <c:pt idx="9" formatCode="#,##0">
                  <c:v>31336.214285714286</c:v>
                </c:pt>
                <c:pt idx="10" formatCode="#,##0">
                  <c:v>31801.285714285714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BF-43D1-9CFB-633B7BD63C2D}"/>
            </c:ext>
          </c:extLst>
        </c:ser>
        <c:ser>
          <c:idx val="2"/>
          <c:order val="2"/>
          <c:tx>
            <c:strRef>
              <c:f>ForecastDashboard2!$D$1</c:f>
              <c:strCache>
                <c:ptCount val="1"/>
                <c:pt idx="0">
                  <c:v>Lower Confidence Bound(Total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ForecastDashboard2!$A$2:$A$12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ForecastDashboard2!$D$2:$D$12</c:f>
              <c:numCache>
                <c:formatCode>General</c:formatCode>
                <c:ptCount val="11"/>
                <c:pt idx="6" formatCode="#,##0">
                  <c:v>29941</c:v>
                </c:pt>
                <c:pt idx="7" formatCode="#,##0">
                  <c:v>26356.873202737766</c:v>
                </c:pt>
                <c:pt idx="8" formatCode="#,##0">
                  <c:v>25147.574308793759</c:v>
                </c:pt>
                <c:pt idx="9" formatCode="#,##0">
                  <c:v>24325.134254809956</c:v>
                </c:pt>
                <c:pt idx="10" formatCode="#,##0">
                  <c:v>23702.887238019535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BF-43D1-9CFB-633B7BD63C2D}"/>
            </c:ext>
          </c:extLst>
        </c:ser>
        <c:ser>
          <c:idx val="3"/>
          <c:order val="3"/>
          <c:tx>
            <c:strRef>
              <c:f>ForecastDashboard2!$E$1</c:f>
              <c:strCache>
                <c:ptCount val="1"/>
                <c:pt idx="0">
                  <c:v>Upper Confidence Bound(Total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ForecastDashboard2!$A$2:$A$12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ForecastDashboard2!$E$2:$E$12</c:f>
              <c:numCache>
                <c:formatCode>General</c:formatCode>
                <c:ptCount val="11"/>
                <c:pt idx="6" formatCode="#,##0">
                  <c:v>29941</c:v>
                </c:pt>
                <c:pt idx="7" formatCode="#,##0">
                  <c:v>34455.269654405085</c:v>
                </c:pt>
                <c:pt idx="8" formatCode="#,##0">
                  <c:v>36594.711405491958</c:v>
                </c:pt>
                <c:pt idx="9" formatCode="#,##0">
                  <c:v>38347.294316618616</c:v>
                </c:pt>
                <c:pt idx="10" formatCode="#,##0">
                  <c:v>39899.684190551896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BF-43D1-9CFB-633B7BD63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339863056"/>
        <c:axId val="339863536"/>
      </c:lineChart>
      <c:catAx>
        <c:axId val="3398630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63536"/>
        <c:crosses val="autoZero"/>
        <c:auto val="1"/>
        <c:lblAlgn val="ctr"/>
        <c:lblOffset val="100"/>
        <c:noMultiLvlLbl val="0"/>
      </c:catAx>
      <c:valAx>
        <c:axId val="339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400" b="0"/>
                  <a:t>Total Sales</a:t>
                </a:r>
                <a:endParaRPr lang="en-GB" sz="1400" b="0"/>
              </a:p>
            </c:rich>
          </c:tx>
          <c:layout>
            <c:manualLayout>
              <c:xMode val="edge"/>
              <c:yMode val="edge"/>
              <c:x val="0.17888198757763976"/>
              <c:y val="0.191676858574496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63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Profitability Forecast Chart (2013- 2016)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ForeCast'!$B$1</c:f>
              <c:strCache>
                <c:ptCount val="1"/>
                <c:pt idx="0">
                  <c:v>Annual Total Profit 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'Profit ForeCast'!$B$2:$B$12</c:f>
              <c:numCache>
                <c:formatCode>#,##0</c:formatCode>
                <c:ptCount val="11"/>
                <c:pt idx="0">
                  <c:v>943783</c:v>
                </c:pt>
                <c:pt idx="1">
                  <c:v>1028317</c:v>
                </c:pt>
                <c:pt idx="2">
                  <c:v>982505</c:v>
                </c:pt>
                <c:pt idx="3">
                  <c:v>836814</c:v>
                </c:pt>
                <c:pt idx="4">
                  <c:v>1246213</c:v>
                </c:pt>
                <c:pt idx="5">
                  <c:v>1068083</c:v>
                </c:pt>
                <c:pt idx="6">
                  <c:v>1475767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0-4071-A34E-6B69A857A463}"/>
            </c:ext>
          </c:extLst>
        </c:ser>
        <c:ser>
          <c:idx val="1"/>
          <c:order val="1"/>
          <c:tx>
            <c:strRef>
              <c:f>'Profit ForeCast'!$C$1</c:f>
              <c:strCache>
                <c:ptCount val="1"/>
                <c:pt idx="0">
                  <c:v>Forecast(Annual Total Profit 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dLbl>
              <c:idx val="7"/>
              <c:tx>
                <c:rich>
                  <a:bodyPr/>
                  <a:lstStyle/>
                  <a:p>
                    <a:fld id="{60EF9A95-38E2-415F-87E2-11568521A4A8}" type="VALUE">
                      <a:rPr lang="en-US" b="1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D90-4071-A34E-6B69A857A4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cust"/>
            <c:noEndCap val="0"/>
            <c:plus>
              <c:numRef>
                <c:f>'Profit ForeCast'!$D$2:$D$12</c:f>
                <c:numCache>
                  <c:formatCode>General</c:formatCode>
                  <c:ptCount val="11"/>
                  <c:pt idx="7">
                    <c:v>307742.44698059082</c:v>
                  </c:pt>
                  <c:pt idx="8">
                    <c:v>307743.83181848633</c:v>
                  </c:pt>
                  <c:pt idx="9">
                    <c:v>307746.293737136</c:v>
                  </c:pt>
                  <c:pt idx="10">
                    <c:v>307750.14044559823</c:v>
                  </c:pt>
                </c:numCache>
              </c:numRef>
            </c:plus>
            <c:minus>
              <c:numRef>
                <c:f>'Profit ForeCast'!$D$2:$D$12</c:f>
                <c:numCache>
                  <c:formatCode>General</c:formatCode>
                  <c:ptCount val="11"/>
                  <c:pt idx="7">
                    <c:v>307742.44698059082</c:v>
                  </c:pt>
                  <c:pt idx="8">
                    <c:v>307743.83181848633</c:v>
                  </c:pt>
                  <c:pt idx="9">
                    <c:v>307746.293737136</c:v>
                  </c:pt>
                  <c:pt idx="10">
                    <c:v>307750.14044559823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'Profit ForeCast'!$A$2:$A$12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'Profit ForeCast'!$C$2:$C$12</c:f>
              <c:numCache>
                <c:formatCode>General</c:formatCode>
                <c:ptCount val="11"/>
                <c:pt idx="7" formatCode="#,##0">
                  <c:v>1425726.2833676687</c:v>
                </c:pt>
                <c:pt idx="8" formatCode="#,##0">
                  <c:v>1494509.4111847996</c:v>
                </c:pt>
                <c:pt idx="9" formatCode="#,##0">
                  <c:v>1563292.5390019305</c:v>
                </c:pt>
                <c:pt idx="10" formatCode="#,##0">
                  <c:v>1632075.6668190616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90-4071-A34E-6B69A857A4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2038565472"/>
        <c:axId val="2038565952"/>
      </c:barChart>
      <c:catAx>
        <c:axId val="2038565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65952"/>
        <c:crosses val="autoZero"/>
        <c:auto val="1"/>
        <c:lblAlgn val="ctr"/>
        <c:lblOffset val="100"/>
        <c:noMultiLvlLbl val="0"/>
      </c:catAx>
      <c:valAx>
        <c:axId val="203856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100"/>
                  <a:t>Total Profit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600"/>
              <a:t>Moving Average</a:t>
            </a:r>
            <a:r>
              <a:rPr lang="tr-TR" sz="1600"/>
              <a:t> for Annual</a:t>
            </a:r>
            <a:r>
              <a:rPr lang="tr-TR" sz="1600" baseline="0"/>
              <a:t> Profit</a:t>
            </a:r>
            <a:endParaRPr lang="en-GB" sz="16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MovingAverage!$B$2:$B$8</c:f>
              <c:numCache>
                <c:formatCode>0</c:formatCode>
                <c:ptCount val="7"/>
                <c:pt idx="0">
                  <c:v>943793</c:v>
                </c:pt>
                <c:pt idx="1">
                  <c:v>1028317</c:v>
                </c:pt>
                <c:pt idx="2">
                  <c:v>982505</c:v>
                </c:pt>
                <c:pt idx="3">
                  <c:v>836814</c:v>
                </c:pt>
                <c:pt idx="4">
                  <c:v>1246213</c:v>
                </c:pt>
                <c:pt idx="5">
                  <c:v>1068083</c:v>
                </c:pt>
                <c:pt idx="6">
                  <c:v>1475767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0-4D8F-A888-FC713E0AA582}"/>
            </c:ext>
          </c:extLst>
        </c:ser>
        <c:ser>
          <c:idx val="1"/>
          <c:order val="1"/>
          <c:tx>
            <c:v>Forecast</c:v>
          </c:tx>
          <c:val>
            <c:numRef>
              <c:f>MovingAverage!$E$1:$E$7</c:f>
              <c:numCache>
                <c:formatCode>0</c:formatCode>
                <c:ptCount val="7"/>
                <c:pt idx="0" formatCode="General">
                  <c:v>#N/A</c:v>
                </c:pt>
                <c:pt idx="1">
                  <c:v>986055</c:v>
                </c:pt>
                <c:pt idx="2">
                  <c:v>1005411</c:v>
                </c:pt>
                <c:pt idx="3">
                  <c:v>909659.5</c:v>
                </c:pt>
                <c:pt idx="4">
                  <c:v>1041513.5</c:v>
                </c:pt>
                <c:pt idx="5">
                  <c:v>1157148</c:v>
                </c:pt>
                <c:pt idx="6">
                  <c:v>1271925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10-4D8F-A888-FC713E0AA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651343"/>
        <c:axId val="414655183"/>
      </c:lineChart>
      <c:catAx>
        <c:axId val="414651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414655183"/>
        <c:crosses val="autoZero"/>
        <c:auto val="1"/>
        <c:lblAlgn val="ctr"/>
        <c:lblOffset val="100"/>
        <c:noMultiLvlLbl val="0"/>
      </c:catAx>
      <c:valAx>
        <c:axId val="414655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Value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414651343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Moving Average</a:t>
            </a:r>
            <a:r>
              <a:rPr lang="tr-TR"/>
              <a:t> for Annual Sales</a:t>
            </a:r>
            <a:endParaRPr lang="en-GB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MovingAverage!$C$2:$C$8</c:f>
              <c:numCache>
                <c:formatCode>0</c:formatCode>
                <c:ptCount val="7"/>
                <c:pt idx="0">
                  <c:v>24122</c:v>
                </c:pt>
                <c:pt idx="1">
                  <c:v>25891</c:v>
                </c:pt>
                <c:pt idx="2">
                  <c:v>24809</c:v>
                </c:pt>
                <c:pt idx="3">
                  <c:v>23226</c:v>
                </c:pt>
                <c:pt idx="4">
                  <c:v>22470</c:v>
                </c:pt>
                <c:pt idx="5">
                  <c:v>24843</c:v>
                </c:pt>
                <c:pt idx="6">
                  <c:v>29941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0-442B-99AB-EE10A2B1CB0B}"/>
            </c:ext>
          </c:extLst>
        </c:ser>
        <c:ser>
          <c:idx val="1"/>
          <c:order val="1"/>
          <c:tx>
            <c:v>Forecast</c:v>
          </c:tx>
          <c:val>
            <c:numRef>
              <c:f>MovingAverage!$E$11:$E$17</c:f>
              <c:numCache>
                <c:formatCode>0</c:formatCode>
                <c:ptCount val="7"/>
                <c:pt idx="0" formatCode="General">
                  <c:v>#N/A</c:v>
                </c:pt>
                <c:pt idx="1">
                  <c:v>25006.5</c:v>
                </c:pt>
                <c:pt idx="2">
                  <c:v>25350</c:v>
                </c:pt>
                <c:pt idx="3">
                  <c:v>24017.5</c:v>
                </c:pt>
                <c:pt idx="4">
                  <c:v>22848</c:v>
                </c:pt>
                <c:pt idx="5">
                  <c:v>23656.5</c:v>
                </c:pt>
                <c:pt idx="6">
                  <c:v>27392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70-442B-99AB-EE10A2B1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447871"/>
        <c:axId val="557449791"/>
      </c:lineChart>
      <c:catAx>
        <c:axId val="557447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557449791"/>
        <c:crosses val="autoZero"/>
        <c:auto val="1"/>
        <c:lblAlgn val="ctr"/>
        <c:lblOffset val="100"/>
        <c:noMultiLvlLbl val="0"/>
      </c:catAx>
      <c:valAx>
        <c:axId val="557449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Value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57447871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[DAEXCELN0985928_BUSI49152.xlsx]Suggestion5!PivotTable4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Demand of Bins</a:t>
            </a:r>
            <a:r>
              <a:rPr lang="tr-TR" baseline="0"/>
              <a:t> and Planters by Month 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Suggestion5!$B$2</c:f>
              <c:strCache>
                <c:ptCount val="1"/>
                <c:pt idx="0">
                  <c:v>Sum of Demand of Bins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Suggestion5!$A$3:$A$15</c:f>
              <c:strCache>
                <c:ptCount val="12"/>
                <c:pt idx="0">
                  <c:v>Nov</c:v>
                </c:pt>
                <c:pt idx="1">
                  <c:v>Oct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Mac</c:v>
                </c:pt>
                <c:pt idx="6">
                  <c:v>Sept</c:v>
                </c:pt>
                <c:pt idx="7">
                  <c:v>August</c:v>
                </c:pt>
                <c:pt idx="8">
                  <c:v>July</c:v>
                </c:pt>
                <c:pt idx="9">
                  <c:v>April</c:v>
                </c:pt>
                <c:pt idx="10">
                  <c:v>June</c:v>
                </c:pt>
                <c:pt idx="11">
                  <c:v>May</c:v>
                </c:pt>
              </c:strCache>
            </c:strRef>
          </c:cat>
          <c:val>
            <c:numRef>
              <c:f>Suggestion5!$B$3:$B$15</c:f>
              <c:numCache>
                <c:formatCode>General</c:formatCode>
                <c:ptCount val="12"/>
                <c:pt idx="0">
                  <c:v>15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9-4AE3-9859-EA7E187F0564}"/>
            </c:ext>
          </c:extLst>
        </c:ser>
        <c:ser>
          <c:idx val="1"/>
          <c:order val="1"/>
          <c:tx>
            <c:strRef>
              <c:f>Suggestion5!$C$2</c:f>
              <c:strCache>
                <c:ptCount val="1"/>
                <c:pt idx="0">
                  <c:v>Sum of Demand of Planters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Suggestion5!$A$3:$A$15</c:f>
              <c:strCache>
                <c:ptCount val="12"/>
                <c:pt idx="0">
                  <c:v>Nov</c:v>
                </c:pt>
                <c:pt idx="1">
                  <c:v>Oct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Mac</c:v>
                </c:pt>
                <c:pt idx="6">
                  <c:v>Sept</c:v>
                </c:pt>
                <c:pt idx="7">
                  <c:v>August</c:v>
                </c:pt>
                <c:pt idx="8">
                  <c:v>July</c:v>
                </c:pt>
                <c:pt idx="9">
                  <c:v>April</c:v>
                </c:pt>
                <c:pt idx="10">
                  <c:v>June</c:v>
                </c:pt>
                <c:pt idx="11">
                  <c:v>May</c:v>
                </c:pt>
              </c:strCache>
            </c:strRef>
          </c:cat>
          <c:val>
            <c:numRef>
              <c:f>Suggestion5!$C$3:$C$15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3</c:v>
                </c:pt>
                <c:pt idx="5">
                  <c:v>13</c:v>
                </c:pt>
                <c:pt idx="6">
                  <c:v>3</c:v>
                </c:pt>
                <c:pt idx="7">
                  <c:v>8</c:v>
                </c:pt>
                <c:pt idx="8">
                  <c:v>10</c:v>
                </c:pt>
                <c:pt idx="9">
                  <c:v>18</c:v>
                </c:pt>
                <c:pt idx="10">
                  <c:v>15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9-4AE3-9859-EA7E187F0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8937744"/>
        <c:axId val="688930064"/>
      </c:barChart>
      <c:catAx>
        <c:axId val="68893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30064"/>
        <c:crosses val="autoZero"/>
        <c:auto val="1"/>
        <c:lblAlgn val="ctr"/>
        <c:lblOffset val="100"/>
        <c:noMultiLvlLbl val="0"/>
      </c:catAx>
      <c:valAx>
        <c:axId val="6889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3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Planterware Sales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Sheet12!$B$1</c:f>
              <c:strCache>
                <c:ptCount val="1"/>
                <c:pt idx="0">
                  <c:v>Planterware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Sheet12!$B$2:$B$13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809</c:v>
                </c:pt>
                <c:pt idx="5">
                  <c:v>2426</c:v>
                </c:pt>
                <c:pt idx="6">
                  <c:v>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C-45C8-9ED4-A922CFF722CF}"/>
            </c:ext>
          </c:extLst>
        </c:ser>
        <c:ser>
          <c:idx val="1"/>
          <c:order val="1"/>
          <c:tx>
            <c:strRef>
              <c:f>Sheet12!$C$1</c:f>
              <c:strCache>
                <c:ptCount val="1"/>
                <c:pt idx="0">
                  <c:v>Forecast(Planterware)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Sheet12!$A$2:$A$13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Sheet12!$C$2:$C$13</c:f>
              <c:numCache>
                <c:formatCode>General</c:formatCode>
                <c:ptCount val="12"/>
                <c:pt idx="6">
                  <c:v>4464</c:v>
                </c:pt>
                <c:pt idx="7" formatCode="0">
                  <c:v>5144.4642857142853</c:v>
                </c:pt>
                <c:pt idx="8" formatCode="0">
                  <c:v>5824.9285714285716</c:v>
                </c:pt>
                <c:pt idx="9" formatCode="0">
                  <c:v>6505.3928571428569</c:v>
                </c:pt>
                <c:pt idx="10" formatCode="0">
                  <c:v>7185.8571428571431</c:v>
                </c:pt>
                <c:pt idx="11" formatCode="0">
                  <c:v>7866.3214285714284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C-45C8-9ED4-A922CFF722CF}"/>
            </c:ext>
          </c:extLst>
        </c:ser>
        <c:ser>
          <c:idx val="2"/>
          <c:order val="2"/>
          <c:tx>
            <c:strRef>
              <c:f>Sheet12!$D$1</c:f>
              <c:strCache>
                <c:ptCount val="1"/>
                <c:pt idx="0">
                  <c:v>Lower Confidence Bound(Planterware)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Sheet12!$A$2:$A$13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Sheet12!$D$2:$D$13</c:f>
              <c:numCache>
                <c:formatCode>General</c:formatCode>
                <c:ptCount val="12"/>
                <c:pt idx="6" formatCode="0">
                  <c:v>4464</c:v>
                </c:pt>
                <c:pt idx="7" formatCode="0">
                  <c:v>4051.3382376650402</c:v>
                </c:pt>
                <c:pt idx="8" formatCode="0">
                  <c:v>4279.7876523994264</c:v>
                </c:pt>
                <c:pt idx="9" formatCode="0">
                  <c:v>4612.6739090203437</c:v>
                </c:pt>
                <c:pt idx="10" formatCode="0">
                  <c:v>4999.6045001956973</c:v>
                </c:pt>
                <c:pt idx="11" formatCode="0">
                  <c:v>5421.0382849674324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C-45C8-9ED4-A922CFF722CF}"/>
            </c:ext>
          </c:extLst>
        </c:ser>
        <c:ser>
          <c:idx val="3"/>
          <c:order val="3"/>
          <c:tx>
            <c:strRef>
              <c:f>Sheet12!$E$1</c:f>
              <c:strCache>
                <c:ptCount val="1"/>
                <c:pt idx="0">
                  <c:v>Upper Confidence Bound(Planterware)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Sheet12!$A$2:$A$13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Sheet12!$E$2:$E$13</c:f>
              <c:numCache>
                <c:formatCode>General</c:formatCode>
                <c:ptCount val="12"/>
                <c:pt idx="6" formatCode="0">
                  <c:v>4464</c:v>
                </c:pt>
                <c:pt idx="7" formatCode="0">
                  <c:v>6237.59033376353</c:v>
                </c:pt>
                <c:pt idx="8" formatCode="0">
                  <c:v>7370.0694904577167</c:v>
                </c:pt>
                <c:pt idx="9" formatCode="0">
                  <c:v>8398.1118052653692</c:v>
                </c:pt>
                <c:pt idx="10" formatCode="0">
                  <c:v>9372.109785518589</c:v>
                </c:pt>
                <c:pt idx="11" formatCode="0">
                  <c:v>10311.604572175424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C-45C8-9ED4-A922CFF7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214943"/>
        <c:axId val="810217343"/>
      </c:lineChart>
      <c:catAx>
        <c:axId val="8102149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7343"/>
        <c:crosses val="autoZero"/>
        <c:auto val="1"/>
        <c:lblAlgn val="ctr"/>
        <c:lblOffset val="100"/>
        <c:noMultiLvlLbl val="0"/>
      </c:catAx>
      <c:valAx>
        <c:axId val="8102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4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Planterware</a:t>
            </a:r>
            <a:r>
              <a:rPr lang="tr-TR" baseline="0"/>
              <a:t> Sales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Self-Watering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Sheet13!$B$2:$B$13</c:f>
              <c:numCache>
                <c:formatCode>General</c:formatCode>
                <c:ptCount val="12"/>
                <c:pt idx="0">
                  <c:v>22892</c:v>
                </c:pt>
                <c:pt idx="1">
                  <c:v>24438</c:v>
                </c:pt>
                <c:pt idx="2">
                  <c:v>23135</c:v>
                </c:pt>
                <c:pt idx="3">
                  <c:v>21898</c:v>
                </c:pt>
                <c:pt idx="4">
                  <c:v>19118</c:v>
                </c:pt>
                <c:pt idx="5">
                  <c:v>20336</c:v>
                </c:pt>
                <c:pt idx="6">
                  <c:v>23429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A-45E1-8025-8A419836C6D8}"/>
            </c:ext>
          </c:extLst>
        </c:ser>
        <c:ser>
          <c:idx val="1"/>
          <c:order val="1"/>
          <c:tx>
            <c:strRef>
              <c:f>Sheet13!$C$1</c:f>
              <c:strCache>
                <c:ptCount val="1"/>
                <c:pt idx="0">
                  <c:v>Forecast(Self-Watering)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Sheet13!$A$2:$A$13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Sheet13!$C$2:$C$13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20257.014509551253</c:v>
                </c:pt>
                <c:pt idx="8" formatCode="0">
                  <c:v>19880.995739006856</c:v>
                </c:pt>
                <c:pt idx="9" formatCode="0">
                  <c:v>19504.976968462463</c:v>
                </c:pt>
                <c:pt idx="10" formatCode="0">
                  <c:v>19128.958197918066</c:v>
                </c:pt>
                <c:pt idx="11" formatCode="0">
                  <c:v>18752.939427373673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A-45E1-8025-8A419836C6D8}"/>
            </c:ext>
          </c:extLst>
        </c:ser>
        <c:ser>
          <c:idx val="2"/>
          <c:order val="2"/>
          <c:tx>
            <c:strRef>
              <c:f>Sheet13!$D$1</c:f>
              <c:strCache>
                <c:ptCount val="1"/>
                <c:pt idx="0">
                  <c:v>Lower Confidence Bound(Self-Watering)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Sheet13!$A$2:$A$13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Sheet13!$D$2:$D$13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17098.742473001679</c:v>
                </c:pt>
                <c:pt idx="8" formatCode="0">
                  <c:v>16722.709490265097</c:v>
                </c:pt>
                <c:pt idx="9" formatCode="0">
                  <c:v>16346.665453759169</c:v>
                </c:pt>
                <c:pt idx="10" formatCode="0">
                  <c:v>15970.607205554514</c:v>
                </c:pt>
                <c:pt idx="11" formatCode="0">
                  <c:v>15594.531588046224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BA-45E1-8025-8A419836C6D8}"/>
            </c:ext>
          </c:extLst>
        </c:ser>
        <c:ser>
          <c:idx val="3"/>
          <c:order val="3"/>
          <c:tx>
            <c:strRef>
              <c:f>Sheet13!$E$1</c:f>
              <c:strCache>
                <c:ptCount val="1"/>
                <c:pt idx="0">
                  <c:v>Upper Confidence Bound(Self-Watering)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Sheet13!$A$2:$A$13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Sheet13!$E$2:$E$13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23415.286546100826</c:v>
                </c:pt>
                <c:pt idx="8" formatCode="0">
                  <c:v>23039.281987748614</c:v>
                </c:pt>
                <c:pt idx="9" formatCode="0">
                  <c:v>22663.288483165757</c:v>
                </c:pt>
                <c:pt idx="10" formatCode="0">
                  <c:v>22287.309190281616</c:v>
                </c:pt>
                <c:pt idx="11" formatCode="0">
                  <c:v>21911.347266701119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BA-45E1-8025-8A419836C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320543"/>
        <c:axId val="1112333023"/>
      </c:lineChart>
      <c:catAx>
        <c:axId val="11123205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33023"/>
        <c:crosses val="autoZero"/>
        <c:auto val="1"/>
        <c:lblAlgn val="ctr"/>
        <c:lblOffset val="100"/>
        <c:noMultiLvlLbl val="0"/>
      </c:catAx>
      <c:valAx>
        <c:axId val="11123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20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500" b="0" i="0" baseline="0">
                <a:effectLst/>
              </a:rPr>
              <a:t>Bins Profit Forecast</a:t>
            </a:r>
            <a:endParaRPr lang="en-GB" sz="1500">
              <a:effectLst/>
            </a:endParaRPr>
          </a:p>
        </c:rich>
      </c:tx>
      <c:layout>
        <c:manualLayout>
          <c:xMode val="edge"/>
          <c:yMode val="edge"/>
          <c:x val="0.3023467545752373"/>
          <c:y val="4.56621004566210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57521055023523"/>
          <c:y val="8.6874483155358992E-2"/>
          <c:w val="0.79987790705266326"/>
          <c:h val="0.52781047458353425"/>
        </c:manualLayout>
      </c:layout>
      <c:lineChart>
        <c:grouping val="standard"/>
        <c:varyColors val="0"/>
        <c:ser>
          <c:idx val="0"/>
          <c:order val="0"/>
          <c:tx>
            <c:strRef>
              <c:f>ProductFamilyForecast!$B$1</c:f>
              <c:strCache>
                <c:ptCount val="1"/>
                <c:pt idx="0">
                  <c:v>Bins  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ProductFamilyForecast!$B$2:$B$10</c:f>
              <c:numCache>
                <c:formatCode>0%</c:formatCode>
                <c:ptCount val="9"/>
                <c:pt idx="0">
                  <c:v>0.15319545705467194</c:v>
                </c:pt>
                <c:pt idx="1">
                  <c:v>0.12883167350145919</c:v>
                </c:pt>
                <c:pt idx="2">
                  <c:v>0.144348781940041</c:v>
                </c:pt>
                <c:pt idx="3">
                  <c:v>0.10566410217802284</c:v>
                </c:pt>
                <c:pt idx="4">
                  <c:v>0.33888572820216128</c:v>
                </c:pt>
                <c:pt idx="5">
                  <c:v>0.25429072459724572</c:v>
                </c:pt>
                <c:pt idx="6">
                  <c:v>0.19032719934786452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D-45D3-BBEA-52EB70F96B4D}"/>
            </c:ext>
          </c:extLst>
        </c:ser>
        <c:ser>
          <c:idx val="1"/>
          <c:order val="1"/>
          <c:tx>
            <c:strRef>
              <c:f>ProductFamilyForecast!$C$1</c:f>
              <c:strCache>
                <c:ptCount val="1"/>
                <c:pt idx="0">
                  <c:v>Forecast(Bins  Profit 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ProductFamilyForecast!$A$2:$A$10</c:f>
              <c:numCache>
                <c:formatCode>General</c:formatCode>
                <c:ptCount val="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</c:numCache>
            </c:numRef>
          </c:cat>
          <c:val>
            <c:numRef>
              <c:f>ProductFamilyForecast!$C$2:$C$10</c:f>
              <c:numCache>
                <c:formatCode>General</c:formatCode>
                <c:ptCount val="9"/>
                <c:pt idx="6" formatCode="0%">
                  <c:v>0.19032719934786452</c:v>
                </c:pt>
                <c:pt idx="7" formatCode="0%">
                  <c:v>0.29137235711868642</c:v>
                </c:pt>
                <c:pt idx="8" formatCode="0%">
                  <c:v>0.31108791130318286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D-45D3-BBEA-52EB70F96B4D}"/>
            </c:ext>
          </c:extLst>
        </c:ser>
        <c:ser>
          <c:idx val="2"/>
          <c:order val="2"/>
          <c:tx>
            <c:strRef>
              <c:f>ProductFamilyForecast!$D$1</c:f>
              <c:strCache>
                <c:ptCount val="1"/>
                <c:pt idx="0">
                  <c:v>Lower Confidence Bound(Bins 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ProductFamilyForecast!$A$2:$A$10</c:f>
              <c:numCache>
                <c:formatCode>General</c:formatCode>
                <c:ptCount val="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</c:numCache>
            </c:numRef>
          </c:cat>
          <c:val>
            <c:numRef>
              <c:f>ProductFamilyForecast!$D$2:$D$10</c:f>
              <c:numCache>
                <c:formatCode>General</c:formatCode>
                <c:ptCount val="9"/>
                <c:pt idx="6" formatCode="0%">
                  <c:v>0.19032719934786452</c:v>
                </c:pt>
                <c:pt idx="7" formatCode="0%">
                  <c:v>0.15517943471296305</c:v>
                </c:pt>
                <c:pt idx="8" formatCode="0%">
                  <c:v>0.17489437603068761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D-45D3-BBEA-52EB70F96B4D}"/>
            </c:ext>
          </c:extLst>
        </c:ser>
        <c:ser>
          <c:idx val="3"/>
          <c:order val="3"/>
          <c:tx>
            <c:strRef>
              <c:f>ProductFamilyForecast!$E$1</c:f>
              <c:strCache>
                <c:ptCount val="1"/>
                <c:pt idx="0">
                  <c:v>Upper Confidence Bound(Bins 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ProductFamilyForecast!$A$2:$A$10</c:f>
              <c:numCache>
                <c:formatCode>General</c:formatCode>
                <c:ptCount val="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</c:numCache>
            </c:numRef>
          </c:cat>
          <c:val>
            <c:numRef>
              <c:f>ProductFamilyForecast!$E$2:$E$10</c:f>
              <c:numCache>
                <c:formatCode>General</c:formatCode>
                <c:ptCount val="9"/>
                <c:pt idx="6" formatCode="0%">
                  <c:v>0.19032719934786452</c:v>
                </c:pt>
                <c:pt idx="7" formatCode="0%">
                  <c:v>0.42756527952440981</c:v>
                </c:pt>
                <c:pt idx="8" formatCode="0%">
                  <c:v>0.44728144657567814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2D-45D3-BBEA-52EB70F96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61951"/>
        <c:axId val="795759551"/>
      </c:lineChart>
      <c:catAx>
        <c:axId val="7957619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59551"/>
        <c:crosses val="autoZero"/>
        <c:auto val="1"/>
        <c:lblAlgn val="ctr"/>
        <c:lblOffset val="100"/>
        <c:noMultiLvlLbl val="0"/>
      </c:catAx>
      <c:valAx>
        <c:axId val="7957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863779282714506"/>
          <c:y val="0.71929888900873695"/>
          <c:w val="0.63746751805278068"/>
          <c:h val="0.21547283965069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500" b="0" i="0" baseline="0">
                <a:effectLst/>
              </a:rPr>
              <a:t>Planterware Profit Forecast</a:t>
            </a:r>
            <a:endParaRPr lang="en-GB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298247757724231E-2"/>
          <c:y val="0.13002169288874191"/>
          <c:w val="0.81357780082311237"/>
          <c:h val="0.48871658223549735"/>
        </c:manualLayout>
      </c:layout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Planterware 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Sheet8!$B$2:$B$13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1.5657435767400918E-2</c:v>
                </c:pt>
                <c:pt idx="5">
                  <c:v>-1.1998599359787582E-2</c:v>
                </c:pt>
                <c:pt idx="6">
                  <c:v>-8.683958917634016E-3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D-4706-A609-88A38CEB8E90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Forecast(Planterware Profit 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Sheet8!$A$2:$A$13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Sheet8!$C$2:$C$13</c:f>
              <c:numCache>
                <c:formatCode>General</c:formatCode>
                <c:ptCount val="12"/>
                <c:pt idx="6" formatCode="0%">
                  <c:v>-8.683958917634016E-3</c:v>
                </c:pt>
                <c:pt idx="7" formatCode="0%">
                  <c:v>-8.4742343552676163E-3</c:v>
                </c:pt>
                <c:pt idx="8" formatCode="0%">
                  <c:v>-9.681983468815155E-3</c:v>
                </c:pt>
                <c:pt idx="9" formatCode="0%">
                  <c:v>-1.0889732582362701E-2</c:v>
                </c:pt>
                <c:pt idx="10" formatCode="0%">
                  <c:v>-1.2097481695910238E-2</c:v>
                </c:pt>
                <c:pt idx="11" formatCode="0%">
                  <c:v>-1.3305230809457782E-2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5D-4706-A609-88A38CEB8E90}"/>
            </c:ext>
          </c:extLst>
        </c:ser>
        <c:ser>
          <c:idx val="2"/>
          <c:order val="2"/>
          <c:tx>
            <c:strRef>
              <c:f>Sheet8!$D$1</c:f>
              <c:strCache>
                <c:ptCount val="1"/>
                <c:pt idx="0">
                  <c:v>Lower Confidence Bound(Planterware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Sheet8!$D$2:$D$13</c:f>
              <c:numCache>
                <c:formatCode>General</c:formatCode>
                <c:ptCount val="12"/>
                <c:pt idx="6" formatCode="0%">
                  <c:v>-8.683958917634016E-3</c:v>
                </c:pt>
                <c:pt idx="7" formatCode="0%">
                  <c:v>-2.4712868700844423E-2</c:v>
                </c:pt>
                <c:pt idx="8" formatCode="0%">
                  <c:v>-2.5920690888082101E-2</c:v>
                </c:pt>
                <c:pt idx="9" formatCode="0%">
                  <c:v>-2.7128569909600199E-2</c:v>
                </c:pt>
                <c:pt idx="10" formatCode="0%">
                  <c:v>-2.8336522002271242E-2</c:v>
                </c:pt>
                <c:pt idx="11" formatCode="0%">
                  <c:v>-2.9544563401299476E-2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5D-4706-A609-88A38CEB8E90}"/>
            </c:ext>
          </c:extLst>
        </c:ser>
        <c:ser>
          <c:idx val="3"/>
          <c:order val="3"/>
          <c:tx>
            <c:strRef>
              <c:f>Sheet8!$E$1</c:f>
              <c:strCache>
                <c:ptCount val="1"/>
                <c:pt idx="0">
                  <c:v>Upper Confidence Bound(Planterware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Sheet8!$E$2:$E$13</c:f>
              <c:numCache>
                <c:formatCode>General</c:formatCode>
                <c:ptCount val="12"/>
                <c:pt idx="6" formatCode="0%">
                  <c:v>-8.683958917634016E-3</c:v>
                </c:pt>
                <c:pt idx="7" formatCode="0%">
                  <c:v>7.7643999903091922E-3</c:v>
                </c:pt>
                <c:pt idx="8" formatCode="0%">
                  <c:v>6.5567239504517906E-3</c:v>
                </c:pt>
                <c:pt idx="9" formatCode="0%">
                  <c:v>5.3491047448747994E-3</c:v>
                </c:pt>
                <c:pt idx="10" formatCode="0%">
                  <c:v>4.1415586104507646E-3</c:v>
                </c:pt>
                <c:pt idx="11" formatCode="0%">
                  <c:v>2.9341017823839143E-3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5D-4706-A609-88A38CEB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64351"/>
        <c:axId val="795761471"/>
      </c:lineChart>
      <c:catAx>
        <c:axId val="7957643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1471"/>
        <c:crosses val="autoZero"/>
        <c:auto val="1"/>
        <c:lblAlgn val="ctr"/>
        <c:lblOffset val="100"/>
        <c:noMultiLvlLbl val="0"/>
      </c:catAx>
      <c:valAx>
        <c:axId val="79576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793389905400325"/>
          <c:y val="0.7034776018484854"/>
          <c:w val="0.6715439025893194"/>
          <c:h val="0.20916926701196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Self</a:t>
            </a:r>
            <a:r>
              <a:rPr lang="tr-TR" baseline="0"/>
              <a:t> Watering Profit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58595800524933E-2"/>
          <c:y val="0.1292262813557383"/>
          <c:w val="0.86969545825352923"/>
          <c:h val="0.48491562656107612"/>
        </c:manualLayout>
      </c:layout>
      <c:lineChart>
        <c:grouping val="standar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Self Watering  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Sheet9!$B$2:$B$13</c:f>
              <c:numCache>
                <c:formatCode>0%</c:formatCode>
                <c:ptCount val="12"/>
                <c:pt idx="0">
                  <c:v>0.84680475485620266</c:v>
                </c:pt>
                <c:pt idx="1">
                  <c:v>0.87116813200598642</c:v>
                </c:pt>
                <c:pt idx="2">
                  <c:v>0.85565081093734896</c:v>
                </c:pt>
                <c:pt idx="3">
                  <c:v>0.8943358978219772</c:v>
                </c:pt>
                <c:pt idx="4">
                  <c:v>0.6454567557873333</c:v>
                </c:pt>
                <c:pt idx="5">
                  <c:v>0.75770815563958971</c:v>
                </c:pt>
                <c:pt idx="6">
                  <c:v>0.74140511340882398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7-4D5F-8626-6D110E7ED0C4}"/>
            </c:ext>
          </c:extLst>
        </c:ser>
        <c:ser>
          <c:idx val="1"/>
          <c:order val="1"/>
          <c:tx>
            <c:strRef>
              <c:f>Sheet9!$C$1</c:f>
              <c:strCache>
                <c:ptCount val="1"/>
                <c:pt idx="0">
                  <c:v>Forecast(Self Watering  Profit 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Sheet9!$A$2:$A$13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Sheet9!$C$2:$C$13</c:f>
              <c:numCache>
                <c:formatCode>General</c:formatCode>
                <c:ptCount val="12"/>
                <c:pt idx="6" formatCode="0%">
                  <c:v>0.74140511340882398</c:v>
                </c:pt>
                <c:pt idx="7" formatCode="0%">
                  <c:v>0.67772982383104907</c:v>
                </c:pt>
                <c:pt idx="8" formatCode="0%">
                  <c:v>0.65101009603821025</c:v>
                </c:pt>
                <c:pt idx="9" formatCode="0%">
                  <c:v>0.62429036824537132</c:v>
                </c:pt>
                <c:pt idx="10" formatCode="0%">
                  <c:v>0.59757064045253239</c:v>
                </c:pt>
                <c:pt idx="11" formatCode="0%">
                  <c:v>0.57085091265969345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7-4D5F-8626-6D110E7ED0C4}"/>
            </c:ext>
          </c:extLst>
        </c:ser>
        <c:ser>
          <c:idx val="2"/>
          <c:order val="2"/>
          <c:tx>
            <c:strRef>
              <c:f>Sheet9!$D$1</c:f>
              <c:strCache>
                <c:ptCount val="1"/>
                <c:pt idx="0">
                  <c:v>Lower Confidence Bound(Self Watering 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Sheet9!$A$2:$A$13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Sheet9!$D$2:$D$13</c:f>
              <c:numCache>
                <c:formatCode>General</c:formatCode>
                <c:ptCount val="12"/>
                <c:pt idx="6" formatCode="0%">
                  <c:v>0.74140511340882398</c:v>
                </c:pt>
                <c:pt idx="7" formatCode="0%">
                  <c:v>0.53691201726112014</c:v>
                </c:pt>
                <c:pt idx="8" formatCode="0%">
                  <c:v>0.50947587065713273</c:v>
                </c:pt>
                <c:pt idx="9" formatCode="0%">
                  <c:v>0.48202918351400903</c:v>
                </c:pt>
                <c:pt idx="10" formatCode="0%">
                  <c:v>0.45457197791570103</c:v>
                </c:pt>
                <c:pt idx="11" formatCode="0%">
                  <c:v>0.42710427780521654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7-4D5F-8626-6D110E7ED0C4}"/>
            </c:ext>
          </c:extLst>
        </c:ser>
        <c:ser>
          <c:idx val="3"/>
          <c:order val="3"/>
          <c:tx>
            <c:strRef>
              <c:f>Sheet9!$E$1</c:f>
              <c:strCache>
                <c:ptCount val="1"/>
                <c:pt idx="0">
                  <c:v>Upper Confidence Bound(Self Watering  Profit %)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Sheet9!$A$2:$A$13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Sheet9!$E$2:$E$13</c:f>
              <c:numCache>
                <c:formatCode>General</c:formatCode>
                <c:ptCount val="12"/>
                <c:pt idx="6" formatCode="0%">
                  <c:v>0.74140511340882398</c:v>
                </c:pt>
                <c:pt idx="7" formatCode="0%">
                  <c:v>0.818547630400978</c:v>
                </c:pt>
                <c:pt idx="8" formatCode="0%">
                  <c:v>0.79254432141928777</c:v>
                </c:pt>
                <c:pt idx="9" formatCode="0%">
                  <c:v>0.76655155297673361</c:v>
                </c:pt>
                <c:pt idx="10" formatCode="0%">
                  <c:v>0.74056930298936374</c:v>
                </c:pt>
                <c:pt idx="11" formatCode="0%">
                  <c:v>0.71459754751417037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C7-4D5F-8626-6D110E7E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60511"/>
        <c:axId val="795765311"/>
      </c:lineChart>
      <c:catAx>
        <c:axId val="79576051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5311"/>
        <c:crosses val="autoZero"/>
        <c:auto val="1"/>
        <c:lblAlgn val="ctr"/>
        <c:lblOffset val="100"/>
        <c:noMultiLvlLbl val="0"/>
      </c:catAx>
      <c:valAx>
        <c:axId val="79576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6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252653308424858E-2"/>
          <c:y val="0.72116132743681016"/>
          <c:w val="0.83858666737603738"/>
          <c:h val="0.15540203837344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Planterware Sales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Sheet12!$B$1</c:f>
              <c:strCache>
                <c:ptCount val="1"/>
                <c:pt idx="0">
                  <c:v>Planterware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Sheet12!$B$2:$B$13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809</c:v>
                </c:pt>
                <c:pt idx="5">
                  <c:v>2426</c:v>
                </c:pt>
                <c:pt idx="6">
                  <c:v>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D-4ACE-ABF2-3A5849862F61}"/>
            </c:ext>
          </c:extLst>
        </c:ser>
        <c:ser>
          <c:idx val="1"/>
          <c:order val="1"/>
          <c:tx>
            <c:strRef>
              <c:f>Sheet12!$C$1</c:f>
              <c:strCache>
                <c:ptCount val="1"/>
                <c:pt idx="0">
                  <c:v>Forecast(Planterware)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Sheet12!$A$2:$A$13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Sheet12!$C$2:$C$13</c:f>
              <c:numCache>
                <c:formatCode>General</c:formatCode>
                <c:ptCount val="12"/>
                <c:pt idx="6">
                  <c:v>4464</c:v>
                </c:pt>
                <c:pt idx="7" formatCode="0">
                  <c:v>5144.4642857142853</c:v>
                </c:pt>
                <c:pt idx="8" formatCode="0">
                  <c:v>5824.9285714285716</c:v>
                </c:pt>
                <c:pt idx="9" formatCode="0">
                  <c:v>6505.3928571428569</c:v>
                </c:pt>
                <c:pt idx="10" formatCode="0">
                  <c:v>7185.8571428571431</c:v>
                </c:pt>
                <c:pt idx="11" formatCode="0">
                  <c:v>7866.3214285714284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D-4ACE-ABF2-3A5849862F61}"/>
            </c:ext>
          </c:extLst>
        </c:ser>
        <c:ser>
          <c:idx val="2"/>
          <c:order val="2"/>
          <c:tx>
            <c:strRef>
              <c:f>Sheet12!$D$1</c:f>
              <c:strCache>
                <c:ptCount val="1"/>
                <c:pt idx="0">
                  <c:v>Lower Confidence Bound(Planterware)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Sheet12!$A$2:$A$13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Sheet12!$D$2:$D$13</c:f>
              <c:numCache>
                <c:formatCode>General</c:formatCode>
                <c:ptCount val="12"/>
                <c:pt idx="6" formatCode="0">
                  <c:v>4464</c:v>
                </c:pt>
                <c:pt idx="7" formatCode="0">
                  <c:v>4051.3382376650402</c:v>
                </c:pt>
                <c:pt idx="8" formatCode="0">
                  <c:v>4279.7876523994264</c:v>
                </c:pt>
                <c:pt idx="9" formatCode="0">
                  <c:v>4612.6739090203437</c:v>
                </c:pt>
                <c:pt idx="10" formatCode="0">
                  <c:v>4999.6045001956973</c:v>
                </c:pt>
                <c:pt idx="11" formatCode="0">
                  <c:v>5421.0382849674324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5D-4ACE-ABF2-3A5849862F61}"/>
            </c:ext>
          </c:extLst>
        </c:ser>
        <c:ser>
          <c:idx val="3"/>
          <c:order val="3"/>
          <c:tx>
            <c:strRef>
              <c:f>Sheet12!$E$1</c:f>
              <c:strCache>
                <c:ptCount val="1"/>
                <c:pt idx="0">
                  <c:v>Upper Confidence Bound(Planterware)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Sheet12!$A$2:$A$13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Sheet12!$E$2:$E$13</c:f>
              <c:numCache>
                <c:formatCode>General</c:formatCode>
                <c:ptCount val="12"/>
                <c:pt idx="6" formatCode="0">
                  <c:v>4464</c:v>
                </c:pt>
                <c:pt idx="7" formatCode="0">
                  <c:v>6237.59033376353</c:v>
                </c:pt>
                <c:pt idx="8" formatCode="0">
                  <c:v>7370.0694904577167</c:v>
                </c:pt>
                <c:pt idx="9" formatCode="0">
                  <c:v>8398.1118052653692</c:v>
                </c:pt>
                <c:pt idx="10" formatCode="0">
                  <c:v>9372.109785518589</c:v>
                </c:pt>
                <c:pt idx="11" formatCode="0">
                  <c:v>10311.604572175424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5D-4ACE-ABF2-3A584986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214943"/>
        <c:axId val="810217343"/>
      </c:lineChart>
      <c:catAx>
        <c:axId val="8102149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7343"/>
        <c:crosses val="autoZero"/>
        <c:auto val="1"/>
        <c:lblAlgn val="ctr"/>
        <c:lblOffset val="100"/>
        <c:noMultiLvlLbl val="0"/>
      </c:catAx>
      <c:valAx>
        <c:axId val="8102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4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Self-Watering Sales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Sheet14!$B$1</c:f>
              <c:strCache>
                <c:ptCount val="1"/>
                <c:pt idx="0">
                  <c:v>Self-Watering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Sheet14!$B$2:$B$13</c:f>
              <c:numCache>
                <c:formatCode>General</c:formatCode>
                <c:ptCount val="12"/>
                <c:pt idx="0">
                  <c:v>22892</c:v>
                </c:pt>
                <c:pt idx="1">
                  <c:v>24438</c:v>
                </c:pt>
                <c:pt idx="2">
                  <c:v>23135</c:v>
                </c:pt>
                <c:pt idx="3">
                  <c:v>21898</c:v>
                </c:pt>
                <c:pt idx="4">
                  <c:v>19118</c:v>
                </c:pt>
                <c:pt idx="5">
                  <c:v>20336</c:v>
                </c:pt>
                <c:pt idx="6">
                  <c:v>23429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3-4457-8B4B-6F723DC73E30}"/>
            </c:ext>
          </c:extLst>
        </c:ser>
        <c:ser>
          <c:idx val="1"/>
          <c:order val="1"/>
          <c:tx>
            <c:strRef>
              <c:f>Sheet14!$C$1</c:f>
              <c:strCache>
                <c:ptCount val="1"/>
                <c:pt idx="0">
                  <c:v>Forecast(Self-Watering)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Sheet14!$A$2:$A$13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Sheet14!$C$2:$C$13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20257.014509551253</c:v>
                </c:pt>
                <c:pt idx="8" formatCode="0">
                  <c:v>19880.995739006856</c:v>
                </c:pt>
                <c:pt idx="9" formatCode="0">
                  <c:v>19504.976968462463</c:v>
                </c:pt>
                <c:pt idx="10" formatCode="0">
                  <c:v>19128.958197918066</c:v>
                </c:pt>
                <c:pt idx="11" formatCode="0">
                  <c:v>18752.939427373673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3-4457-8B4B-6F723DC73E30}"/>
            </c:ext>
          </c:extLst>
        </c:ser>
        <c:ser>
          <c:idx val="2"/>
          <c:order val="2"/>
          <c:tx>
            <c:strRef>
              <c:f>Sheet14!$D$1</c:f>
              <c:strCache>
                <c:ptCount val="1"/>
                <c:pt idx="0">
                  <c:v>Lower Confidence Bound(Self-Watering)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Sheet14!$A$2:$A$13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Sheet14!$D$2:$D$13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17098.742473001679</c:v>
                </c:pt>
                <c:pt idx="8" formatCode="0">
                  <c:v>16722.709490265097</c:v>
                </c:pt>
                <c:pt idx="9" formatCode="0">
                  <c:v>16346.665453759169</c:v>
                </c:pt>
                <c:pt idx="10" formatCode="0">
                  <c:v>15970.607205554514</c:v>
                </c:pt>
                <c:pt idx="11" formatCode="0">
                  <c:v>15594.531588046224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83-4457-8B4B-6F723DC73E30}"/>
            </c:ext>
          </c:extLst>
        </c:ser>
        <c:ser>
          <c:idx val="3"/>
          <c:order val="3"/>
          <c:tx>
            <c:strRef>
              <c:f>Sheet14!$E$1</c:f>
              <c:strCache>
                <c:ptCount val="1"/>
                <c:pt idx="0">
                  <c:v>Upper Confidence Bound(Self-Watering)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Sheet14!$A$2:$A$13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Sheet14!$E$2:$E$13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23415.286546100826</c:v>
                </c:pt>
                <c:pt idx="8" formatCode="0">
                  <c:v>23039.281987748614</c:v>
                </c:pt>
                <c:pt idx="9" formatCode="0">
                  <c:v>22663.288483165757</c:v>
                </c:pt>
                <c:pt idx="10" formatCode="0">
                  <c:v>22287.309190281616</c:v>
                </c:pt>
                <c:pt idx="11" formatCode="0">
                  <c:v>21911.347266701119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83-4457-8B4B-6F723DC73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317663"/>
        <c:axId val="1112331583"/>
      </c:lineChart>
      <c:catAx>
        <c:axId val="11123176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31583"/>
        <c:crosses val="autoZero"/>
        <c:auto val="1"/>
        <c:lblAlgn val="ctr"/>
        <c:lblOffset val="100"/>
        <c:noMultiLvlLbl val="0"/>
      </c:catAx>
      <c:valAx>
        <c:axId val="11123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17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Bin Sales Forecast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Bins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Sheet11!$B$2:$B$13</c:f>
              <c:numCache>
                <c:formatCode>General</c:formatCode>
                <c:ptCount val="12"/>
                <c:pt idx="0">
                  <c:v>1230</c:v>
                </c:pt>
                <c:pt idx="1">
                  <c:v>1453</c:v>
                </c:pt>
                <c:pt idx="2">
                  <c:v>1674</c:v>
                </c:pt>
                <c:pt idx="3">
                  <c:v>1328</c:v>
                </c:pt>
                <c:pt idx="4">
                  <c:v>2543</c:v>
                </c:pt>
                <c:pt idx="5">
                  <c:v>2081</c:v>
                </c:pt>
                <c:pt idx="6">
                  <c:v>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3-4ADB-BD94-0E69B63A5D73}"/>
            </c:ext>
          </c:extLst>
        </c:ser>
        <c:ser>
          <c:idx val="1"/>
          <c:order val="1"/>
          <c:tx>
            <c:strRef>
              <c:f>Sheet11!$C$1</c:f>
              <c:strCache>
                <c:ptCount val="1"/>
                <c:pt idx="0">
                  <c:v>Forecast(Bins)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Sheet11!$A$2:$A$13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Sheet11!$C$2:$C$13</c:f>
              <c:numCache>
                <c:formatCode>General</c:formatCode>
                <c:ptCount val="12"/>
                <c:pt idx="6" formatCode="0">
                  <c:v>2048</c:v>
                </c:pt>
                <c:pt idx="7" formatCode="0">
                  <c:v>2376.6127652546393</c:v>
                </c:pt>
                <c:pt idx="8" formatCode="0">
                  <c:v>2540.4576489385904</c:v>
                </c:pt>
                <c:pt idx="9" formatCode="0">
                  <c:v>2704.3025326225415</c:v>
                </c:pt>
                <c:pt idx="10" formatCode="0">
                  <c:v>2868.1474163064922</c:v>
                </c:pt>
                <c:pt idx="11" formatCode="0">
                  <c:v>3031.9922999904438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3-4ADB-BD94-0E69B63A5D73}"/>
            </c:ext>
          </c:extLst>
        </c:ser>
        <c:ser>
          <c:idx val="2"/>
          <c:order val="2"/>
          <c:tx>
            <c:strRef>
              <c:f>Sheet11!$D$1</c:f>
              <c:strCache>
                <c:ptCount val="1"/>
                <c:pt idx="0">
                  <c:v>Lower Confidence Bound(Bins)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Sheet11!$A$2:$A$13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Sheet11!$D$2:$D$13</c:f>
              <c:numCache>
                <c:formatCode>General</c:formatCode>
                <c:ptCount val="12"/>
                <c:pt idx="6" formatCode="0">
                  <c:v>2048</c:v>
                </c:pt>
                <c:pt idx="7" formatCode="0">
                  <c:v>1786.4394446787251</c:v>
                </c:pt>
                <c:pt idx="8" formatCode="0">
                  <c:v>1950.2816725887092</c:v>
                </c:pt>
                <c:pt idx="9" formatCode="0">
                  <c:v>2114.1218349262272</c:v>
                </c:pt>
                <c:pt idx="10" formatCode="0">
                  <c:v>2277.9593415819882</c:v>
                </c:pt>
                <c:pt idx="11" formatCode="0">
                  <c:v>2441.7936025073368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3-4ADB-BD94-0E69B63A5D73}"/>
            </c:ext>
          </c:extLst>
        </c:ser>
        <c:ser>
          <c:idx val="3"/>
          <c:order val="3"/>
          <c:tx>
            <c:strRef>
              <c:f>Sheet11!$E$1</c:f>
              <c:strCache>
                <c:ptCount val="1"/>
                <c:pt idx="0">
                  <c:v>Upper Confidence Bound(Bins)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Sheet11!$A$2:$A$13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Sheet11!$E$2:$E$13</c:f>
              <c:numCache>
                <c:formatCode>General</c:formatCode>
                <c:ptCount val="12"/>
                <c:pt idx="6" formatCode="0">
                  <c:v>2048</c:v>
                </c:pt>
                <c:pt idx="7" formatCode="0">
                  <c:v>2966.7860858305535</c:v>
                </c:pt>
                <c:pt idx="8" formatCode="0">
                  <c:v>3130.6336252884716</c:v>
                </c:pt>
                <c:pt idx="9" formatCode="0">
                  <c:v>3294.4832303188559</c:v>
                </c:pt>
                <c:pt idx="10" formatCode="0">
                  <c:v>3458.3354910309963</c:v>
                </c:pt>
                <c:pt idx="11" formatCode="0">
                  <c:v>3622.1909974735509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13-4ADB-BD94-0E69B63A5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214463"/>
        <c:axId val="810213503"/>
      </c:lineChart>
      <c:catAx>
        <c:axId val="8102144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3503"/>
        <c:crosses val="autoZero"/>
        <c:auto val="1"/>
        <c:lblAlgn val="ctr"/>
        <c:lblOffset val="100"/>
        <c:noMultiLvlLbl val="0"/>
      </c:catAx>
      <c:valAx>
        <c:axId val="81021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14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Self-Watering Sales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Sheet14!$B$1</c:f>
              <c:strCache>
                <c:ptCount val="1"/>
                <c:pt idx="0">
                  <c:v>Self-Watering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Sheet14!$B$2:$B$13</c:f>
              <c:numCache>
                <c:formatCode>General</c:formatCode>
                <c:ptCount val="12"/>
                <c:pt idx="0">
                  <c:v>22892</c:v>
                </c:pt>
                <c:pt idx="1">
                  <c:v>24438</c:v>
                </c:pt>
                <c:pt idx="2">
                  <c:v>23135</c:v>
                </c:pt>
                <c:pt idx="3">
                  <c:v>21898</c:v>
                </c:pt>
                <c:pt idx="4">
                  <c:v>19118</c:v>
                </c:pt>
                <c:pt idx="5">
                  <c:v>20336</c:v>
                </c:pt>
                <c:pt idx="6">
                  <c:v>23429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4-4A1F-9576-0AB18FC98356}"/>
            </c:ext>
          </c:extLst>
        </c:ser>
        <c:ser>
          <c:idx val="1"/>
          <c:order val="1"/>
          <c:tx>
            <c:strRef>
              <c:f>Sheet14!$C$1</c:f>
              <c:strCache>
                <c:ptCount val="1"/>
                <c:pt idx="0">
                  <c:v>Forecast(Self-Watering)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Sheet14!$A$2:$A$13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Sheet14!$C$2:$C$13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20257.014509551253</c:v>
                </c:pt>
                <c:pt idx="8" formatCode="0">
                  <c:v>19880.995739006856</c:v>
                </c:pt>
                <c:pt idx="9" formatCode="0">
                  <c:v>19504.976968462463</c:v>
                </c:pt>
                <c:pt idx="10" formatCode="0">
                  <c:v>19128.958197918066</c:v>
                </c:pt>
                <c:pt idx="11" formatCode="0">
                  <c:v>18752.939427373673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4-4A1F-9576-0AB18FC98356}"/>
            </c:ext>
          </c:extLst>
        </c:ser>
        <c:ser>
          <c:idx val="2"/>
          <c:order val="2"/>
          <c:tx>
            <c:strRef>
              <c:f>Sheet14!$D$1</c:f>
              <c:strCache>
                <c:ptCount val="1"/>
                <c:pt idx="0">
                  <c:v>Lower Confidence Bound(Self-Watering)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Sheet14!$A$2:$A$13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Sheet14!$D$2:$D$13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17098.742473001679</c:v>
                </c:pt>
                <c:pt idx="8" formatCode="0">
                  <c:v>16722.709490265097</c:v>
                </c:pt>
                <c:pt idx="9" formatCode="0">
                  <c:v>16346.665453759169</c:v>
                </c:pt>
                <c:pt idx="10" formatCode="0">
                  <c:v>15970.607205554514</c:v>
                </c:pt>
                <c:pt idx="11" formatCode="0">
                  <c:v>15594.531588046224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34-4A1F-9576-0AB18FC98356}"/>
            </c:ext>
          </c:extLst>
        </c:ser>
        <c:ser>
          <c:idx val="3"/>
          <c:order val="3"/>
          <c:tx>
            <c:strRef>
              <c:f>Sheet14!$E$1</c:f>
              <c:strCache>
                <c:ptCount val="1"/>
                <c:pt idx="0">
                  <c:v>Upper Confidence Bound(Self-Watering)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Sheet14!$A$2:$A$13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Sheet14!$E$2:$E$13</c:f>
              <c:numCache>
                <c:formatCode>General</c:formatCode>
                <c:ptCount val="12"/>
                <c:pt idx="6" formatCode="0">
                  <c:v>23429</c:v>
                </c:pt>
                <c:pt idx="7" formatCode="0">
                  <c:v>23415.286546100826</c:v>
                </c:pt>
                <c:pt idx="8" formatCode="0">
                  <c:v>23039.281987748614</c:v>
                </c:pt>
                <c:pt idx="9" formatCode="0">
                  <c:v>22663.288483165757</c:v>
                </c:pt>
                <c:pt idx="10" formatCode="0">
                  <c:v>22287.309190281616</c:v>
                </c:pt>
                <c:pt idx="11" formatCode="0">
                  <c:v>21911.347266701119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34-4A1F-9576-0AB18FC9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317663"/>
        <c:axId val="1112331583"/>
      </c:lineChart>
      <c:catAx>
        <c:axId val="11123176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31583"/>
        <c:crosses val="autoZero"/>
        <c:auto val="1"/>
        <c:lblAlgn val="ctr"/>
        <c:lblOffset val="100"/>
        <c:noMultiLvlLbl val="0"/>
      </c:catAx>
      <c:valAx>
        <c:axId val="11123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17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Distribution of Colors </a:t>
            </a:r>
            <a:r>
              <a:rPr lang="tr-TR"/>
              <a:t>I</a:t>
            </a:r>
            <a:r>
              <a:rPr lang="en-GB"/>
              <a:t>ntroduced since 2011</a:t>
            </a:r>
          </a:p>
        </c:rich>
      </c:tx>
      <c:layout>
        <c:manualLayout>
          <c:xMode val="edge"/>
          <c:yMode val="edge"/>
          <c:x val="0.3083870712281655"/>
          <c:y val="5.7077625570776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72174107521571E-2"/>
          <c:y val="0.15551362683438155"/>
          <c:w val="0.90777157385199525"/>
          <c:h val="0.4352128625431255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'New Introduced Colour Analysis'!$G$218</c:f>
              <c:strCache>
                <c:ptCount val="1"/>
                <c:pt idx="0">
                  <c:v>Sales_2012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Introduced Colour Analysis'!$F$219:$F$231</c:f>
              <c:strCache>
                <c:ptCount val="13"/>
                <c:pt idx="0">
                  <c:v>Pink Granite</c:v>
                </c:pt>
                <c:pt idx="1">
                  <c:v>Brown</c:v>
                </c:pt>
                <c:pt idx="2">
                  <c:v>Terracota</c:v>
                </c:pt>
                <c:pt idx="3">
                  <c:v>Cherry</c:v>
                </c:pt>
                <c:pt idx="4">
                  <c:v>Sky Blue</c:v>
                </c:pt>
                <c:pt idx="5">
                  <c:v>Guerney Granite</c:v>
                </c:pt>
                <c:pt idx="6">
                  <c:v>Dark Sandstone</c:v>
                </c:pt>
                <c:pt idx="7">
                  <c:v>Light Green</c:v>
                </c:pt>
                <c:pt idx="8">
                  <c:v>Light Sandstone</c:v>
                </c:pt>
                <c:pt idx="9">
                  <c:v>Millstone Gritt</c:v>
                </c:pt>
                <c:pt idx="10">
                  <c:v>Orange</c:v>
                </c:pt>
                <c:pt idx="11">
                  <c:v>White Marble</c:v>
                </c:pt>
                <c:pt idx="12">
                  <c:v>Moss Stone</c:v>
                </c:pt>
              </c:strCache>
            </c:strRef>
          </c:cat>
          <c:val>
            <c:numRef>
              <c:f>'New Introduced Colour Analysis'!$G$219:$G$231</c:f>
              <c:numCache>
                <c:formatCode>General</c:formatCode>
                <c:ptCount val="13"/>
                <c:pt idx="0">
                  <c:v>885</c:v>
                </c:pt>
                <c:pt idx="1">
                  <c:v>496</c:v>
                </c:pt>
                <c:pt idx="2">
                  <c:v>249</c:v>
                </c:pt>
                <c:pt idx="3">
                  <c:v>209</c:v>
                </c:pt>
                <c:pt idx="4">
                  <c:v>295</c:v>
                </c:pt>
                <c:pt idx="5">
                  <c:v>140</c:v>
                </c:pt>
                <c:pt idx="6">
                  <c:v>53</c:v>
                </c:pt>
                <c:pt idx="7">
                  <c:v>38</c:v>
                </c:pt>
                <c:pt idx="8">
                  <c:v>36</c:v>
                </c:pt>
                <c:pt idx="9">
                  <c:v>15</c:v>
                </c:pt>
                <c:pt idx="10">
                  <c:v>7</c:v>
                </c:pt>
                <c:pt idx="11">
                  <c:v>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2-4CBE-908E-B3D98635832F}"/>
            </c:ext>
          </c:extLst>
        </c:ser>
        <c:ser>
          <c:idx val="1"/>
          <c:order val="1"/>
          <c:tx>
            <c:strRef>
              <c:f>'New Introduced Colour Analysis'!$H$218</c:f>
              <c:strCache>
                <c:ptCount val="1"/>
                <c:pt idx="0">
                  <c:v>Sales_2011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Introduced Colour Analysis'!$F$219:$F$231</c:f>
              <c:strCache>
                <c:ptCount val="13"/>
                <c:pt idx="0">
                  <c:v>Pink Granite</c:v>
                </c:pt>
                <c:pt idx="1">
                  <c:v>Brown</c:v>
                </c:pt>
                <c:pt idx="2">
                  <c:v>Terracota</c:v>
                </c:pt>
                <c:pt idx="3">
                  <c:v>Cherry</c:v>
                </c:pt>
                <c:pt idx="4">
                  <c:v>Sky Blue</c:v>
                </c:pt>
                <c:pt idx="5">
                  <c:v>Guerney Granite</c:v>
                </c:pt>
                <c:pt idx="6">
                  <c:v>Dark Sandstone</c:v>
                </c:pt>
                <c:pt idx="7">
                  <c:v>Light Green</c:v>
                </c:pt>
                <c:pt idx="8">
                  <c:v>Light Sandstone</c:v>
                </c:pt>
                <c:pt idx="9">
                  <c:v>Millstone Gritt</c:v>
                </c:pt>
                <c:pt idx="10">
                  <c:v>Orange</c:v>
                </c:pt>
                <c:pt idx="11">
                  <c:v>White Marble</c:v>
                </c:pt>
                <c:pt idx="12">
                  <c:v>Moss Stone</c:v>
                </c:pt>
              </c:strCache>
            </c:strRef>
          </c:cat>
          <c:val>
            <c:numRef>
              <c:f>'New Introduced Colour Analysis'!$H$219:$H$231</c:f>
              <c:numCache>
                <c:formatCode>General</c:formatCode>
                <c:ptCount val="13"/>
                <c:pt idx="0">
                  <c:v>462</c:v>
                </c:pt>
                <c:pt idx="1">
                  <c:v>557</c:v>
                </c:pt>
                <c:pt idx="2">
                  <c:v>56</c:v>
                </c:pt>
                <c:pt idx="3">
                  <c:v>0</c:v>
                </c:pt>
                <c:pt idx="4">
                  <c:v>46</c:v>
                </c:pt>
                <c:pt idx="5">
                  <c:v>62</c:v>
                </c:pt>
                <c:pt idx="6">
                  <c:v>21</c:v>
                </c:pt>
                <c:pt idx="7">
                  <c:v>41</c:v>
                </c:pt>
                <c:pt idx="8">
                  <c:v>30</c:v>
                </c:pt>
                <c:pt idx="9">
                  <c:v>8</c:v>
                </c:pt>
                <c:pt idx="10">
                  <c:v>20</c:v>
                </c:pt>
                <c:pt idx="11">
                  <c:v>0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2-4CBE-908E-B3D986358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5751728"/>
        <c:axId val="415754128"/>
      </c:barChart>
      <c:catAx>
        <c:axId val="41575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54128"/>
        <c:crosses val="autoZero"/>
        <c:auto val="1"/>
        <c:lblAlgn val="ctr"/>
        <c:lblOffset val="100"/>
        <c:noMultiLvlLbl val="0"/>
      </c:catAx>
      <c:valAx>
        <c:axId val="41575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Total </a:t>
                </a:r>
                <a:r>
                  <a:rPr lang="en-GB"/>
                  <a:t> </a:t>
                </a:r>
                <a:r>
                  <a:rPr lang="tr-TR"/>
                  <a:t>Sales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51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'New Introduced Colour Analysis'!$I$236:$J$236</c:f>
              <c:strCache>
                <c:ptCount val="2"/>
                <c:pt idx="0">
                  <c:v>Sales of New Introduced Colours</c:v>
                </c:pt>
                <c:pt idx="1">
                  <c:v>Total Sales</c:v>
                </c:pt>
              </c:strCache>
            </c:strRef>
          </c:cat>
          <c:val>
            <c:numRef>
              <c:f>'New Introduced Colour Analysis'!$I$237:$J$237</c:f>
              <c:numCache>
                <c:formatCode>General</c:formatCode>
                <c:ptCount val="2"/>
                <c:pt idx="0">
                  <c:v>2428</c:v>
                </c:pt>
                <c:pt idx="1">
                  <c:v>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1-470D-96F8-09EBB66EB0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[DAEXCELN0985928_BUSI49152.xlsx]Suggestion1!PivotTable11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 b="1"/>
              <a:t>Average of Performance Score (Nr of Sales * Profit Margin) / Selling Price)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Suggestion1!$B$2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Suggestion1!$A$3:$A$6</c:f>
              <c:strCache>
                <c:ptCount val="3"/>
                <c:pt idx="0">
                  <c:v>Self-Watering</c:v>
                </c:pt>
                <c:pt idx="1">
                  <c:v>Bins</c:v>
                </c:pt>
                <c:pt idx="2">
                  <c:v>Planterware</c:v>
                </c:pt>
              </c:strCache>
            </c:strRef>
          </c:cat>
          <c:val>
            <c:numRef>
              <c:f>Suggestion1!$B$3:$B$6</c:f>
              <c:numCache>
                <c:formatCode>0.000</c:formatCode>
                <c:ptCount val="3"/>
                <c:pt idx="0">
                  <c:v>12.320462316064539</c:v>
                </c:pt>
                <c:pt idx="1">
                  <c:v>3.6281821293478935</c:v>
                </c:pt>
                <c:pt idx="2">
                  <c:v>1.6072259595596865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E-4C1F-80D6-D4B98D6445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0175183"/>
        <c:axId val="920175663"/>
      </c:barChart>
      <c:catAx>
        <c:axId val="92017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Product Families</a:t>
                </a:r>
              </a:p>
            </c:rich>
          </c:tx>
          <c:layout>
            <c:manualLayout>
              <c:xMode val="edge"/>
              <c:yMode val="edge"/>
              <c:x val="0.42639216972878391"/>
              <c:y val="0.8102566345873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75663"/>
        <c:crosses val="autoZero"/>
        <c:auto val="1"/>
        <c:lblAlgn val="ctr"/>
        <c:lblOffset val="100"/>
        <c:noMultiLvlLbl val="0"/>
      </c:catAx>
      <c:valAx>
        <c:axId val="92017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  <a:p>
                <a:pPr>
                  <a:defRPr/>
                </a:pP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7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5</xdr:row>
      <xdr:rowOff>64770</xdr:rowOff>
    </xdr:from>
    <xdr:to>
      <xdr:col>9</xdr:col>
      <xdr:colOff>276225</xdr:colOff>
      <xdr:row>25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EC09F-FFC0-A53F-A2D8-3277B576D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662940</xdr:colOff>
      <xdr:row>5</xdr:row>
      <xdr:rowOff>64770</xdr:rowOff>
    </xdr:from>
    <xdr:to>
      <xdr:col>8</xdr:col>
      <xdr:colOff>459105</xdr:colOff>
      <xdr:row>25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10821-C10C-0D93-E7F8-EFDF0FDCD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106680</xdr:colOff>
      <xdr:row>209</xdr:row>
      <xdr:rowOff>186690</xdr:rowOff>
    </xdr:from>
    <xdr:to>
      <xdr:col>22</xdr:col>
      <xdr:colOff>118110</xdr:colOff>
      <xdr:row>225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17D97-0012-EAC8-0D99-52680D832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1</xdr:row>
      <xdr:rowOff>99060</xdr:rowOff>
    </xdr:from>
    <xdr:to>
      <xdr:col>11</xdr:col>
      <xdr:colOff>550545</xdr:colOff>
      <xdr:row>25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D68A2-4929-CEFD-182B-854135AC9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180975</xdr:rowOff>
    </xdr:from>
    <xdr:to>
      <xdr:col>10</xdr:col>
      <xdr:colOff>582812</xdr:colOff>
      <xdr:row>17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2895D9-95A0-439E-9ADF-19E052F94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04975"/>
          <a:ext cx="8062658" cy="187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23</xdr:row>
      <xdr:rowOff>91440</xdr:rowOff>
    </xdr:from>
    <xdr:to>
      <xdr:col>5</xdr:col>
      <xdr:colOff>777240</xdr:colOff>
      <xdr:row>43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0E73B-A611-E104-358D-ADECFA302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0</xdr:row>
      <xdr:rowOff>171450</xdr:rowOff>
    </xdr:from>
    <xdr:to>
      <xdr:col>13</xdr:col>
      <xdr:colOff>99060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9A34A-7720-C0CD-FDD9-51B1C627F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243840</xdr:colOff>
      <xdr:row>2</xdr:row>
      <xdr:rowOff>11430</xdr:rowOff>
    </xdr:from>
    <xdr:to>
      <xdr:col>20</xdr:col>
      <xdr:colOff>411480</xdr:colOff>
      <xdr:row>18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6871BA-AA55-28EA-73DA-E45790A7F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28</xdr:row>
      <xdr:rowOff>0</xdr:rowOff>
    </xdr:from>
    <xdr:to>
      <xdr:col>15</xdr:col>
      <xdr:colOff>114300</xdr:colOff>
      <xdr:row>43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09D5EA-5E11-4C35-8D24-796DBC721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15240</xdr:rowOff>
    </xdr:from>
    <xdr:to>
      <xdr:col>7</xdr:col>
      <xdr:colOff>220980</xdr:colOff>
      <xdr:row>43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0D94EB-F82A-4175-A9C3-9EDCD0055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16</xdr:col>
      <xdr:colOff>139495</xdr:colOff>
      <xdr:row>64</xdr:row>
      <xdr:rowOff>24624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877BBDB-BD75-3DAD-FBBF-830ACE8A7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840" y="8778240"/>
          <a:ext cx="9352075" cy="27678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0</xdr:row>
      <xdr:rowOff>72390</xdr:rowOff>
    </xdr:from>
    <xdr:to>
      <xdr:col>9</xdr:col>
      <xdr:colOff>352425</xdr:colOff>
      <xdr:row>20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47C78A-2950-1743-2657-9918B7416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114300</xdr:rowOff>
    </xdr:from>
    <xdr:to>
      <xdr:col>8</xdr:col>
      <xdr:colOff>344805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581F5-E157-348C-1541-523635853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426720</xdr:colOff>
      <xdr:row>40</xdr:row>
      <xdr:rowOff>22860</xdr:rowOff>
    </xdr:from>
    <xdr:to>
      <xdr:col>14</xdr:col>
      <xdr:colOff>253365</xdr:colOff>
      <xdr:row>60</xdr:row>
      <xdr:rowOff>32385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1FD6AB-2D86-4100-AB7D-1B117599D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464820</xdr:colOff>
      <xdr:row>0</xdr:row>
      <xdr:rowOff>0</xdr:rowOff>
    </xdr:from>
    <xdr:to>
      <xdr:col>14</xdr:col>
      <xdr:colOff>320040</xdr:colOff>
      <xdr:row>10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339830F-9D1E-462F-7090-61B8448A8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449580</xdr:colOff>
      <xdr:row>10</xdr:row>
      <xdr:rowOff>175260</xdr:rowOff>
    </xdr:from>
    <xdr:to>
      <xdr:col>14</xdr:col>
      <xdr:colOff>289560</xdr:colOff>
      <xdr:row>20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4684083-429F-F9ED-92E4-03782042A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156210</xdr:rowOff>
    </xdr:from>
    <xdr:to>
      <xdr:col>10</xdr:col>
      <xdr:colOff>533400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E5737-8FDA-3D95-0135-313260D91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1</xdr:row>
      <xdr:rowOff>30481</xdr:rowOff>
    </xdr:from>
    <xdr:to>
      <xdr:col>15</xdr:col>
      <xdr:colOff>109083</xdr:colOff>
      <xdr:row>19</xdr:row>
      <xdr:rowOff>91441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039E12-9454-3B27-E538-F8B19BD8F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8320" y="213361"/>
          <a:ext cx="5938383" cy="33528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3</xdr:row>
      <xdr:rowOff>125730</xdr:rowOff>
    </xdr:from>
    <xdr:to>
      <xdr:col>4</xdr:col>
      <xdr:colOff>1449705</xdr:colOff>
      <xdr:row>23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FA7B1-A6FA-E8F7-0B4C-942BA7E9E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22</xdr:row>
      <xdr:rowOff>49530</xdr:rowOff>
    </xdr:from>
    <xdr:to>
      <xdr:col>7</xdr:col>
      <xdr:colOff>55245</xdr:colOff>
      <xdr:row>42</xdr:row>
      <xdr:rowOff>59055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F4042-A67C-1722-E8AC-182282A56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30</xdr:row>
      <xdr:rowOff>83820</xdr:rowOff>
    </xdr:from>
    <xdr:to>
      <xdr:col>4</xdr:col>
      <xdr:colOff>967739</xdr:colOff>
      <xdr:row>45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7AEC4-3FFC-9631-42CB-2EB2993AE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1447801</xdr:colOff>
      <xdr:row>11</xdr:row>
      <xdr:rowOff>144781</xdr:rowOff>
    </xdr:from>
    <xdr:to>
      <xdr:col>4</xdr:col>
      <xdr:colOff>1615440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2FD106-49DB-4F15-887A-80888C9D1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1615441</xdr:colOff>
      <xdr:row>11</xdr:row>
      <xdr:rowOff>144780</xdr:rowOff>
    </xdr:from>
    <xdr:to>
      <xdr:col>10</xdr:col>
      <xdr:colOff>449580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151653-12C3-4AFA-9007-B1D18D750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30480</xdr:rowOff>
    </xdr:from>
    <xdr:to>
      <xdr:col>3</xdr:col>
      <xdr:colOff>2293620</xdr:colOff>
      <xdr:row>108</xdr:row>
      <xdr:rowOff>182879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8F0E5D-AB26-4F15-BF40-5FEAEDC4E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109</xdr:row>
      <xdr:rowOff>15240</xdr:rowOff>
    </xdr:from>
    <xdr:to>
      <xdr:col>3</xdr:col>
      <xdr:colOff>2293620</xdr:colOff>
      <xdr:row>126</xdr:row>
      <xdr:rowOff>30481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7EACF5A-CC24-45CC-A4E4-0CFFFC5BB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2301241</xdr:colOff>
      <xdr:row>108</xdr:row>
      <xdr:rowOff>175261</xdr:rowOff>
    </xdr:from>
    <xdr:to>
      <xdr:col>10</xdr:col>
      <xdr:colOff>205740</xdr:colOff>
      <xdr:row>126</xdr:row>
      <xdr:rowOff>30480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A4DB8F1-0316-4AB0-BEED-E2C2287B9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982980</xdr:colOff>
      <xdr:row>13</xdr:row>
      <xdr:rowOff>171450</xdr:rowOff>
    </xdr:from>
    <xdr:to>
      <xdr:col>5</xdr:col>
      <xdr:colOff>1905</xdr:colOff>
      <xdr:row>33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552EF-2279-A424-C111-E81962B4F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510989</xdr:colOff>
      <xdr:row>0</xdr:row>
      <xdr:rowOff>0</xdr:rowOff>
    </xdr:from>
    <xdr:to>
      <xdr:col>8</xdr:col>
      <xdr:colOff>826108</xdr:colOff>
      <xdr:row>23</xdr:row>
      <xdr:rowOff>34067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676CE0-A230-E62D-724C-D3FBD91B1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5224" y="0"/>
          <a:ext cx="7352413" cy="415783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80</xdr:row>
      <xdr:rowOff>76200</xdr:rowOff>
    </xdr:from>
    <xdr:to>
      <xdr:col>16</xdr:col>
      <xdr:colOff>563880</xdr:colOff>
      <xdr:row>220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FA84AD-13EB-041C-E717-BD372B107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952500</xdr:colOff>
      <xdr:row>230</xdr:row>
      <xdr:rowOff>49530</xdr:rowOff>
    </xdr:from>
    <xdr:to>
      <xdr:col>7</xdr:col>
      <xdr:colOff>106680</xdr:colOff>
      <xdr:row>245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C2D4E-5204-C168-E6DA-A8B217309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57150</xdr:rowOff>
    </xdr:from>
    <xdr:to>
      <xdr:col>1</xdr:col>
      <xdr:colOff>3482340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DA493-FCC3-B1F0-C88F-F84357F52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N0985928_BUSI49152%20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N0985928_BUSI49152%20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N0985928_BUSI49152%20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vetha Rajendran" refreshedDate="45043.748617476849" createdVersion="8" refreshedVersion="8" minRefreshableVersion="3" recordCount="202" xr:uid="{9AA4D4A2-65A3-4EBD-93AE-322CB47B9B8E}">
  <cacheSource type="worksheet">
    <worksheetSource ref="A1:Q203" sheet="All_Cleaned"/>
  </cacheSource>
  <cacheFields count="17">
    <cacheField name="Product" numFmtId="0">
      <sharedItems count="97">
        <s v="CAS 0P"/>
        <s v="BBU 1P"/>
        <s v="OCT 0P"/>
        <s v="CNS 1P"/>
        <s v="BRL 0P"/>
        <s v="BHV 5P"/>
        <s v="BHV 6P"/>
        <s v="UTP 2P"/>
        <s v="CAS 1P"/>
        <s v="MSP 0P"/>
        <s v="UTP 1P"/>
        <s v="BBU 1PL"/>
        <s v="CHB 1P"/>
        <s v="MSP 3P"/>
        <s v="FF 2P"/>
        <s v="OVL 0P"/>
        <s v="HBB 2P"/>
        <s v="BBU 0P"/>
        <s v="WBX 1PL"/>
        <s v="WBX 3PL"/>
        <s v="UTP 2PL"/>
        <s v="WBX 1P"/>
        <s v="UTP 1PL"/>
        <s v="WBX 3P"/>
        <s v="HBB 2PL"/>
        <s v="CNS 1PL"/>
        <s v="HBB 1PL"/>
        <s v="CHB 2P"/>
        <s v="HBB 1P"/>
        <s v="CUH 2P"/>
        <s v="CUH 1P"/>
        <s v="WBX 0P"/>
        <s v="HBB 3P"/>
        <s v="HBB 3PL"/>
        <s v="TES 0P"/>
        <s v="MSP 1P"/>
        <s v="MSP 2P"/>
        <s v="MSP 4P"/>
        <s v="OCT 1P"/>
        <s v="OCT 2P"/>
        <s v="OCT 3P"/>
        <s v="J-C40"/>
        <s v="J-C41"/>
        <s v="J-C45-T2"/>
        <s v="J-C45-T3"/>
        <s v="J-C45-T4"/>
        <s v="J-C65"/>
        <s v="J-EPS40-DG"/>
        <s v="J-EPS50"/>
        <s v="J-EPS60-AT"/>
        <s v="J-EPV40-DG"/>
        <s v="J-EPV50-T2"/>
        <s v="J-EPV60"/>
        <s v="J-EPV75"/>
        <s v="J-R100"/>
        <s v="J-R100/40"/>
        <s v="J-R120"/>
        <s v="J-R65"/>
        <s v="J-S40"/>
        <s v="J-S50"/>
        <s v="J-S60"/>
        <s v="J-S75-AG"/>
        <s v="J-TS3550"/>
        <s v="J-TS4056"/>
        <s v="J-TS4070"/>
        <s v="J-TS4590"/>
        <s v="J-TV5070"/>
        <s v="J-TV6084-RBL"/>
        <s v="J-V110-T2"/>
        <s v="J-V40-PR"/>
        <s v="J-V50"/>
        <s v="J-V60"/>
        <s v="J-V70-PR"/>
        <s v="J-V85-PR"/>
        <s v="J-VG40"/>
        <s v="J-VG50"/>
        <s v="J-WINBOX-LG"/>
        <s v="OLY 1P"/>
        <s v="AMP 1P"/>
        <s v="ST 1P"/>
        <s v="WLB 1P"/>
        <s v="PEN 1P"/>
        <s v="SQD 0P"/>
        <s v="WLB 1PL"/>
        <s v="TAR 1P"/>
        <s v="ROB 1P"/>
        <s v="ACT 1P"/>
        <s v="ECO 1P"/>
        <s v="PAR 1P"/>
        <s v="AMB 1P"/>
        <s v="SCW TP"/>
        <s v="SLM 0P"/>
        <s v="CHK 1P"/>
        <s v="RCY 1P"/>
        <s v="ENV 0P"/>
        <s v="POOP 0P"/>
        <s v="SCW 0P"/>
      </sharedItems>
    </cacheField>
    <cacheField name="Description" numFmtId="0">
      <sharedItems/>
    </cacheField>
    <cacheField name="Colour" numFmtId="0">
      <sharedItems/>
    </cacheField>
    <cacheField name="Powder weight (kg)" numFmtId="0">
      <sharedItems containsSemiMixedTypes="0" containsString="0" containsNumber="1" minValue="3.5" maxValue="65"/>
    </cacheField>
    <cacheField name="Selling Price £" numFmtId="0">
      <sharedItems containsSemiMixedTypes="0" containsString="0" containsNumber="1" containsInteger="1" minValue="25" maxValue="700"/>
    </cacheField>
    <cacheField name="SalesU_2012" numFmtId="0">
      <sharedItems containsString="0" containsBlank="1" containsNumber="1" containsInteger="1" minValue="0" maxValue="2132"/>
    </cacheField>
    <cacheField name="SalesU_2011" numFmtId="0">
      <sharedItems containsString="0" containsBlank="1" containsNumber="1" containsInteger="1" minValue="0" maxValue="2648"/>
    </cacheField>
    <cacheField name="SalesU_2010" numFmtId="0">
      <sharedItems containsString="0" containsBlank="1" containsNumber="1" containsInteger="1" minValue="0" maxValue="2712"/>
    </cacheField>
    <cacheField name="SalesU_2009" numFmtId="0">
      <sharedItems containsString="0" containsBlank="1" containsNumber="1" containsInteger="1" minValue="0" maxValue="2901"/>
    </cacheField>
    <cacheField name="SalesU_2008" numFmtId="0">
      <sharedItems containsString="0" containsBlank="1" containsNumber="1" containsInteger="1" minValue="0" maxValue="2434"/>
    </cacheField>
    <cacheField name="SalesU_2007" numFmtId="0">
      <sharedItems containsString="0" containsBlank="1" containsNumber="1" containsInteger="1" minValue="0" maxValue="2780"/>
    </cacheField>
    <cacheField name="SalesU_2006" numFmtId="0">
      <sharedItems containsString="0" containsBlank="1" containsNumber="1" containsInteger="1" minValue="0" maxValue="2800"/>
    </cacheField>
    <cacheField name="Product Family" numFmtId="0">
      <sharedItems count="3">
        <s v="Self-Watering"/>
        <s v="Planterware"/>
        <s v="Bins"/>
      </sharedItems>
    </cacheField>
    <cacheField name="Due Date Performance/%" numFmtId="0">
      <sharedItems containsSemiMixedTypes="0" containsString="0" containsNumber="1" containsInteger="1" minValue="90" maxValue="100"/>
    </cacheField>
    <cacheField name="Powder Cost" numFmtId="0">
      <sharedItems containsSemiMixedTypes="0" containsString="0" containsNumber="1" minValue="0" maxValue="3.2"/>
    </cacheField>
    <cacheField name="Cost" numFmtId="0">
      <sharedItems containsSemiMixedTypes="0" containsString="0" containsNumber="1" minValue="0" maxValue="208"/>
    </cacheField>
    <cacheField name="Profit Margin" numFmtId="0">
      <sharedItems containsSemiMixedTypes="0" containsString="0" containsNumber="1" minValue="-11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vetha Rajendran" refreshedDate="45043.74904884259" createdVersion="8" refreshedVersion="8" minRefreshableVersion="3" recordCount="202" xr:uid="{5BFD618A-9B9C-4874-A80C-C2E7932BBA96}">
  <cacheSource type="worksheet">
    <worksheetSource ref="A1:Q203" sheet="All_Cleaned"/>
  </cacheSource>
  <cacheFields count="17">
    <cacheField name="Product" numFmtId="0">
      <sharedItems count="97">
        <s v="CAS 0P"/>
        <s v="BBU 1P"/>
        <s v="OCT 0P"/>
        <s v="CNS 1P"/>
        <s v="BRL 0P"/>
        <s v="BHV 5P"/>
        <s v="BHV 6P"/>
        <s v="UTP 2P"/>
        <s v="CAS 1P"/>
        <s v="MSP 0P"/>
        <s v="UTP 1P"/>
        <s v="BBU 1PL"/>
        <s v="CHB 1P"/>
        <s v="MSP 3P"/>
        <s v="FF 2P"/>
        <s v="OVL 0P"/>
        <s v="HBB 2P"/>
        <s v="BBU 0P"/>
        <s v="WBX 1PL"/>
        <s v="WBX 3PL"/>
        <s v="UTP 2PL"/>
        <s v="WBX 1P"/>
        <s v="UTP 1PL"/>
        <s v="WBX 3P"/>
        <s v="HBB 2PL"/>
        <s v="CNS 1PL"/>
        <s v="HBB 1PL"/>
        <s v="CHB 2P"/>
        <s v="HBB 1P"/>
        <s v="CUH 2P"/>
        <s v="CUH 1P"/>
        <s v="WBX 0P"/>
        <s v="HBB 3P"/>
        <s v="HBB 3PL"/>
        <s v="TES 0P"/>
        <s v="MSP 1P"/>
        <s v="MSP 2P"/>
        <s v="MSP 4P"/>
        <s v="OCT 1P"/>
        <s v="OCT 2P"/>
        <s v="OCT 3P"/>
        <s v="J-C40"/>
        <s v="J-C41"/>
        <s v="J-C45-T2"/>
        <s v="J-C45-T3"/>
        <s v="J-C45-T4"/>
        <s v="J-C65"/>
        <s v="J-EPS40-DG"/>
        <s v="J-EPS50"/>
        <s v="J-EPS60-AT"/>
        <s v="J-EPV40-DG"/>
        <s v="J-EPV50-T2"/>
        <s v="J-EPV60"/>
        <s v="J-EPV75"/>
        <s v="J-R100"/>
        <s v="J-R100/40"/>
        <s v="J-R120"/>
        <s v="J-R65"/>
        <s v="J-S40"/>
        <s v="J-S50"/>
        <s v="J-S60"/>
        <s v="J-S75-AG"/>
        <s v="J-TS3550"/>
        <s v="J-TS4056"/>
        <s v="J-TS4070"/>
        <s v="J-TS4590"/>
        <s v="J-TV5070"/>
        <s v="J-TV6084-RBL"/>
        <s v="J-V110-T2"/>
        <s v="J-V40-PR"/>
        <s v="J-V50"/>
        <s v="J-V60"/>
        <s v="J-V70-PR"/>
        <s v="J-V85-PR"/>
        <s v="J-VG40"/>
        <s v="J-VG50"/>
        <s v="J-WINBOX-LG"/>
        <s v="OLY 1P"/>
        <s v="AMP 1P"/>
        <s v="ST 1P"/>
        <s v="WLB 1P"/>
        <s v="PEN 1P"/>
        <s v="SQD 0P"/>
        <s v="WLB 1PL"/>
        <s v="TAR 1P"/>
        <s v="ROB 1P"/>
        <s v="ACT 1P"/>
        <s v="ECO 1P"/>
        <s v="PAR 1P"/>
        <s v="AMB 1P"/>
        <s v="SCW TP"/>
        <s v="SLM 0P"/>
        <s v="CHK 1P"/>
        <s v="RCY 1P"/>
        <s v="ENV 0P"/>
        <s v="POOP 0P"/>
        <s v="SCW 0P"/>
      </sharedItems>
    </cacheField>
    <cacheField name="Description" numFmtId="0">
      <sharedItems/>
    </cacheField>
    <cacheField name="Colour" numFmtId="0">
      <sharedItems count="15">
        <s v="Black"/>
        <s v="Standard Green"/>
        <s v="Orange"/>
        <s v="Sky Blue"/>
        <s v="Pink Granite"/>
        <s v="Dark Sandstone"/>
        <s v="Guerney Granite"/>
        <s v="Millstone Gritt"/>
        <s v="Light Green"/>
        <s v="Brown"/>
        <s v="Moss Stone"/>
        <s v="Light Sandstone"/>
        <s v="White Marble"/>
        <s v="Cherry"/>
        <s v="Terracotta"/>
      </sharedItems>
    </cacheField>
    <cacheField name="Powder weight (kg)" numFmtId="0">
      <sharedItems containsSemiMixedTypes="0" containsString="0" containsNumber="1" minValue="3.5" maxValue="65"/>
    </cacheField>
    <cacheField name="Selling Price £" numFmtId="0">
      <sharedItems containsSemiMixedTypes="0" containsString="0" containsNumber="1" containsInteger="1" minValue="25" maxValue="700"/>
    </cacheField>
    <cacheField name="SalesU_2012" numFmtId="0">
      <sharedItems containsString="0" containsBlank="1" containsNumber="1" containsInteger="1" minValue="0" maxValue="2132"/>
    </cacheField>
    <cacheField name="SalesU_2011" numFmtId="0">
      <sharedItems containsString="0" containsBlank="1" containsNumber="1" containsInteger="1" minValue="0" maxValue="2648"/>
    </cacheField>
    <cacheField name="SalesU_2010" numFmtId="0">
      <sharedItems containsString="0" containsBlank="1" containsNumber="1" containsInteger="1" minValue="0" maxValue="2712"/>
    </cacheField>
    <cacheField name="SalesU_2009" numFmtId="0">
      <sharedItems containsString="0" containsBlank="1" containsNumber="1" containsInteger="1" minValue="0" maxValue="2901"/>
    </cacheField>
    <cacheField name="SalesU_2008" numFmtId="0">
      <sharedItems containsString="0" containsBlank="1" containsNumber="1" containsInteger="1" minValue="0" maxValue="2434"/>
    </cacheField>
    <cacheField name="SalesU_2007" numFmtId="0">
      <sharedItems containsString="0" containsBlank="1" containsNumber="1" containsInteger="1" minValue="0" maxValue="2780"/>
    </cacheField>
    <cacheField name="SalesU_2006" numFmtId="0">
      <sharedItems containsString="0" containsBlank="1" containsNumber="1" containsInteger="1" minValue="0" maxValue="2800"/>
    </cacheField>
    <cacheField name="Product Family" numFmtId="0">
      <sharedItems count="3">
        <s v="Self-Watering"/>
        <s v="Planterware"/>
        <s v="Bins"/>
      </sharedItems>
    </cacheField>
    <cacheField name="Due Date Performance/%" numFmtId="0">
      <sharedItems containsSemiMixedTypes="0" containsString="0" containsNumber="1" containsInteger="1" minValue="90" maxValue="100"/>
    </cacheField>
    <cacheField name="Powder Cost" numFmtId="0">
      <sharedItems containsSemiMixedTypes="0" containsString="0" containsNumber="1" minValue="0" maxValue="3.2"/>
    </cacheField>
    <cacheField name="Cost" numFmtId="0">
      <sharedItems containsSemiMixedTypes="0" containsString="0" containsNumber="1" minValue="0" maxValue="208"/>
    </cacheField>
    <cacheField name="Profit Margin" numFmtId="0">
      <sharedItems containsSemiMixedTypes="0" containsString="0" containsNumber="1" minValue="-11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4.937633680558" createdVersion="8" refreshedVersion="8" minRefreshableVersion="3" recordCount="19" xr:uid="{8DC505E4-6741-4803-A877-E473943FBBF0}">
  <cacheSource type="worksheet">
    <worksheetSource name="Table1" sheet="Information"/>
  </cacheSource>
  <cacheFields count="2">
    <cacheField name="Colour" numFmtId="0">
      <sharedItems count="19">
        <s v="White"/>
        <s v="Black"/>
        <s v="Biscuit"/>
        <s v="Terracotta"/>
        <s v="Cherry"/>
        <s v="Orange"/>
        <s v="Sky Blue"/>
        <s v="Navy Blue"/>
        <s v="Light Green"/>
        <s v="Standard Green"/>
        <s v="White Marble"/>
        <s v="Pink Granite"/>
        <s v="Tudor Brown Mottle"/>
        <s v="Moss Stone"/>
        <s v="Light Sandstone"/>
        <s v="Dark Standstone"/>
        <s v="Guernsey Granite"/>
        <s v="Millstone Gritt"/>
        <s v="Brown"/>
      </sharedItems>
    </cacheField>
    <cacheField name="Cost" numFmtId="0">
      <sharedItems containsSemiMixedTypes="0" containsString="0" containsNumber="1" minValue="2.8" maxValue="3.2" count="3">
        <n v="3"/>
        <n v="2.8"/>
        <n v="3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4.964846759256" createdVersion="8" refreshedVersion="8" minRefreshableVersion="3" recordCount="202" xr:uid="{09854EFA-08FF-4D43-8CBF-63E25A71BB5D}">
  <cacheSource type="worksheet">
    <worksheetSource ref="A1:B203" sheet="Profit Data" r:id="rId2"/>
  </cacheSource>
  <cacheFields count="12">
    <cacheField name="Product" numFmtId="0">
      <sharedItems/>
    </cacheField>
    <cacheField name="Description" numFmtId="0">
      <sharedItems count="59">
        <s v="Cup and Saucer"/>
        <s v="Barrier Basket"/>
        <s v="Octagonal fountain"/>
        <s v="Cup and Saucer on pole"/>
        <s v="Bee hive fountain (5)"/>
        <s v="Bee hive fountain (6)"/>
        <s v="Half basket up the pole"/>
        <s v="Cup and Saucer (HB)"/>
        <s v="Meter sq planter"/>
        <s v="Barrier Basket Liner"/>
        <s v="Conventional Hanging Basket"/>
        <s v="Meter sq planter (3)"/>
        <s v="Floural fountain "/>
        <s v="Half barrier basket"/>
        <s v="Full barrier basket"/>
        <s v="Wall and window box"/>
        <s v="Half pole basket"/>
        <s v="half cup and saucer up the pole"/>
        <s v="Up the pole basket"/>
        <s v="Half barrier basket liner"/>
        <s v="Meter sq planter (1)"/>
        <s v="Meter sq planter (2)"/>
        <s v="Meter sq planter (4)"/>
        <s v="Octagonal fountain (1)"/>
        <s v="Octagonal fountain (2)"/>
        <s v="Octagonal fountain (3)"/>
        <s v="Cylinder"/>
        <s v="Olympic dual bin"/>
        <s v="Ample bin"/>
        <s v="Stipple bin"/>
        <s v="West min bin"/>
        <s v="Penguin bin"/>
        <s v="Square hood bin"/>
        <s v="West min liner"/>
        <s v="Tapered hood bin"/>
        <s v="Robin bin"/>
        <s v="Enviro can recycle - post"/>
        <s v="Eco bin"/>
        <s v="Parot bin "/>
        <s v="Bear bin"/>
        <s v="Screwball post bin"/>
        <s v="Slim bin"/>
        <s v="Chick bin"/>
        <s v="Westmin recycle"/>
        <s v="Eviro bin - floor"/>
        <s v="Poo bin"/>
        <s v="Barrel"/>
        <s v="Floor standing oval planter"/>
        <s v="Egg pot square"/>
        <s v="Cup and Saucer "/>
        <s v="Terresterial Basket"/>
        <s v="Egg pot vase"/>
        <s v="Rectangular container"/>
        <s v="Square"/>
        <s v="Tall square"/>
        <s v="Tall vase"/>
        <s v="Plain vase"/>
        <s v="Garlanded vase"/>
        <s v="Window Box"/>
      </sharedItems>
    </cacheField>
    <cacheField name="Colour" numFmtId="0">
      <sharedItems/>
    </cacheField>
    <cacheField name=" Profit" numFmtId="0">
      <sharedItems containsSemiMixedTypes="0" containsString="0" containsNumber="1" minValue="-11" maxValue="492"/>
    </cacheField>
    <cacheField name="Profitin_2012" numFmtId="0">
      <sharedItems containsSemiMixedTypes="0" containsString="0" containsNumber="1" minValue="-145600" maxValue="168750"/>
    </cacheField>
    <cacheField name="Profitin_2011" numFmtId="0">
      <sharedItems containsSemiMixedTypes="0" containsString="0" containsNumber="1" minValue="-7825" maxValue="147956"/>
    </cacheField>
    <cacheField name="Profitin_2010" numFmtId="0">
      <sharedItems containsSemiMixedTypes="0" containsString="0" containsNumber="1" minValue="-11" maxValue="322452"/>
    </cacheField>
    <cacheField name="Profitin_2009" numFmtId="0">
      <sharedItems containsSemiMixedTypes="0" containsString="0" containsNumber="1" minValue="0" maxValue="91800"/>
    </cacheField>
    <cacheField name="Profitin_2008" numFmtId="0">
      <sharedItems containsSemiMixedTypes="0" containsString="0" containsNumber="1" minValue="0" maxValue="78200"/>
    </cacheField>
    <cacheField name="Profitin_2007" numFmtId="0">
      <sharedItems containsSemiMixedTypes="0" containsString="0" containsNumber="1" minValue="0" maxValue="94520"/>
    </cacheField>
    <cacheField name="Profitin_2006" numFmtId="0">
      <sharedItems containsSemiMixedTypes="0" containsString="0" containsNumber="1" minValue="0" maxValue="95200"/>
    </cacheField>
    <cacheField name="Product Famil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5.531447800924" createdVersion="8" refreshedVersion="8" minRefreshableVersion="3" recordCount="12" xr:uid="{043E4BF7-2D49-439F-AC2E-1066CBC32F66}">
  <cacheSource type="worksheet">
    <worksheetSource ref="A2:C14" sheet="Demand Distribution" r:id="rId2"/>
  </cacheSource>
  <cacheFields count="3">
    <cacheField name="Month" numFmtId="0">
      <sharedItems count="12">
        <s v="Jan"/>
        <s v="Feb"/>
        <s v="Mac"/>
        <s v="April"/>
        <s v="May"/>
        <s v="June"/>
        <s v="July"/>
        <s v="August"/>
        <s v="Sept"/>
        <s v="Oct"/>
        <s v="Nov"/>
        <s v="Dec"/>
      </sharedItems>
    </cacheField>
    <cacheField name="Demand of Planters" numFmtId="0">
      <sharedItems containsSemiMixedTypes="0" containsString="0" containsNumber="1" containsInteger="1" minValue="1" maxValue="18"/>
    </cacheField>
    <cacheField name="Demand of Bins" numFmtId="0">
      <sharedItems containsSemiMixedTypes="0" containsString="0" containsNumber="1" containsInteger="1" minValue="2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5.644361458333" createdVersion="8" refreshedVersion="8" minRefreshableVersion="3" recordCount="202" xr:uid="{1D7BF5BE-4F36-4985-9EFB-968C82277BBA}">
  <cacheSource type="worksheet">
    <worksheetSource ref="A1:Y203" sheet="DraftDataset" r:id="rId2"/>
  </cacheSource>
  <cacheFields count="24">
    <cacheField name="Product" numFmtId="0">
      <sharedItems count="97">
        <s v="MSP 1P"/>
        <s v="MSP 4P"/>
        <s v="OCT 2P"/>
        <s v="J-C41"/>
        <s v="J-C45-T3"/>
        <s v="MSP 2P"/>
        <s v="OCT 1P"/>
        <s v="SCW 0P"/>
        <s v="OCT 3P"/>
        <s v="WBX 0P"/>
        <s v="POOP 0P"/>
        <s v="PAR 1P"/>
        <s v="HBB 3P"/>
        <s v="HBB 3PL"/>
        <s v="ROB 1P"/>
        <s v="CHK 1P"/>
        <s v="TAR 1P"/>
        <s v="ECO 1P"/>
        <s v="AMB 1P"/>
        <s v="RCY 1P"/>
        <s v="CUH 2P"/>
        <s v="ENV 0P"/>
        <s v="MSP 3P"/>
        <s v="CUH 1P"/>
        <s v="WBX 3P"/>
        <s v="SQD 0P"/>
        <s v="FF 2P"/>
        <s v="HBB 2PL"/>
        <s v="WBX 3PL"/>
        <s v="ACT 1P"/>
        <s v="BHV 6P"/>
        <s v="BHV 5P"/>
        <s v="HBB 1P"/>
        <s v="CHB 2P"/>
        <s v="WBX 1PL"/>
        <s v="SLM 0P"/>
        <s v="PEN 1P"/>
        <s v="HBB 2P"/>
        <s v="SCW TP"/>
        <s v="BBU 0P"/>
        <s v="OCT 0P"/>
        <s v="MSP 0P"/>
        <s v="HBB 1PL"/>
        <s v="WBX 1P"/>
        <s v="ST 1P"/>
        <s v="AMP 1P"/>
        <s v="CNS 1PL"/>
        <s v="UTP 2PL"/>
        <s v="WLB 1P"/>
        <s v="WLB 1PL"/>
        <s v="UTP 1PL"/>
        <s v="BBU 1P"/>
        <s v="OLY 1P"/>
        <s v="CHB 1P"/>
        <s v="BBU 1PL"/>
        <s v="UTP 2P"/>
        <s v="CAS 1P"/>
        <s v="UTP 1P"/>
        <s v="CNS 1P"/>
        <s v="CAS 0P"/>
        <s v="BRL 0P"/>
        <s v="OVL 0P"/>
        <s v="J-C45-T4"/>
        <s v="J-EPS40-DG"/>
        <s v="TES 0P"/>
        <s v="J-WINBOX-LG"/>
        <s v="J-VG40"/>
        <s v="J-VG50"/>
        <s v="J-S75-AG"/>
        <s v="J-TS4070"/>
        <s v="J-TV6084-RBL"/>
        <s v="J-TS4056"/>
        <s v="J-C65"/>
        <s v="J-C45-T2"/>
        <s v="J-TV5070"/>
        <s v="J-R65"/>
        <s v="J-S40"/>
        <s v="J-S60"/>
        <s v="J-TS3550"/>
        <s v="J-R120"/>
        <s v="J-EPV40-DG"/>
        <s v="J-EPV75"/>
        <s v="J-C40"/>
        <s v="J-EPS50"/>
        <s v="J-EPV60"/>
        <s v="J-V110-T2"/>
        <s v="J-S50"/>
        <s v="J-R100"/>
        <s v="J-EPV50-T2"/>
        <s v="J-EPS60-AT"/>
        <s v="J-V50"/>
        <s v="J-TS4590"/>
        <s v="J-V40-PR"/>
        <s v="J-V85-PR"/>
        <s v="J-V70-PR"/>
        <s v="J-V60"/>
        <s v="J-R100/40"/>
      </sharedItems>
    </cacheField>
    <cacheField name="Description" numFmtId="0">
      <sharedItems/>
    </cacheField>
    <cacheField name="Colour" numFmtId="0">
      <sharedItems count="15">
        <s v="Black"/>
        <s v="Brown"/>
        <s v="Cherry"/>
        <s v="Dark Sandstone"/>
        <s v="Guerney Granite"/>
        <s v="Light Green"/>
        <s v="Light Sandstone"/>
        <s v="Millstone Gritt"/>
        <s v="Moss Stone"/>
        <s v="Orange"/>
        <s v="Pink Granite"/>
        <s v="Sky Blue"/>
        <s v="Standard Green"/>
        <s v="Terracotta"/>
        <s v="White Marble"/>
      </sharedItems>
    </cacheField>
    <cacheField name="Powder_weight_kg" numFmtId="0">
      <sharedItems containsSemiMixedTypes="0" containsString="0" containsNumber="1" minValue="3.5" maxValue="65"/>
    </cacheField>
    <cacheField name="Powder Cost" numFmtId="0">
      <sharedItems containsSemiMixedTypes="0" containsString="0" containsNumber="1" minValue="9.7999999999999989" maxValue="208"/>
    </cacheField>
    <cacheField name="Selling_Price_Pound" numFmtId="0">
      <sharedItems containsSemiMixedTypes="0" containsString="0" containsNumber="1" containsInteger="1" minValue="25" maxValue="700"/>
    </cacheField>
    <cacheField name=" Profit" numFmtId="0">
      <sharedItems containsSemiMixedTypes="0" containsString="0" containsNumber="1" minValue="-11" maxValue="492"/>
    </cacheField>
    <cacheField name="Salesin_2012" numFmtId="0">
      <sharedItems containsSemiMixedTypes="0" containsString="0" containsNumber="1" containsInteger="1" minValue="0" maxValue="2132"/>
    </cacheField>
    <cacheField name="Profitin_2012" numFmtId="0">
      <sharedItems containsSemiMixedTypes="0" containsString="0" containsNumber="1" minValue="-938" maxValue="164606"/>
    </cacheField>
    <cacheField name="Salesin_2011" numFmtId="0">
      <sharedItems containsSemiMixedTypes="0" containsString="0" containsNumber="1" containsInteger="1" minValue="0" maxValue="2648"/>
    </cacheField>
    <cacheField name="Profitin_2011" numFmtId="0">
      <sharedItems containsSemiMixedTypes="0" containsString="0" containsNumber="1" minValue="-7825" maxValue="147956"/>
    </cacheField>
    <cacheField name="Salesin_2010" numFmtId="0">
      <sharedItems containsSemiMixedTypes="0" containsString="0" containsNumber="1" containsInteger="1" minValue="0" maxValue="2712"/>
    </cacheField>
    <cacheField name="Profitin_2010" numFmtId="0">
      <sharedItems containsSemiMixedTypes="0" containsString="0" containsNumber="1" minValue="-11" maxValue="322452"/>
    </cacheField>
    <cacheField name="Salesin_2009" numFmtId="0">
      <sharedItems containsSemiMixedTypes="0" containsString="0" containsNumber="1" containsInteger="1" minValue="0" maxValue="2901"/>
    </cacheField>
    <cacheField name="Profitin_2009" numFmtId="0">
      <sharedItems containsSemiMixedTypes="0" containsString="0" containsNumber="1" minValue="0" maxValue="91800"/>
    </cacheField>
    <cacheField name="Salesin_2008" numFmtId="0">
      <sharedItems containsSemiMixedTypes="0" containsString="0" containsNumber="1" containsInteger="1" minValue="0" maxValue="2434"/>
    </cacheField>
    <cacheField name="Profitin_2008" numFmtId="0">
      <sharedItems containsSemiMixedTypes="0" containsString="0" containsNumber="1" minValue="0" maxValue="78200"/>
    </cacheField>
    <cacheField name="Salesin_2007" numFmtId="0">
      <sharedItems containsSemiMixedTypes="0" containsString="0" containsNumber="1" containsInteger="1" minValue="0" maxValue="2780"/>
    </cacheField>
    <cacheField name="Profitin_2007" numFmtId="0">
      <sharedItems containsSemiMixedTypes="0" containsString="0" containsNumber="1" minValue="0" maxValue="94520"/>
    </cacheField>
    <cacheField name="Salesin_2006" numFmtId="0">
      <sharedItems containsSemiMixedTypes="0" containsString="0" containsNumber="1" containsInteger="1" minValue="0" maxValue="2800"/>
    </cacheField>
    <cacheField name="Profitin_2006" numFmtId="0">
      <sharedItems containsSemiMixedTypes="0" containsString="0" containsNumber="1" minValue="0" maxValue="95200"/>
    </cacheField>
    <cacheField name="Total Nr of Sales" numFmtId="0">
      <sharedItems containsSemiMixedTypes="0" containsString="0" containsNumber="1" containsInteger="1" minValue="0" maxValue="13819"/>
    </cacheField>
    <cacheField name="Product Family" numFmtId="0">
      <sharedItems/>
    </cacheField>
    <cacheField name="Due Date Performance/%" numFmtId="0">
      <sharedItems containsSemiMixedTypes="0" containsString="0" containsNumber="1" containsInteger="1" minValue="9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5.657504050927" createdVersion="8" refreshedVersion="8" minRefreshableVersion="3" recordCount="78" xr:uid="{0E27AA33-3DAB-4EDC-912A-8A774534DED4}">
  <cacheSource type="worksheet">
    <worksheetSource name="Table5" sheet="New Introduced Colour Analysis"/>
  </cacheSource>
  <cacheFields count="3">
    <cacheField name="Colour" numFmtId="0">
      <sharedItems count="13">
        <s v="Brown"/>
        <s v="Cherry"/>
        <s v="Dark Sandstone"/>
        <s v="Guerney Granite"/>
        <s v="Light Green"/>
        <s v="Light Sandstone"/>
        <s v="Millstone Gritt"/>
        <s v="Moss Stone"/>
        <s v="Orange"/>
        <s v="Pink Granite"/>
        <s v="Sky Blue"/>
        <s v="Terracotta"/>
        <s v="White Marble"/>
      </sharedItems>
    </cacheField>
    <cacheField name="Salesin_2012" numFmtId="0">
      <sharedItems containsSemiMixedTypes="0" containsString="0" containsNumber="1" containsInteger="1" minValue="0" maxValue="530"/>
    </cacheField>
    <cacheField name="Salesin_2011" numFmtId="0">
      <sharedItems containsSemiMixedTypes="0" containsString="0" containsNumber="1" containsInteger="1" minValue="0" maxValue="5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5.695111226851" createdVersion="8" refreshedVersion="8" minRefreshableVersion="3" recordCount="7" xr:uid="{148057DF-672F-4A98-A963-933163A51CCA}">
  <cacheSource type="worksheet">
    <worksheetSource ref="D208:H215" sheet="Profit Data"/>
  </cacheSource>
  <cacheFields count="5">
    <cacheField name="Years" numFmtId="0">
      <sharedItems containsSemiMixedTypes="0" containsString="0" containsNumber="1" containsInteger="1" minValue="2006" maxValue="2012" count="7">
        <n v="2006"/>
        <n v="2007"/>
        <n v="2008"/>
        <n v="2009"/>
        <n v="2010"/>
        <n v="2011"/>
        <n v="2012"/>
      </sharedItems>
    </cacheField>
    <cacheField name="Bins" numFmtId="3">
      <sharedItems containsSemiMixedTypes="0" containsString="0" containsNumber="1" minValue="88421.200000000012" maxValue="422323.8"/>
    </cacheField>
    <cacheField name="Planterware" numFmtId="3">
      <sharedItems containsSemiMixedTypes="0" containsString="0" containsNumber="1" minValue="-12815.5" maxValue="19512.5"/>
    </cacheField>
    <cacheField name="Self Watering" numFmtId="3">
      <sharedItems containsSemiMixedTypes="0" containsString="0" containsNumber="1" minValue="748392.8" maxValue="1094141.2"/>
    </cacheField>
    <cacheField name="Total Profit" numFmtId="3">
      <sharedItems containsSemiMixedTypes="0" containsString="0" containsNumber="1" containsInteger="1" minValue="836814" maxValue="14757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6.032377199073" createdVersion="8" refreshedVersion="8" minRefreshableVersion="3" recordCount="202" xr:uid="{0E6B62B3-DCDF-4A0F-A1B4-BF34A96DAFCE}">
  <cacheSource type="worksheet">
    <worksheetSource ref="A1:Y203" sheet="CleanedDataset"/>
  </cacheSource>
  <cacheFields count="25">
    <cacheField name="Product" numFmtId="0">
      <sharedItems/>
    </cacheField>
    <cacheField name="Description" numFmtId="0">
      <sharedItems count="59">
        <s v="Meter sq planter (1)"/>
        <s v="Meter sq planter (4)"/>
        <s v="Octagonal fountain (2)"/>
        <s v="Cylinder"/>
        <s v="Meter sq planter (2)"/>
        <s v="Octagonal fountain (1)"/>
        <s v="Screwball post bin"/>
        <s v="Octagonal fountain (3)"/>
        <s v="Wall and window box"/>
        <s v="Poo bin"/>
        <s v="Parot bin "/>
        <s v="Half barrier basket"/>
        <s v="Half barrier basket liner"/>
        <s v="Robin bin"/>
        <s v="Chick bin"/>
        <s v="Tapered hood bin"/>
        <s v="Eco bin"/>
        <s v="Bear bin"/>
        <s v="Westmin recycle"/>
        <s v="Up the pole basket"/>
        <s v="Eviro bin - floor"/>
        <s v="Meter sq planter (3)"/>
        <s v="Square hood bin"/>
        <s v="Floural fountain "/>
        <s v="Enviro can recycle - post"/>
        <s v="Bee hive fountain (6)"/>
        <s v="Bee hive fountain (5)"/>
        <s v="Conventional Hanging Basket"/>
        <s v="Slim bin"/>
        <s v="Penguin bin"/>
        <s v="Full barrier basket"/>
        <s v="Octagonal fountain"/>
        <s v="Meter sq planter"/>
        <s v="Stipple bin"/>
        <s v="Ample bin"/>
        <s v="half cup and saucer up the pole"/>
        <s v="Half pole basket"/>
        <s v="West min bin"/>
        <s v="West min liner"/>
        <s v="Barrier Basket"/>
        <s v="Olympic dual bin"/>
        <s v="Barrier Basket Liner"/>
        <s v="Half basket up the pole"/>
        <s v="Cup and Saucer (HB)"/>
        <s v="Cup and Saucer on pole"/>
        <s v="Cup and Saucer"/>
        <s v="Barrel"/>
        <s v="Floor standing oval planter"/>
        <s v="Egg pot square"/>
        <s v="Terresterial Basket"/>
        <s v="Cup and Saucer "/>
        <s v="Window Box"/>
        <s v="Garlanded vase"/>
        <s v="Square"/>
        <s v="Tall square"/>
        <s v="Tall vase"/>
        <s v="Rectangular container"/>
        <s v="Egg pot vase"/>
        <s v="Plain vase"/>
      </sharedItems>
    </cacheField>
    <cacheField name="Colour" numFmtId="0">
      <sharedItems count="15">
        <s v="Black"/>
        <s v="Brown"/>
        <s v="Cherry"/>
        <s v="Dark Sandstone"/>
        <s v="Guerney Granite"/>
        <s v="Light Green"/>
        <s v="Light Sandstone"/>
        <s v="Millstone Gritt"/>
        <s v="Moss Stone"/>
        <s v="Orange"/>
        <s v="Pink Granite"/>
        <s v="Sky Blue"/>
        <s v="Standard Green"/>
        <s v="Terracotta"/>
        <s v="White Marble"/>
      </sharedItems>
    </cacheField>
    <cacheField name="Powder_weight_kg" numFmtId="0">
      <sharedItems containsSemiMixedTypes="0" containsString="0" containsNumber="1" minValue="3.5" maxValue="65"/>
    </cacheField>
    <cacheField name="Powder Cost" numFmtId="0">
      <sharedItems containsSemiMixedTypes="0" containsString="0" containsNumber="1" minValue="9.7999999999999989" maxValue="208"/>
    </cacheField>
    <cacheField name="Selling_Price_Pound" numFmtId="0">
      <sharedItems containsSemiMixedTypes="0" containsString="0" containsNumber="1" containsInteger="1" minValue="25" maxValue="700"/>
    </cacheField>
    <cacheField name=" Profit" numFmtId="0">
      <sharedItems containsSemiMixedTypes="0" containsString="0" containsNumber="1" minValue="-11" maxValue="492"/>
    </cacheField>
    <cacheField name="Profit Margin" numFmtId="0">
      <sharedItems containsSemiMixedTypes="0" containsString="0" containsNumber="1" minValue="-0.30666666666666653" maxValue="0.87076923076923074" count="128">
        <n v="0.49090909090909091"/>
        <n v="0.7098445595854922"/>
        <n v="0.5822222222222222"/>
        <n v="-0.30666666666666653"/>
        <n v="-0.25263157894736826"/>
        <n v="0.61294117647058821"/>
        <n v="0.55200000000000005"/>
        <n v="0.86"/>
        <n v="0.65777777777777779"/>
        <n v="0.72000000000000008"/>
        <n v="0.83666666666666667"/>
        <n v="0.7"/>
        <n v="0.7846153846153846"/>
        <n v="0.79466666666666663"/>
        <n v="0.66400000000000003"/>
        <n v="0.67333333333333334"/>
        <n v="0.57999999999999996"/>
        <n v="0.72"/>
        <n v="0.71594202898550729"/>
        <n v="0.58933333333333338"/>
        <n v="0.64102564102564108"/>
        <n v="0.61111111111111116"/>
        <n v="0.68802228412256272"/>
        <n v="0.68499999999999994"/>
        <n v="0.82079999999999997"/>
        <n v="0.68835616438356162"/>
        <n v="0.7094339622641509"/>
        <n v="0.65538461538461545"/>
        <n v="0.75"/>
        <n v="0.29292929292929293"/>
        <n v="0.44"/>
        <n v="0.87076923076923074"/>
        <n v="0.63793103448275867"/>
        <n v="0.4702702702702703"/>
        <n v="0.27407407407407408"/>
        <n v="0.62666666666666671"/>
        <n v="0.83529411764705885"/>
        <n v="0.65000000000000013"/>
        <n v="0.77599999999999991"/>
        <n v="0.6080000000000001"/>
        <n v="0.58000000000000007"/>
        <n v="0.75111111111111106"/>
        <n v="0.6"/>
        <n v="0.68888888888888888"/>
        <n v="0.56444444444444453"/>
        <n v="0.34666666666666673"/>
        <n v="0.4"/>
        <n v="0.78181818181818186"/>
        <n v="0.77272727272727271"/>
        <n v="0.73417721518987344"/>
        <n v="0.74285714285714288"/>
        <n v="0.52"/>
        <n v="0.69387755102040816"/>
        <n v="0.7931034482758621"/>
        <n v="0.83333333333333337"/>
        <n v="0.61891891891891893"/>
        <n v="0.6785714285714286"/>
        <n v="0.25"/>
        <n v="0.66666666666666663"/>
        <n v="0.55862068965517242"/>
        <n v="0.70285714285714285"/>
        <n v="0.36"/>
        <n v="0.67919799498746869"/>
        <n v="0.65490196078431373"/>
        <n v="0.71382113821138216"/>
        <n v="0.79"/>
        <n v="0.7857142857142857"/>
        <n v="0.61818181818181817"/>
        <n v="0.57333333333333336"/>
        <n v="0.624"/>
        <n v="0.59351351351351345"/>
        <n v="0.64800000000000002"/>
        <n v="-0.20888888888888901"/>
        <n v="0.58588235294117641"/>
        <n v="0.37777777777777777"/>
        <n v="0.70461538461538464"/>
        <n v="0.73333333333333328"/>
        <n v="0.47499999999999998"/>
        <n v="0.81333333333333324"/>
        <n v="0.77846153846153854"/>
        <n v="0.69882352941176473"/>
        <n v="0.77931034482758621"/>
        <n v="0.8222222222222223"/>
        <n v="0.70666666666666667"/>
        <n v="0.82769230769230762"/>
        <n v="0.8147368421052632"/>
        <n v="0.67999999999999994"/>
        <n v="0.2"/>
        <n v="0.8"/>
        <n v="0.65090909090909088"/>
        <n v="0.53846153846153844"/>
        <n v="0.58529411764705885"/>
        <n v="0.64893617021276595"/>
        <n v="0.80588235294117649"/>
        <n v="0.69439728353140917"/>
        <n v="0.76666666666666672"/>
        <n v="0.58750000000000002"/>
        <n v="0.73"/>
        <n v="0.72499999999999998"/>
        <n v="0.68"/>
        <n v="0.82352941176470584"/>
        <n v="0.79374999999999996"/>
        <n v="0.50909090909090904"/>
        <n v="0.64"/>
        <n v="0.578125"/>
        <n v="0.48"/>
        <n v="0.48863636363636365"/>
        <n v="0.45"/>
        <n v="0.1"/>
        <n v="0.54430379746835444"/>
        <n v="6.25E-2"/>
        <n v="0"/>
        <n v="-0.27500000000000002"/>
        <n v="0.58904109589041098"/>
        <n v="0.53125"/>
        <n v="0.52941176470588236"/>
        <n v="0.41558441558441561"/>
        <n v="0.56000000000000005"/>
        <n v="0.43333333333333335"/>
        <n v="-0.2"/>
        <n v="0.47058823529411764"/>
        <n v="0.53333333333333333"/>
        <n v="0.46666666666666667"/>
        <n v="0.49152542372881358"/>
        <n v="0.29411764705882354"/>
        <n v="0.5"/>
        <n v="0.44615384615384618"/>
        <n v="0.42727272727272725"/>
      </sharedItems>
    </cacheField>
    <cacheField name="Salesin_2012" numFmtId="0">
      <sharedItems containsSemiMixedTypes="0" containsString="0" containsNumber="1" containsInteger="1" minValue="0" maxValue="2132"/>
    </cacheField>
    <cacheField name="Profitin_2012" numFmtId="0">
      <sharedItems containsSemiMixedTypes="0" containsString="0" containsNumber="1" minValue="-938" maxValue="164606"/>
    </cacheField>
    <cacheField name="Salesin_2011" numFmtId="0">
      <sharedItems containsSemiMixedTypes="0" containsString="0" containsNumber="1" containsInteger="1" minValue="0" maxValue="2648"/>
    </cacheField>
    <cacheField name="Profitin_2011" numFmtId="0">
      <sharedItems containsSemiMixedTypes="0" containsString="0" containsNumber="1" minValue="-7825" maxValue="147956"/>
    </cacheField>
    <cacheField name="Salesin_2010" numFmtId="0">
      <sharedItems containsSemiMixedTypes="0" containsString="0" containsNumber="1" containsInteger="1" minValue="0" maxValue="2712"/>
    </cacheField>
    <cacheField name="Profitin_2010" numFmtId="0">
      <sharedItems containsSemiMixedTypes="0" containsString="0" containsNumber="1" minValue="-11" maxValue="322452"/>
    </cacheField>
    <cacheField name="Salesin_2009" numFmtId="0">
      <sharedItems containsSemiMixedTypes="0" containsString="0" containsNumber="1" containsInteger="1" minValue="0" maxValue="2901"/>
    </cacheField>
    <cacheField name="Profitin_2009" numFmtId="0">
      <sharedItems containsSemiMixedTypes="0" containsString="0" containsNumber="1" minValue="0" maxValue="91800"/>
    </cacheField>
    <cacheField name="Salesin_2008" numFmtId="0">
      <sharedItems containsSemiMixedTypes="0" containsString="0" containsNumber="1" containsInteger="1" minValue="0" maxValue="2434"/>
    </cacheField>
    <cacheField name="Profitin_2008" numFmtId="0">
      <sharedItems containsSemiMixedTypes="0" containsString="0" containsNumber="1" minValue="0" maxValue="78200"/>
    </cacheField>
    <cacheField name="Salesin_2007" numFmtId="0">
      <sharedItems containsSemiMixedTypes="0" containsString="0" containsNumber="1" containsInteger="1" minValue="0" maxValue="2780"/>
    </cacheField>
    <cacheField name="Profitin_2007" numFmtId="0">
      <sharedItems containsSemiMixedTypes="0" containsString="0" containsNumber="1" minValue="0" maxValue="94520"/>
    </cacheField>
    <cacheField name="Salesin_2006" numFmtId="0">
      <sharedItems containsSemiMixedTypes="0" containsString="0" containsNumber="1" containsInteger="1" minValue="0" maxValue="2800"/>
    </cacheField>
    <cacheField name="Profitin_2006" numFmtId="0">
      <sharedItems containsSemiMixedTypes="0" containsString="0" containsNumber="1" minValue="0" maxValue="95200"/>
    </cacheField>
    <cacheField name="Total Nr of Sales" numFmtId="0">
      <sharedItems containsSemiMixedTypes="0" containsString="0" containsNumber="1" containsInteger="1" minValue="0" maxValue="13819"/>
    </cacheField>
    <cacheField name="Product Family" numFmtId="0">
      <sharedItems count="3">
        <s v="Self-Watering"/>
        <s v="Planterware"/>
        <s v="Bins"/>
      </sharedItems>
    </cacheField>
    <cacheField name="Due Date Performance/%" numFmtId="0">
      <sharedItems containsSemiMixedTypes="0" containsString="0" containsNumber="1" containsInteger="1" minValue="9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6.052561226854" createdVersion="8" refreshedVersion="8" minRefreshableVersion="3" recordCount="202" xr:uid="{BC11D774-C916-4ABF-97D4-A4331E0C32B7}">
  <cacheSource type="worksheet">
    <worksheetSource name="Table37"/>
  </cacheSource>
  <cacheFields count="5">
    <cacheField name="Product Family" numFmtId="0">
      <sharedItems count="3">
        <s v="Self-Watering"/>
        <s v="Planterware"/>
        <s v="Bins"/>
      </sharedItems>
    </cacheField>
    <cacheField name="Column1" numFmtId="0">
      <sharedItems containsNonDate="0" containsString="0" containsBlank="1" count="1">
        <m/>
      </sharedItems>
    </cacheField>
    <cacheField name="Colour" numFmtId="0">
      <sharedItems count="15">
        <s v="Black"/>
        <s v="Brown"/>
        <s v="Cherry"/>
        <s v="Dark Sandstone"/>
        <s v="Guerney Granite"/>
        <s v="Light Green"/>
        <s v="Light Sandstone"/>
        <s v="Millstone Gritt"/>
        <s v="Moss Stone"/>
        <s v="Orange"/>
        <s v="Pink Granite"/>
        <s v="Sky Blue"/>
        <s v="Standard Green"/>
        <s v="Terracotta"/>
        <s v="White Marble"/>
      </sharedItems>
    </cacheField>
    <cacheField name="Sales" numFmtId="0">
      <sharedItems containsSemiMixedTypes="0" containsString="0" containsNumber="1" containsInteger="1" minValue="0" maxValue="13819"/>
    </cacheField>
    <cacheField name="Profit Margin" numFmtId="9">
      <sharedItems containsSemiMixedTypes="0" containsString="0" containsNumber="1" minValue="-0.30666666666666653" maxValue="0.87076923076923074" count="128">
        <n v="0.49090909090909091"/>
        <n v="0.7098445595854922"/>
        <n v="0.5822222222222222"/>
        <n v="-0.30666666666666653"/>
        <n v="-0.25263157894736826"/>
        <n v="0.61294117647058821"/>
        <n v="0.55200000000000005"/>
        <n v="0.86"/>
        <n v="0.65777777777777779"/>
        <n v="0.72000000000000008"/>
        <n v="0.83666666666666667"/>
        <n v="0.7"/>
        <n v="0.7846153846153846"/>
        <n v="0.79466666666666663"/>
        <n v="0.66400000000000003"/>
        <n v="0.67333333333333334"/>
        <n v="0.57999999999999996"/>
        <n v="0.72"/>
        <n v="0.71594202898550729"/>
        <n v="0.58933333333333338"/>
        <n v="0.64102564102564108"/>
        <n v="0.61111111111111116"/>
        <n v="0.68802228412256272"/>
        <n v="0.68499999999999994"/>
        <n v="0.82079999999999997"/>
        <n v="0.68835616438356162"/>
        <n v="0.7094339622641509"/>
        <n v="0.65538461538461545"/>
        <n v="0.75"/>
        <n v="0.29292929292929293"/>
        <n v="0.44"/>
        <n v="0.87076923076923074"/>
        <n v="0.63793103448275867"/>
        <n v="0.4702702702702703"/>
        <n v="0.27407407407407408"/>
        <n v="0.62666666666666671"/>
        <n v="0.83529411764705885"/>
        <n v="0.65000000000000013"/>
        <n v="0.77599999999999991"/>
        <n v="0.6080000000000001"/>
        <n v="0.58000000000000007"/>
        <n v="0.75111111111111106"/>
        <n v="0.6"/>
        <n v="0.68888888888888888"/>
        <n v="0.56444444444444453"/>
        <n v="0.34666666666666673"/>
        <n v="0.4"/>
        <n v="0.78181818181818186"/>
        <n v="0.77272727272727271"/>
        <n v="0.73417721518987344"/>
        <n v="0.74285714285714288"/>
        <n v="0.52"/>
        <n v="0.69387755102040816"/>
        <n v="0.7931034482758621"/>
        <n v="0.83333333333333337"/>
        <n v="0.61891891891891893"/>
        <n v="0.6785714285714286"/>
        <n v="0.25"/>
        <n v="0.66666666666666663"/>
        <n v="0.55862068965517242"/>
        <n v="0.70285714285714285"/>
        <n v="0.36"/>
        <n v="0.67919799498746869"/>
        <n v="0.65490196078431373"/>
        <n v="0.71382113821138216"/>
        <n v="0.79"/>
        <n v="0.7857142857142857"/>
        <n v="0.61818181818181817"/>
        <n v="0.57333333333333336"/>
        <n v="0.624"/>
        <n v="0.59351351351351345"/>
        <n v="0.64800000000000002"/>
        <n v="-0.20888888888888901"/>
        <n v="0.58588235294117641"/>
        <n v="0.37777777777777777"/>
        <n v="0.70461538461538464"/>
        <n v="0.73333333333333328"/>
        <n v="0.47499999999999998"/>
        <n v="0.81333333333333324"/>
        <n v="0.77846153846153854"/>
        <n v="0.69882352941176473"/>
        <n v="0.77931034482758621"/>
        <n v="0.8222222222222223"/>
        <n v="0.70666666666666667"/>
        <n v="0.82769230769230762"/>
        <n v="0.8147368421052632"/>
        <n v="0.67999999999999994"/>
        <n v="0.2"/>
        <n v="0.8"/>
        <n v="0.65090909090909088"/>
        <n v="0.53846153846153844"/>
        <n v="0.58529411764705885"/>
        <n v="0.64893617021276595"/>
        <n v="0.80588235294117649"/>
        <n v="0.69439728353140917"/>
        <n v="0.76666666666666672"/>
        <n v="0.58750000000000002"/>
        <n v="0.73"/>
        <n v="0.72499999999999998"/>
        <n v="0.68"/>
        <n v="0.82352941176470584"/>
        <n v="0.79374999999999996"/>
        <n v="0.50909090909090904"/>
        <n v="0.64"/>
        <n v="0.578125"/>
        <n v="0.48"/>
        <n v="0.48863636363636365"/>
        <n v="0.45"/>
        <n v="0.1"/>
        <n v="0.54430379746835444"/>
        <n v="6.25E-2"/>
        <n v="0"/>
        <n v="-0.27500000000000002"/>
        <n v="0.58904109589041098"/>
        <n v="0.53125"/>
        <n v="0.52941176470588236"/>
        <n v="0.41558441558441561"/>
        <n v="0.56000000000000005"/>
        <n v="0.43333333333333335"/>
        <n v="-0.2"/>
        <n v="0.47058823529411764"/>
        <n v="0.53333333333333333"/>
        <n v="0.46666666666666667"/>
        <n v="0.49152542372881358"/>
        <n v="0.29411764705882354"/>
        <n v="0.5"/>
        <n v="0.44615384615384618"/>
        <n v="0.427272727272727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6.068607638888" createdVersion="8" refreshedVersion="8" minRefreshableVersion="3" recordCount="202" xr:uid="{9E7A7355-5610-4938-8C5B-1B6C0FB20B71}">
  <cacheSource type="worksheet">
    <worksheetSource ref="A1:F203" sheet="Sheet16"/>
  </cacheSource>
  <cacheFields count="6">
    <cacheField name="Product Family" numFmtId="0">
      <sharedItems count="3">
        <s v="Self-Watering"/>
        <s v="Planterware"/>
        <s v="Bins"/>
      </sharedItems>
    </cacheField>
    <cacheField name="Colour" numFmtId="0">
      <sharedItems count="15">
        <s v="Black"/>
        <s v="Brown"/>
        <s v="Cherry"/>
        <s v="Dark Sandstone"/>
        <s v="Guerney Granite"/>
        <s v="Light Green"/>
        <s v="Light Sandstone"/>
        <s v="Millstone Gritt"/>
        <s v="Moss Stone"/>
        <s v="Orange"/>
        <s v="Pink Granite"/>
        <s v="Sky Blue"/>
        <s v="Standard Green"/>
        <s v="Terracotta"/>
        <s v="White Marble"/>
      </sharedItems>
    </cacheField>
    <cacheField name="Profit Margin" numFmtId="9">
      <sharedItems containsSemiMixedTypes="0" containsString="0" containsNumber="1" minValue="-0.30666666666666653" maxValue="0.87076923076923074"/>
    </cacheField>
    <cacheField name="Total Nr of Sales" numFmtId="0">
      <sharedItems containsSemiMixedTypes="0" containsString="0" containsNumber="1" containsInteger="1" minValue="0" maxValue="13819"/>
    </cacheField>
    <cacheField name="Selling_Price_Pound" numFmtId="0">
      <sharedItems containsSemiMixedTypes="0" containsString="0" containsNumber="1" containsInteger="1" minValue="25" maxValue="700"/>
    </cacheField>
    <cacheField name="Performance Score (Number of Sales * Profit Margin) / Selling Price)" numFmtId="167">
      <sharedItems containsSemiMixedTypes="0" containsString="0" containsNumber="1" minValue="-0.77142857142857146" maxValue="159.68622222222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se8" refreshedDate="45046.756789583334" createdVersion="8" refreshedVersion="8" minRefreshableVersion="3" recordCount="202" xr:uid="{8C5D0680-50BF-46E4-86AD-F2E808BBC9C6}">
  <cacheSource type="worksheet">
    <worksheetSource name="Table38" sheet="Sheet16"/>
  </cacheSource>
  <cacheFields count="5">
    <cacheField name="Product Family" numFmtId="0">
      <sharedItems count="3">
        <s v="Self-Watering"/>
        <s v="Planterware"/>
        <s v="Bins"/>
      </sharedItems>
    </cacheField>
    <cacheField name="Colour" numFmtId="0">
      <sharedItems count="15">
        <s v="Black"/>
        <s v="Brown"/>
        <s v="Cherry"/>
        <s v="Dark Sandstone"/>
        <s v="Guerney Granite"/>
        <s v="Light Green"/>
        <s v="Light Sandstone"/>
        <s v="Millstone Gritt"/>
        <s v="Moss Stone"/>
        <s v="Orange"/>
        <s v="Pink Granite"/>
        <s v="Sky Blue"/>
        <s v="Standard Green"/>
        <s v="Terracotta"/>
        <s v="White Marble"/>
      </sharedItems>
    </cacheField>
    <cacheField name="Performance Score (Number of Sales * Profit Margin) / Selling Price)" numFmtId="167">
      <sharedItems containsSemiMixedTypes="0" containsString="0" containsNumber="1" minValue="-0.77142857142857146" maxValue="159.68622222222226"/>
    </cacheField>
    <cacheField name="Profit Margin" numFmtId="9">
      <sharedItems containsSemiMixedTypes="0" containsString="0" containsNumber="1" minValue="-0.30666666666666653" maxValue="0.87076923076923074"/>
    </cacheField>
    <cacheField name="Total Nr of Sales" numFmtId="0">
      <sharedItems containsSemiMixedTypes="0" containsString="0" containsNumber="1" containsInteger="1" minValue="0" maxValue="138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Cup and Saucer"/>
    <s v="Black"/>
    <n v="7"/>
    <n v="30"/>
    <n v="2132"/>
    <n v="2648"/>
    <n v="2712"/>
    <n v="1775"/>
    <n v="2302"/>
    <n v="2250"/>
    <n v="2532"/>
    <x v="0"/>
    <n v="91"/>
    <n v="2.8"/>
    <n v="19.599999999999998"/>
    <n v="10.400000000000002"/>
  </r>
  <r>
    <x v="0"/>
    <s v="Cup and Saucer "/>
    <s v="Standard Green"/>
    <n v="7"/>
    <n v="40"/>
    <n v="1300"/>
    <n v="1250"/>
    <n v="800"/>
    <n v="750"/>
    <n v="1200"/>
    <n v="2050"/>
    <n v="1980"/>
    <x v="0"/>
    <n v="97"/>
    <n v="3"/>
    <n v="21"/>
    <n v="19"/>
  </r>
  <r>
    <x v="0"/>
    <s v="Cup and Saucer"/>
    <s v="Orange"/>
    <n v="7"/>
    <n v="40"/>
    <n v="6"/>
    <n v="15"/>
    <m/>
    <m/>
    <m/>
    <m/>
    <m/>
    <x v="0"/>
    <n v="94"/>
    <n v="3"/>
    <n v="21"/>
    <n v="19"/>
  </r>
  <r>
    <x v="0"/>
    <s v="Cup and Saucer"/>
    <s v="Sky Blue"/>
    <n v="7"/>
    <n v="40"/>
    <n v="135"/>
    <n v="46"/>
    <m/>
    <m/>
    <m/>
    <m/>
    <m/>
    <x v="0"/>
    <n v="95"/>
    <n v="3"/>
    <n v="21"/>
    <n v="19"/>
  </r>
  <r>
    <x v="1"/>
    <s v="Barrier Basket"/>
    <s v="Black"/>
    <n v="6"/>
    <n v="40"/>
    <n v="405"/>
    <n v="534"/>
    <n v="987"/>
    <n v="1917"/>
    <n v="1047"/>
    <n v="326"/>
    <n v="857"/>
    <x v="0"/>
    <n v="92"/>
    <n v="2.8"/>
    <n v="16.799999999999997"/>
    <n v="23.200000000000003"/>
  </r>
  <r>
    <x v="1"/>
    <s v="Barrier Basket"/>
    <s v="Standard Green"/>
    <n v="6"/>
    <n v="50"/>
    <n v="450"/>
    <n v="300"/>
    <n v="230"/>
    <n v="200"/>
    <n v="225"/>
    <n v="705"/>
    <n v="680"/>
    <x v="0"/>
    <n v="92"/>
    <n v="3"/>
    <n v="18"/>
    <n v="32"/>
  </r>
  <r>
    <x v="1"/>
    <s v="Barrier Basket"/>
    <s v="Pink Granite"/>
    <n v="6"/>
    <n v="55"/>
    <n v="530"/>
    <n v="135"/>
    <m/>
    <m/>
    <m/>
    <m/>
    <m/>
    <x v="0"/>
    <n v="90"/>
    <n v="3.2"/>
    <n v="19.200000000000003"/>
    <n v="35.799999999999997"/>
  </r>
  <r>
    <x v="2"/>
    <s v="Octagonal fountain"/>
    <s v="Black"/>
    <n v="35"/>
    <n v="185"/>
    <n v="112"/>
    <n v="98"/>
    <n v="92"/>
    <n v="235"/>
    <n v="176"/>
    <n v="88"/>
    <n v="28"/>
    <x v="0"/>
    <n v="97"/>
    <n v="2.8"/>
    <n v="98"/>
    <n v="87"/>
  </r>
  <r>
    <x v="2"/>
    <s v="Octagonal fountain"/>
    <s v="Standard Green"/>
    <n v="35"/>
    <n v="250"/>
    <n v="230"/>
    <n v="187"/>
    <n v="135"/>
    <n v="87"/>
    <n v="53"/>
    <n v="235"/>
    <n v="200"/>
    <x v="0"/>
    <n v="96"/>
    <n v="3"/>
    <n v="105"/>
    <n v="145"/>
  </r>
  <r>
    <x v="2"/>
    <s v="Octagonal fountain"/>
    <s v="Dark Sandstone"/>
    <n v="35"/>
    <n v="250"/>
    <n v="26"/>
    <n v="13"/>
    <m/>
    <m/>
    <m/>
    <m/>
    <m/>
    <x v="0"/>
    <n v="95"/>
    <n v="0"/>
    <n v="0"/>
    <n v="250"/>
  </r>
  <r>
    <x v="2"/>
    <s v="Octagonal fountain"/>
    <s v="Guerney Granite"/>
    <n v="35"/>
    <n v="250"/>
    <n v="135"/>
    <n v="78"/>
    <m/>
    <m/>
    <m/>
    <m/>
    <m/>
    <x v="0"/>
    <n v="95"/>
    <n v="0"/>
    <n v="0"/>
    <n v="250"/>
  </r>
  <r>
    <x v="2"/>
    <s v="Octagonal fountain"/>
    <s v="Millstone Gritt"/>
    <n v="35"/>
    <n v="250"/>
    <n v="15"/>
    <n v="8"/>
    <m/>
    <m/>
    <m/>
    <m/>
    <m/>
    <x v="0"/>
    <n v="97"/>
    <n v="3.2"/>
    <n v="112"/>
    <n v="138"/>
  </r>
  <r>
    <x v="2"/>
    <s v="Octagonal fountain"/>
    <s v="Pink Granite"/>
    <n v="35"/>
    <n v="250"/>
    <n v="76"/>
    <n v="55"/>
    <m/>
    <m/>
    <m/>
    <m/>
    <m/>
    <x v="0"/>
    <n v="95"/>
    <n v="3.2"/>
    <n v="112"/>
    <n v="138"/>
  </r>
  <r>
    <x v="3"/>
    <s v="Cup and Saucer on pole"/>
    <s v="Black"/>
    <n v="7"/>
    <n v="45"/>
    <n v="1064"/>
    <n v="1153"/>
    <n v="1979"/>
    <n v="2901"/>
    <n v="2434"/>
    <n v="1693"/>
    <n v="1311"/>
    <x v="0"/>
    <n v="94"/>
    <n v="2.8"/>
    <n v="19.599999999999998"/>
    <n v="25.400000000000002"/>
  </r>
  <r>
    <x v="3"/>
    <s v="Cup and Saucer on pole"/>
    <s v="Standard Green"/>
    <n v="7"/>
    <n v="55"/>
    <n v="1578"/>
    <n v="1450"/>
    <n v="1135"/>
    <n v="957"/>
    <n v="2300"/>
    <n v="2780"/>
    <n v="2800"/>
    <x v="0"/>
    <n v="95"/>
    <n v="3"/>
    <n v="21"/>
    <n v="34"/>
  </r>
  <r>
    <x v="3"/>
    <s v="Cup and Saucer on pole"/>
    <s v="Light Green"/>
    <n v="7"/>
    <n v="55"/>
    <n v="23"/>
    <n v="15"/>
    <m/>
    <m/>
    <m/>
    <m/>
    <m/>
    <x v="0"/>
    <n v="90"/>
    <n v="3"/>
    <n v="21"/>
    <n v="34"/>
  </r>
  <r>
    <x v="4"/>
    <s v="Barrel"/>
    <s v="Brown"/>
    <n v="15"/>
    <n v="75"/>
    <n v="496"/>
    <n v="557"/>
    <m/>
    <m/>
    <m/>
    <m/>
    <m/>
    <x v="0"/>
    <n v="91"/>
    <n v="3"/>
    <n v="45"/>
    <n v="30"/>
  </r>
  <r>
    <x v="5"/>
    <s v="Bee hive fountain (5)"/>
    <s v="Black"/>
    <n v="55"/>
    <n v="530"/>
    <n v="58"/>
    <n v="75"/>
    <n v="39"/>
    <n v="16"/>
    <n v="21"/>
    <n v="60"/>
    <n v="64"/>
    <x v="0"/>
    <n v="100"/>
    <n v="2.8"/>
    <n v="154"/>
    <n v="376"/>
  </r>
  <r>
    <x v="5"/>
    <s v="Bee hive fountain (5)"/>
    <s v="Standard Green"/>
    <n v="55"/>
    <n v="600"/>
    <n v="66"/>
    <n v="35"/>
    <n v="12"/>
    <n v="15"/>
    <n v="33"/>
    <n v="50"/>
    <n v="45"/>
    <x v="0"/>
    <n v="94"/>
    <n v="3"/>
    <n v="165"/>
    <n v="435"/>
  </r>
  <r>
    <x v="5"/>
    <s v="Bee hive fountain (5)"/>
    <s v="Pink Granite"/>
    <n v="55"/>
    <n v="600"/>
    <n v="35"/>
    <n v="14"/>
    <m/>
    <m/>
    <m/>
    <m/>
    <m/>
    <x v="0"/>
    <n v="90"/>
    <n v="3.2"/>
    <n v="176"/>
    <n v="424"/>
  </r>
  <r>
    <x v="5"/>
    <s v="Bee hive fountain (5)"/>
    <s v="Guerney Granite"/>
    <n v="55"/>
    <n v="615"/>
    <n v="57"/>
    <n v="35"/>
    <m/>
    <m/>
    <m/>
    <m/>
    <m/>
    <x v="0"/>
    <n v="93"/>
    <n v="0"/>
    <n v="0"/>
    <n v="615"/>
  </r>
  <r>
    <x v="6"/>
    <s v="Bee hive fountain (6)"/>
    <s v="Black"/>
    <n v="65"/>
    <n v="584"/>
    <n v="51"/>
    <n v="78"/>
    <n v="193"/>
    <n v="0"/>
    <n v="0"/>
    <n v="0"/>
    <n v="0"/>
    <x v="0"/>
    <n v="94"/>
    <n v="2.8"/>
    <n v="182"/>
    <n v="402"/>
  </r>
  <r>
    <x v="6"/>
    <s v="Bee hive fountain (6)"/>
    <s v="Standard Green"/>
    <n v="65"/>
    <n v="650"/>
    <n v="158"/>
    <n v="113"/>
    <n v="250"/>
    <m/>
    <m/>
    <m/>
    <m/>
    <x v="0"/>
    <n v="97"/>
    <n v="3"/>
    <n v="195"/>
    <n v="455"/>
  </r>
  <r>
    <x v="6"/>
    <s v="Bee hive fountain (6)"/>
    <s v="Light Green"/>
    <n v="65"/>
    <n v="650"/>
    <n v="3"/>
    <m/>
    <m/>
    <m/>
    <m/>
    <m/>
    <m/>
    <x v="0"/>
    <n v="98"/>
    <n v="3"/>
    <n v="195"/>
    <n v="455"/>
  </r>
  <r>
    <x v="6"/>
    <s v="Bee hive fountain (6)"/>
    <s v="Moss Stone"/>
    <n v="65"/>
    <n v="700"/>
    <m/>
    <n v="5"/>
    <m/>
    <m/>
    <m/>
    <m/>
    <m/>
    <x v="0"/>
    <n v="98"/>
    <n v="3.2"/>
    <n v="208"/>
    <n v="492"/>
  </r>
  <r>
    <x v="6"/>
    <s v="Bee hive fountain (6)"/>
    <s v="Guerney Granite"/>
    <n v="65"/>
    <n v="700"/>
    <n v="5"/>
    <m/>
    <m/>
    <m/>
    <m/>
    <m/>
    <m/>
    <x v="0"/>
    <n v="99"/>
    <n v="0"/>
    <n v="0"/>
    <n v="700"/>
  </r>
  <r>
    <x v="6"/>
    <s v="Bee hive fountain (6)"/>
    <s v="Pink Granite"/>
    <n v="65"/>
    <n v="700"/>
    <n v="53"/>
    <n v="28"/>
    <m/>
    <m/>
    <m/>
    <m/>
    <m/>
    <x v="0"/>
    <n v="93"/>
    <n v="3.2"/>
    <n v="208"/>
    <n v="492"/>
  </r>
  <r>
    <x v="7"/>
    <s v="Half basket up the pole"/>
    <s v="Black"/>
    <n v="5"/>
    <n v="65"/>
    <n v="728"/>
    <n v="871"/>
    <n v="913"/>
    <n v="1800"/>
    <n v="1315"/>
    <n v="577"/>
    <n v="573"/>
    <x v="0"/>
    <n v="93"/>
    <n v="2.8"/>
    <n v="14"/>
    <n v="51"/>
  </r>
  <r>
    <x v="7"/>
    <s v="Half basket up the pole"/>
    <s v="Standard Green"/>
    <n v="5"/>
    <n v="70"/>
    <n v="890"/>
    <n v="765"/>
    <n v="521"/>
    <n v="220"/>
    <n v="349"/>
    <n v="1385"/>
    <n v="1290"/>
    <x v="0"/>
    <n v="93"/>
    <n v="3"/>
    <n v="15"/>
    <n v="55"/>
  </r>
  <r>
    <x v="7"/>
    <s v="Half basket up the pole"/>
    <s v="Sky Blue"/>
    <n v="5"/>
    <n v="70"/>
    <n v="23"/>
    <n v="5"/>
    <m/>
    <m/>
    <m/>
    <m/>
    <m/>
    <x v="0"/>
    <n v="93"/>
    <n v="3"/>
    <n v="15"/>
    <n v="55"/>
  </r>
  <r>
    <x v="7"/>
    <s v="Half basket up the pole"/>
    <s v="Light Green"/>
    <n v="5"/>
    <n v="70"/>
    <n v="15"/>
    <m/>
    <m/>
    <m/>
    <m/>
    <m/>
    <m/>
    <x v="0"/>
    <n v="99"/>
    <n v="3"/>
    <n v="15"/>
    <n v="55"/>
  </r>
  <r>
    <x v="8"/>
    <s v="Cup and Saucer (HB)"/>
    <s v="Black"/>
    <n v="5"/>
    <n v="45"/>
    <n v="787"/>
    <n v="478"/>
    <n v="1235"/>
    <n v="1450"/>
    <n v="1728"/>
    <n v="1182"/>
    <n v="999"/>
    <x v="0"/>
    <n v="97"/>
    <n v="2.8"/>
    <n v="14"/>
    <n v="31"/>
  </r>
  <r>
    <x v="8"/>
    <s v="Cup and Saucer (HB)"/>
    <s v="Standard Green"/>
    <n v="5"/>
    <n v="50"/>
    <n v="860"/>
    <n v="744"/>
    <n v="343"/>
    <n v="320"/>
    <n v="287"/>
    <n v="680"/>
    <n v="623"/>
    <x v="0"/>
    <n v="96"/>
    <n v="3"/>
    <n v="15"/>
    <n v="35"/>
  </r>
  <r>
    <x v="8"/>
    <s v="Cup and Saucer (HB)"/>
    <s v="Light Sandstone"/>
    <n v="5"/>
    <n v="60"/>
    <n v="23"/>
    <n v="35"/>
    <m/>
    <m/>
    <m/>
    <m/>
    <m/>
    <x v="0"/>
    <n v="95"/>
    <n v="3.2"/>
    <n v="16"/>
    <n v="44"/>
  </r>
  <r>
    <x v="9"/>
    <s v="Meter sq planter"/>
    <s v="Black"/>
    <n v="35"/>
    <n v="135"/>
    <n v="116"/>
    <n v="164"/>
    <n v="319"/>
    <n v="251"/>
    <n v="207"/>
    <n v="182"/>
    <n v="54"/>
    <x v="0"/>
    <n v="96"/>
    <n v="2.8"/>
    <n v="98"/>
    <n v="37"/>
  </r>
  <r>
    <x v="9"/>
    <s v="Meter sq planter"/>
    <s v="Pink Granite"/>
    <n v="35"/>
    <n v="180"/>
    <m/>
    <n v="89"/>
    <m/>
    <m/>
    <m/>
    <m/>
    <m/>
    <x v="0"/>
    <n v="92"/>
    <n v="3.2"/>
    <n v="112"/>
    <n v="68"/>
  </r>
  <r>
    <x v="9"/>
    <s v="Meter sq planter"/>
    <s v="Light Sandstone"/>
    <n v="35"/>
    <n v="180"/>
    <n v="5"/>
    <m/>
    <m/>
    <m/>
    <m/>
    <m/>
    <m/>
    <x v="0"/>
    <n v="98"/>
    <n v="3.2"/>
    <n v="112"/>
    <n v="68"/>
  </r>
  <r>
    <x v="9"/>
    <s v="Meter sq planter"/>
    <s v="White Marble"/>
    <n v="35"/>
    <n v="180"/>
    <n v="5"/>
    <m/>
    <m/>
    <m/>
    <m/>
    <m/>
    <m/>
    <x v="0"/>
    <n v="97"/>
    <n v="3.2"/>
    <n v="112"/>
    <n v="68"/>
  </r>
  <r>
    <x v="10"/>
    <s v="Half basket up the pole"/>
    <s v="Black"/>
    <n v="4"/>
    <n v="45"/>
    <n v="962"/>
    <n v="1465"/>
    <n v="1334"/>
    <n v="2383"/>
    <n v="1525"/>
    <n v="1582"/>
    <n v="1539"/>
    <x v="0"/>
    <n v="100"/>
    <n v="2.8"/>
    <n v="11.2"/>
    <n v="33.799999999999997"/>
  </r>
  <r>
    <x v="10"/>
    <s v="Half basket up the pole"/>
    <s v="Standard Green"/>
    <n v="4"/>
    <n v="55"/>
    <n v="1450"/>
    <n v="834"/>
    <n v="620"/>
    <n v="348"/>
    <n v="930"/>
    <n v="870"/>
    <n v="850"/>
    <x v="0"/>
    <n v="96"/>
    <n v="3"/>
    <n v="12"/>
    <n v="43"/>
  </r>
  <r>
    <x v="10"/>
    <s v="Half basket up the pole"/>
    <s v="Orange"/>
    <n v="4"/>
    <n v="55"/>
    <m/>
    <n v="5"/>
    <m/>
    <m/>
    <m/>
    <m/>
    <m/>
    <x v="0"/>
    <n v="100"/>
    <n v="3"/>
    <n v="12"/>
    <n v="43"/>
  </r>
  <r>
    <x v="10"/>
    <s v="Half basket up the pole"/>
    <s v="Sky Blue"/>
    <n v="4"/>
    <n v="55"/>
    <n v="5"/>
    <m/>
    <m/>
    <m/>
    <m/>
    <m/>
    <m/>
    <x v="0"/>
    <n v="95"/>
    <n v="3"/>
    <n v="12"/>
    <n v="43"/>
  </r>
  <r>
    <x v="10"/>
    <s v="Half basket up the pole"/>
    <s v="Cherry"/>
    <n v="4"/>
    <n v="55"/>
    <m/>
    <n v="5"/>
    <m/>
    <m/>
    <m/>
    <m/>
    <m/>
    <x v="0"/>
    <n v="100"/>
    <n v="3"/>
    <n v="12"/>
    <n v="43"/>
  </r>
  <r>
    <x v="11"/>
    <s v="Barrier Basket Liner"/>
    <s v="Black"/>
    <n v="3.5"/>
    <n v="25"/>
    <n v="604"/>
    <n v="339"/>
    <n v="853"/>
    <n v="2331"/>
    <n v="1049"/>
    <n v="326"/>
    <n v="708"/>
    <x v="0"/>
    <n v="99"/>
    <n v="2.8"/>
    <n v="9.7999999999999989"/>
    <n v="15.200000000000001"/>
  </r>
  <r>
    <x v="11"/>
    <s v="Barrier Basket Liner"/>
    <s v="Standard Green"/>
    <n v="3.5"/>
    <n v="35"/>
    <n v="1350"/>
    <n v="1200"/>
    <n v="567"/>
    <n v="200"/>
    <n v="540"/>
    <n v="1250"/>
    <n v="890"/>
    <x v="0"/>
    <n v="91"/>
    <n v="3"/>
    <n v="10.5"/>
    <n v="24.5"/>
  </r>
  <r>
    <x v="12"/>
    <s v="Conventional Hanging Basket"/>
    <s v="Black"/>
    <n v="5"/>
    <n v="35"/>
    <n v="527"/>
    <n v="203"/>
    <n v="395"/>
    <n v="499"/>
    <n v="915"/>
    <n v="230"/>
    <n v="532"/>
    <x v="0"/>
    <n v="91"/>
    <n v="2.8"/>
    <n v="14"/>
    <n v="21"/>
  </r>
  <r>
    <x v="12"/>
    <s v="Conventional Hanging Basket"/>
    <s v="Standard Green"/>
    <n v="5"/>
    <n v="45"/>
    <n v="342"/>
    <n v="280"/>
    <n v="133"/>
    <n v="200"/>
    <n v="187"/>
    <n v="850"/>
    <n v="345"/>
    <x v="0"/>
    <n v="94"/>
    <n v="3"/>
    <n v="15"/>
    <n v="30"/>
  </r>
  <r>
    <x v="12"/>
    <s v="Conventional Hanging Basket"/>
    <s v="Cherry"/>
    <n v="5"/>
    <n v="45"/>
    <n v="28"/>
    <n v="5"/>
    <m/>
    <m/>
    <m/>
    <m/>
    <m/>
    <x v="0"/>
    <n v="90"/>
    <n v="3"/>
    <n v="15"/>
    <n v="30"/>
  </r>
  <r>
    <x v="13"/>
    <s v="Meter sq planter (3)"/>
    <s v="Black"/>
    <n v="55"/>
    <n v="375"/>
    <n v="36"/>
    <n v="40"/>
    <n v="45"/>
    <n v="141"/>
    <n v="156"/>
    <n v="73"/>
    <n v="39"/>
    <x v="0"/>
    <n v="92"/>
    <n v="2.8"/>
    <n v="154"/>
    <n v="221"/>
  </r>
  <r>
    <x v="13"/>
    <s v="Meter sq planter (3)"/>
    <s v="Standard Green"/>
    <n v="55"/>
    <n v="400"/>
    <n v="25"/>
    <n v="30"/>
    <n v="23"/>
    <n v="22"/>
    <n v="35"/>
    <n v="135"/>
    <n v="142"/>
    <x v="0"/>
    <n v="95"/>
    <n v="3"/>
    <n v="165"/>
    <n v="235"/>
  </r>
  <r>
    <x v="13"/>
    <s v="Meter sq planter (3)"/>
    <s v="Pink Granite"/>
    <n v="55"/>
    <n v="510"/>
    <n v="33"/>
    <n v="15"/>
    <m/>
    <m/>
    <m/>
    <m/>
    <m/>
    <x v="0"/>
    <n v="98"/>
    <n v="3.2"/>
    <n v="176"/>
    <n v="334"/>
  </r>
  <r>
    <x v="13"/>
    <s v="Meter sq planter (3)"/>
    <s v="Guerney Granite"/>
    <n v="55"/>
    <n v="510"/>
    <n v="53"/>
    <n v="21"/>
    <m/>
    <m/>
    <m/>
    <m/>
    <m/>
    <x v="0"/>
    <n v="99"/>
    <n v="0"/>
    <n v="0"/>
    <n v="510"/>
  </r>
  <r>
    <x v="14"/>
    <s v="Floural fountain "/>
    <s v="Black"/>
    <n v="40"/>
    <n v="359"/>
    <n v="41"/>
    <n v="106"/>
    <n v="81"/>
    <n v="215"/>
    <n v="255"/>
    <n v="72"/>
    <n v="21"/>
    <x v="0"/>
    <n v="93"/>
    <n v="2.8"/>
    <n v="112"/>
    <n v="247"/>
  </r>
  <r>
    <x v="14"/>
    <s v="Floural fountain "/>
    <s v="Pink Granite"/>
    <n v="40"/>
    <n v="399"/>
    <n v="55"/>
    <n v="45"/>
    <m/>
    <m/>
    <m/>
    <m/>
    <m/>
    <x v="0"/>
    <n v="98"/>
    <n v="3.2"/>
    <n v="128"/>
    <n v="271"/>
  </r>
  <r>
    <x v="14"/>
    <s v="Floural fountain "/>
    <s v="Guerney Granite"/>
    <n v="40"/>
    <n v="399"/>
    <n v="30"/>
    <m/>
    <m/>
    <m/>
    <m/>
    <m/>
    <m/>
    <x v="0"/>
    <n v="99"/>
    <n v="0"/>
    <n v="0"/>
    <n v="399"/>
  </r>
  <r>
    <x v="15"/>
    <s v="Floor standing oval planter"/>
    <s v="Pink Granite"/>
    <n v="30"/>
    <n v="120"/>
    <n v="42"/>
    <n v="47"/>
    <n v="12"/>
    <n v="7"/>
    <n v="71"/>
    <n v="29"/>
    <n v="31"/>
    <x v="0"/>
    <n v="96"/>
    <n v="3.2"/>
    <n v="96"/>
    <n v="24"/>
  </r>
  <r>
    <x v="15"/>
    <s v="Floor standing oval planter"/>
    <s v="Guerney Granite"/>
    <n v="30"/>
    <n v="150"/>
    <n v="26"/>
    <n v="25"/>
    <m/>
    <m/>
    <m/>
    <m/>
    <m/>
    <x v="0"/>
    <n v="100"/>
    <n v="0"/>
    <n v="0"/>
    <n v="150"/>
  </r>
  <r>
    <x v="15"/>
    <s v="Floor standing oval planter"/>
    <s v="Sky Blue"/>
    <n v="30"/>
    <n v="120"/>
    <n v="5"/>
    <m/>
    <m/>
    <m/>
    <m/>
    <m/>
    <m/>
    <x v="0"/>
    <n v="96"/>
    <n v="3"/>
    <n v="90"/>
    <n v="30"/>
  </r>
  <r>
    <x v="15"/>
    <s v="Floor standing oval planter"/>
    <s v="Cherry"/>
    <n v="30"/>
    <n v="120"/>
    <n v="8"/>
    <m/>
    <m/>
    <m/>
    <m/>
    <m/>
    <m/>
    <x v="0"/>
    <n v="97"/>
    <n v="3"/>
    <n v="90"/>
    <n v="30"/>
  </r>
  <r>
    <x v="16"/>
    <s v="Half barrier basket"/>
    <s v="Black"/>
    <n v="9"/>
    <n v="45"/>
    <n v="80"/>
    <n v="71"/>
    <n v="200"/>
    <n v="114"/>
    <n v="210"/>
    <n v="116"/>
    <n v="408"/>
    <x v="0"/>
    <n v="97"/>
    <n v="2.8"/>
    <n v="25.2"/>
    <n v="19.8"/>
  </r>
  <r>
    <x v="16"/>
    <s v="Half barrier basket"/>
    <s v="Standard Green"/>
    <n v="9"/>
    <n v="55"/>
    <n v="230"/>
    <n v="185"/>
    <n v="74"/>
    <n v="67"/>
    <n v="55"/>
    <n v="80"/>
    <n v="250"/>
    <x v="0"/>
    <n v="90"/>
    <n v="3"/>
    <n v="27"/>
    <n v="28"/>
  </r>
  <r>
    <x v="17"/>
    <s v="Full barrier basket"/>
    <s v="Black"/>
    <n v="7.5"/>
    <n v="58"/>
    <n v="94"/>
    <n v="138"/>
    <n v="124"/>
    <n v="72"/>
    <n v="10"/>
    <n v="0"/>
    <n v="0"/>
    <x v="0"/>
    <n v="99"/>
    <n v="2.8"/>
    <n v="21"/>
    <n v="37"/>
  </r>
  <r>
    <x v="17"/>
    <s v="Full barrier basket"/>
    <s v="Standard Green"/>
    <n v="7.5"/>
    <n v="70"/>
    <n v="360"/>
    <n v="245"/>
    <n v="133"/>
    <n v="88"/>
    <n v="10"/>
    <m/>
    <m/>
    <x v="0"/>
    <n v="99"/>
    <n v="3"/>
    <n v="22.5"/>
    <n v="47.5"/>
  </r>
  <r>
    <x v="17"/>
    <s v="Full barrier basket"/>
    <s v="Cherry"/>
    <n v="7.5"/>
    <n v="70"/>
    <n v="5"/>
    <m/>
    <m/>
    <m/>
    <m/>
    <m/>
    <m/>
    <x v="0"/>
    <n v="96"/>
    <n v="3"/>
    <n v="22.5"/>
    <n v="47.5"/>
  </r>
  <r>
    <x v="18"/>
    <s v="Wall and window box"/>
    <s v="Black"/>
    <n v="3.5"/>
    <n v="35"/>
    <n v="62"/>
    <n v="36"/>
    <n v="46"/>
    <n v="34"/>
    <n v="1"/>
    <n v="1"/>
    <n v="4"/>
    <x v="0"/>
    <n v="100"/>
    <n v="2.8"/>
    <n v="9.7999999999999989"/>
    <n v="25.200000000000003"/>
  </r>
  <r>
    <x v="18"/>
    <s v="Wall and window box"/>
    <s v="Standard Green"/>
    <n v="3.5"/>
    <n v="50"/>
    <n v="5"/>
    <m/>
    <m/>
    <m/>
    <m/>
    <m/>
    <m/>
    <x v="0"/>
    <n v="92"/>
    <n v="3"/>
    <n v="10.5"/>
    <n v="39.5"/>
  </r>
  <r>
    <x v="18"/>
    <s v="Wall and window box"/>
    <s v="Light Green"/>
    <n v="3.5"/>
    <n v="50"/>
    <n v="3"/>
    <m/>
    <m/>
    <m/>
    <m/>
    <m/>
    <m/>
    <x v="0"/>
    <n v="93"/>
    <n v="3"/>
    <n v="10.5"/>
    <n v="39.5"/>
  </r>
  <r>
    <x v="18"/>
    <s v="Wall and window box"/>
    <s v="Pink Granite"/>
    <n v="3.5"/>
    <n v="65"/>
    <n v="35"/>
    <m/>
    <m/>
    <m/>
    <m/>
    <m/>
    <m/>
    <x v="0"/>
    <n v="96"/>
    <n v="3.2"/>
    <n v="11.200000000000001"/>
    <n v="53.8"/>
  </r>
  <r>
    <x v="19"/>
    <s v="Wall and window box"/>
    <s v="Black"/>
    <n v="5.5"/>
    <n v="75"/>
    <n v="45"/>
    <n v="3"/>
    <n v="10"/>
    <n v="21"/>
    <n v="1"/>
    <n v="40"/>
    <n v="41"/>
    <x v="0"/>
    <n v="91"/>
    <n v="2.8"/>
    <n v="15.399999999999999"/>
    <n v="59.6"/>
  </r>
  <r>
    <x v="19"/>
    <s v="Wall and window box"/>
    <s v="Standard Green"/>
    <n v="5.5"/>
    <n v="80"/>
    <n v="200"/>
    <n v="45"/>
    <n v="5"/>
    <m/>
    <m/>
    <m/>
    <m/>
    <x v="0"/>
    <n v="92"/>
    <n v="3"/>
    <n v="16.5"/>
    <n v="63.5"/>
  </r>
  <r>
    <x v="19"/>
    <s v="Wall and window box"/>
    <s v="Pink Granite"/>
    <n v="5.5"/>
    <n v="95"/>
    <n v="35"/>
    <m/>
    <m/>
    <m/>
    <m/>
    <m/>
    <m/>
    <x v="0"/>
    <n v="96"/>
    <n v="3.2"/>
    <n v="17.600000000000001"/>
    <n v="77.400000000000006"/>
  </r>
  <r>
    <x v="20"/>
    <s v="Half pole basket"/>
    <s v="Black"/>
    <n v="3.5"/>
    <n v="28"/>
    <n v="299"/>
    <n v="83"/>
    <n v="176"/>
    <n v="400"/>
    <n v="427"/>
    <n v="459"/>
    <n v="369"/>
    <x v="0"/>
    <n v="99"/>
    <n v="2.8"/>
    <n v="9.7999999999999989"/>
    <n v="18.200000000000003"/>
  </r>
  <r>
    <x v="20"/>
    <s v="Half pole basket"/>
    <s v="Standard Green"/>
    <n v="3.5"/>
    <n v="35"/>
    <n v="433"/>
    <n v="350"/>
    <n v="235"/>
    <n v="170"/>
    <n v="55"/>
    <n v="135"/>
    <n v="120"/>
    <x v="0"/>
    <n v="99"/>
    <n v="3"/>
    <n v="10.5"/>
    <n v="24.5"/>
  </r>
  <r>
    <x v="20"/>
    <s v="Half pole basket"/>
    <s v="Cherry"/>
    <n v="3.5"/>
    <n v="35"/>
    <m/>
    <n v="13"/>
    <m/>
    <m/>
    <m/>
    <m/>
    <m/>
    <x v="0"/>
    <n v="100"/>
    <n v="3"/>
    <n v="10.5"/>
    <n v="24.5"/>
  </r>
  <r>
    <x v="21"/>
    <s v="Wall and window box"/>
    <s v="Black"/>
    <n v="8"/>
    <n v="65"/>
    <n v="163"/>
    <n v="33"/>
    <n v="68"/>
    <n v="32"/>
    <n v="138"/>
    <n v="386"/>
    <n v="233"/>
    <x v="0"/>
    <n v="91"/>
    <n v="2.8"/>
    <n v="22.4"/>
    <n v="42.6"/>
  </r>
  <r>
    <x v="21"/>
    <s v="Wall and window box"/>
    <s v="Standard Green"/>
    <n v="8"/>
    <n v="80"/>
    <n v="189"/>
    <n v="144"/>
    <n v="64"/>
    <m/>
    <n v="87"/>
    <n v="153"/>
    <n v="145"/>
    <x v="0"/>
    <n v="98"/>
    <n v="3"/>
    <n v="24"/>
    <n v="56"/>
  </r>
  <r>
    <x v="21"/>
    <s v="Wall and window box"/>
    <s v="Pink Granite"/>
    <n v="8"/>
    <n v="80"/>
    <n v="35"/>
    <n v="23"/>
    <m/>
    <m/>
    <m/>
    <m/>
    <m/>
    <x v="0"/>
    <n v="93"/>
    <n v="3.2"/>
    <n v="25.6"/>
    <n v="54.4"/>
  </r>
  <r>
    <x v="22"/>
    <s v="Half pole basket"/>
    <s v="Black"/>
    <n v="3.5"/>
    <n v="25"/>
    <n v="382"/>
    <n v="425"/>
    <n v="323"/>
    <n v="238"/>
    <n v="484"/>
    <n v="394"/>
    <n v="213"/>
    <x v="0"/>
    <n v="97"/>
    <n v="2.8"/>
    <n v="9.7999999999999989"/>
    <n v="15.200000000000001"/>
  </r>
  <r>
    <x v="22"/>
    <s v="Half pole basket"/>
    <s v="Standard Green"/>
    <n v="3.5"/>
    <n v="35"/>
    <n v="530"/>
    <n v="480"/>
    <n v="257"/>
    <n v="200"/>
    <n v="230"/>
    <n v="580"/>
    <n v="578"/>
    <x v="0"/>
    <n v="95"/>
    <n v="3"/>
    <n v="10.5"/>
    <n v="24.5"/>
  </r>
  <r>
    <x v="23"/>
    <s v="Wall and window box"/>
    <s v="Black"/>
    <n v="10"/>
    <n v="130"/>
    <n v="38"/>
    <n v="16"/>
    <n v="36"/>
    <n v="79"/>
    <n v="23"/>
    <n v="78"/>
    <n v="124"/>
    <x v="0"/>
    <n v="97"/>
    <n v="2.8"/>
    <n v="28"/>
    <n v="102"/>
  </r>
  <r>
    <x v="23"/>
    <s v="Wall and window box"/>
    <s v="Standard Green"/>
    <n v="10"/>
    <n v="145"/>
    <n v="45"/>
    <n v="35"/>
    <n v="30"/>
    <n v="20"/>
    <n v="15"/>
    <n v="50"/>
    <n v="45"/>
    <x v="0"/>
    <n v="100"/>
    <n v="3"/>
    <n v="30"/>
    <n v="115"/>
  </r>
  <r>
    <x v="23"/>
    <s v="Wall and window box"/>
    <s v="Pink Granite"/>
    <n v="10"/>
    <n v="160"/>
    <n v="55"/>
    <m/>
    <m/>
    <m/>
    <m/>
    <m/>
    <m/>
    <x v="0"/>
    <n v="99"/>
    <n v="3.2"/>
    <n v="32"/>
    <n v="128"/>
  </r>
  <r>
    <x v="24"/>
    <s v="Half barrier basket"/>
    <s v="Black"/>
    <n v="4.5"/>
    <n v="40"/>
    <n v="41"/>
    <n v="68"/>
    <n v="183"/>
    <n v="73"/>
    <n v="79"/>
    <n v="314"/>
    <n v="156"/>
    <x v="0"/>
    <n v="97"/>
    <n v="2.8"/>
    <n v="12.6"/>
    <n v="27.4"/>
  </r>
  <r>
    <x v="24"/>
    <s v="Half barrier basket"/>
    <s v="Standard Green"/>
    <n v="4.5"/>
    <n v="50"/>
    <n v="40"/>
    <n v="33"/>
    <n v="45"/>
    <n v="20"/>
    <n v="15"/>
    <n v="55"/>
    <n v="46"/>
    <x v="0"/>
    <n v="100"/>
    <n v="3"/>
    <n v="13.5"/>
    <n v="36.5"/>
  </r>
  <r>
    <x v="24"/>
    <s v="Half barrier basket"/>
    <s v="Pink Granite"/>
    <n v="4.5"/>
    <n v="65"/>
    <n v="5"/>
    <m/>
    <m/>
    <m/>
    <m/>
    <m/>
    <m/>
    <x v="0"/>
    <n v="94"/>
    <n v="3.2"/>
    <n v="14.4"/>
    <n v="50.6"/>
  </r>
  <r>
    <x v="25"/>
    <s v="half cup and saucer up the pole"/>
    <s v="Black"/>
    <n v="5"/>
    <n v="85"/>
    <n v="268"/>
    <n v="253"/>
    <n v="178"/>
    <n v="360"/>
    <n v="816"/>
    <n v="410"/>
    <n v="301"/>
    <x v="0"/>
    <n v="93"/>
    <n v="2.8"/>
    <n v="14"/>
    <n v="71"/>
  </r>
  <r>
    <x v="25"/>
    <s v="half cup and saucer up the pole"/>
    <s v="Standard Green"/>
    <n v="5"/>
    <n v="85"/>
    <n v="180"/>
    <m/>
    <m/>
    <m/>
    <m/>
    <m/>
    <m/>
    <x v="0"/>
    <n v="98"/>
    <n v="3"/>
    <n v="15"/>
    <n v="70"/>
  </r>
  <r>
    <x v="26"/>
    <s v="Half barrier basket"/>
    <s v="Black"/>
    <n v="3.5"/>
    <n v="35"/>
    <n v="124"/>
    <n v="4"/>
    <n v="127"/>
    <n v="35"/>
    <n v="38"/>
    <n v="12"/>
    <n v="0"/>
    <x v="0"/>
    <n v="97"/>
    <n v="2.8"/>
    <n v="9.7999999999999989"/>
    <n v="25.200000000000003"/>
  </r>
  <r>
    <x v="26"/>
    <s v="Half barrier basket"/>
    <s v="Standard Green"/>
    <n v="3.5"/>
    <n v="45"/>
    <n v="24"/>
    <m/>
    <m/>
    <m/>
    <m/>
    <m/>
    <m/>
    <x v="0"/>
    <n v="91"/>
    <n v="3"/>
    <n v="10.5"/>
    <n v="34.5"/>
  </r>
  <r>
    <x v="26"/>
    <s v="Half barrier basket"/>
    <s v="Pink Granite"/>
    <n v="3.5"/>
    <n v="60"/>
    <n v="3"/>
    <m/>
    <m/>
    <m/>
    <m/>
    <m/>
    <m/>
    <x v="0"/>
    <n v="94"/>
    <n v="3.2"/>
    <n v="11.200000000000001"/>
    <n v="48.8"/>
  </r>
  <r>
    <x v="27"/>
    <s v="Conventional Hanging Basket"/>
    <s v="Black"/>
    <n v="5"/>
    <n v="56"/>
    <n v="61"/>
    <n v="97"/>
    <n v="29"/>
    <n v="91"/>
    <n v="62"/>
    <n v="419"/>
    <n v="37"/>
    <x v="0"/>
    <n v="96"/>
    <n v="2.8"/>
    <n v="14"/>
    <n v="42"/>
  </r>
  <r>
    <x v="27"/>
    <s v="Conventional Hanging Basket"/>
    <s v="Standard Green"/>
    <n v="5"/>
    <n v="66"/>
    <n v="87"/>
    <n v="65"/>
    <n v="50"/>
    <n v="67"/>
    <n v="50"/>
    <n v="35"/>
    <n v="55"/>
    <x v="0"/>
    <n v="91"/>
    <n v="3"/>
    <n v="15"/>
    <n v="51"/>
  </r>
  <r>
    <x v="27"/>
    <s v="Conventional Hanging Basket"/>
    <s v="Cherry"/>
    <n v="5"/>
    <n v="66"/>
    <m/>
    <n v="5"/>
    <m/>
    <m/>
    <m/>
    <m/>
    <m/>
    <x v="0"/>
    <n v="91"/>
    <n v="3"/>
    <n v="15"/>
    <n v="51"/>
  </r>
  <r>
    <x v="27"/>
    <s v="Conventional Hanging Basket"/>
    <s v="Orange"/>
    <n v="5"/>
    <n v="66"/>
    <n v="1"/>
    <m/>
    <m/>
    <m/>
    <m/>
    <m/>
    <m/>
    <x v="0"/>
    <n v="98"/>
    <n v="3"/>
    <n v="15"/>
    <n v="51"/>
  </r>
  <r>
    <x v="28"/>
    <s v="Half barrier basket"/>
    <s v="Black"/>
    <n v="8"/>
    <n v="65"/>
    <n v="60"/>
    <n v="68"/>
    <n v="315"/>
    <n v="56"/>
    <n v="132"/>
    <n v="160"/>
    <n v="168"/>
    <x v="0"/>
    <n v="99"/>
    <n v="2.8"/>
    <n v="22.4"/>
    <n v="42.6"/>
  </r>
  <r>
    <x v="28"/>
    <s v="Half barrier basket"/>
    <s v="Standard Green"/>
    <n v="8"/>
    <n v="75"/>
    <n v="135"/>
    <n v="100"/>
    <n v="87"/>
    <n v="15"/>
    <n v="57"/>
    <n v="180"/>
    <n v="167"/>
    <x v="0"/>
    <n v="100"/>
    <n v="3"/>
    <n v="24"/>
    <n v="51"/>
  </r>
  <r>
    <x v="28"/>
    <s v="Half barrier basket"/>
    <s v="Pink Granite"/>
    <n v="8"/>
    <n v="85"/>
    <n v="5"/>
    <m/>
    <m/>
    <m/>
    <m/>
    <m/>
    <m/>
    <x v="0"/>
    <n v="97"/>
    <n v="3.2"/>
    <n v="25.6"/>
    <n v="59.4"/>
  </r>
  <r>
    <x v="29"/>
    <s v="Up the pole basket"/>
    <s v="Black"/>
    <n v="7"/>
    <n v="69"/>
    <n v="32"/>
    <n v="20"/>
    <n v="24"/>
    <n v="49"/>
    <n v="40"/>
    <n v="69"/>
    <n v="59"/>
    <x v="0"/>
    <n v="94"/>
    <n v="2.8"/>
    <n v="19.599999999999998"/>
    <n v="49.400000000000006"/>
  </r>
  <r>
    <x v="29"/>
    <s v="Up the pole basket"/>
    <s v="Standard Green"/>
    <n v="7"/>
    <n v="79"/>
    <n v="40"/>
    <n v="32"/>
    <n v="45"/>
    <n v="13"/>
    <n v="25"/>
    <n v="66"/>
    <n v="45"/>
    <x v="0"/>
    <n v="92"/>
    <n v="3"/>
    <n v="21"/>
    <n v="58"/>
  </r>
  <r>
    <x v="29"/>
    <s v="Up the pole basket"/>
    <s v="Pink Granite"/>
    <n v="7"/>
    <n v="90"/>
    <n v="25"/>
    <m/>
    <m/>
    <m/>
    <m/>
    <m/>
    <m/>
    <x v="0"/>
    <n v="92"/>
    <n v="3.2"/>
    <n v="22.400000000000002"/>
    <n v="67.599999999999994"/>
  </r>
  <r>
    <x v="29"/>
    <s v="Up the pole basket"/>
    <s v="Cherry"/>
    <n v="7"/>
    <n v="79"/>
    <m/>
    <n v="3"/>
    <m/>
    <m/>
    <m/>
    <m/>
    <m/>
    <x v="0"/>
    <n v="93"/>
    <n v="3"/>
    <n v="21"/>
    <n v="58"/>
  </r>
  <r>
    <x v="30"/>
    <s v="Up the pole basket"/>
    <s v="Black"/>
    <n v="5"/>
    <n v="39"/>
    <n v="36"/>
    <n v="49"/>
    <n v="38"/>
    <n v="69"/>
    <n v="39"/>
    <n v="46"/>
    <n v="8"/>
    <x v="0"/>
    <n v="94"/>
    <n v="2.8"/>
    <n v="14"/>
    <n v="25"/>
  </r>
  <r>
    <x v="30"/>
    <s v="Up the pole basket"/>
    <s v="Standard Green"/>
    <n v="5"/>
    <n v="49"/>
    <n v="68"/>
    <n v="55"/>
    <n v="20"/>
    <n v="25"/>
    <n v="30"/>
    <n v="44"/>
    <n v="10"/>
    <x v="0"/>
    <n v="93"/>
    <n v="3"/>
    <n v="15"/>
    <n v="34"/>
  </r>
  <r>
    <x v="30"/>
    <s v="Up the pole basket"/>
    <s v="Cherry"/>
    <n v="5"/>
    <n v="49"/>
    <n v="1"/>
    <m/>
    <m/>
    <m/>
    <m/>
    <m/>
    <m/>
    <x v="0"/>
    <n v="100"/>
    <n v="3"/>
    <n v="15"/>
    <n v="34"/>
  </r>
  <r>
    <x v="30"/>
    <s v="Up the pole basket"/>
    <s v="Sky Blue"/>
    <n v="5"/>
    <n v="49"/>
    <n v="1"/>
    <m/>
    <m/>
    <m/>
    <m/>
    <m/>
    <m/>
    <x v="0"/>
    <n v="95"/>
    <n v="3"/>
    <n v="15"/>
    <n v="34"/>
  </r>
  <r>
    <x v="31"/>
    <s v="Wall and window box"/>
    <s v="Black"/>
    <n v="6"/>
    <n v="60"/>
    <n v="10"/>
    <n v="10"/>
    <n v="12"/>
    <n v="13"/>
    <n v="36"/>
    <n v="34"/>
    <n v="0"/>
    <x v="0"/>
    <n v="98"/>
    <n v="2.8"/>
    <n v="16.799999999999997"/>
    <n v="43.2"/>
  </r>
  <r>
    <x v="31"/>
    <s v="Wall and window box"/>
    <s v="Standard Green"/>
    <n v="6"/>
    <n v="70"/>
    <n v="3"/>
    <m/>
    <m/>
    <m/>
    <m/>
    <m/>
    <m/>
    <x v="0"/>
    <n v="94"/>
    <n v="3"/>
    <n v="18"/>
    <n v="52"/>
  </r>
  <r>
    <x v="31"/>
    <s v="Wall and window box"/>
    <s v="Cherry"/>
    <n v="6"/>
    <n v="70"/>
    <m/>
    <n v="3"/>
    <m/>
    <m/>
    <m/>
    <m/>
    <m/>
    <x v="0"/>
    <n v="90"/>
    <n v="3"/>
    <n v="18"/>
    <n v="52"/>
  </r>
  <r>
    <x v="32"/>
    <s v="Half barrier basket"/>
    <s v="Standard Green"/>
    <n v="10"/>
    <n v="145"/>
    <n v="10"/>
    <m/>
    <m/>
    <m/>
    <m/>
    <m/>
    <m/>
    <x v="0"/>
    <n v="94"/>
    <n v="3"/>
    <n v="30"/>
    <n v="115"/>
  </r>
  <r>
    <x v="32"/>
    <s v="Half barrier basket"/>
    <s v="Pink Granite"/>
    <n v="10"/>
    <n v="145"/>
    <n v="13"/>
    <n v="10"/>
    <m/>
    <m/>
    <m/>
    <m/>
    <m/>
    <x v="0"/>
    <n v="96"/>
    <n v="3.2"/>
    <n v="32"/>
    <n v="113"/>
  </r>
  <r>
    <x v="32"/>
    <s v="Half barrier basket"/>
    <s v="Cherry"/>
    <n v="10"/>
    <n v="145"/>
    <n v="2"/>
    <m/>
    <m/>
    <m/>
    <m/>
    <m/>
    <m/>
    <x v="0"/>
    <n v="100"/>
    <n v="3"/>
    <n v="30"/>
    <n v="115"/>
  </r>
  <r>
    <x v="32"/>
    <s v="Half barrier basket"/>
    <s v="Black"/>
    <n v="10"/>
    <n v="130"/>
    <n v="15"/>
    <n v="15"/>
    <m/>
    <m/>
    <m/>
    <m/>
    <m/>
    <x v="0"/>
    <n v="94"/>
    <n v="2.8"/>
    <n v="28"/>
    <n v="102"/>
  </r>
  <r>
    <x v="33"/>
    <s v="Half barrier basket liner"/>
    <s v="Black"/>
    <n v="5.5"/>
    <n v="75"/>
    <n v="15"/>
    <n v="15"/>
    <n v="7"/>
    <n v="8"/>
    <n v="27"/>
    <n v="12"/>
    <n v="177"/>
    <x v="0"/>
    <n v="97"/>
    <n v="2.8"/>
    <n v="15.399999999999999"/>
    <n v="59.6"/>
  </r>
  <r>
    <x v="33"/>
    <s v="Half barrier basket liner"/>
    <s v="Standard Green"/>
    <n v="5.5"/>
    <n v="85"/>
    <n v="10"/>
    <m/>
    <m/>
    <m/>
    <m/>
    <m/>
    <m/>
    <x v="0"/>
    <n v="100"/>
    <n v="3"/>
    <n v="16.5"/>
    <n v="68.5"/>
  </r>
  <r>
    <x v="33"/>
    <s v="Half barrier basket liner"/>
    <s v="Pink Granite"/>
    <n v="5.5"/>
    <n v="99"/>
    <n v="13"/>
    <n v="10"/>
    <m/>
    <m/>
    <m/>
    <m/>
    <m/>
    <x v="0"/>
    <n v="93"/>
    <n v="3.2"/>
    <n v="17.600000000000001"/>
    <n v="81.400000000000006"/>
  </r>
  <r>
    <x v="33"/>
    <s v="Half barrier basket liner"/>
    <s v="Cherry"/>
    <n v="5.5"/>
    <n v="99"/>
    <n v="2"/>
    <m/>
    <m/>
    <m/>
    <m/>
    <m/>
    <m/>
    <x v="0"/>
    <n v="90"/>
    <n v="3"/>
    <n v="16.5"/>
    <n v="82.5"/>
  </r>
  <r>
    <x v="34"/>
    <s v="Terresterial Basket"/>
    <s v="Standard Green"/>
    <n v="6"/>
    <n v="60"/>
    <n v="444"/>
    <n v="294"/>
    <n v="180"/>
    <n v="222"/>
    <n v="493"/>
    <n v="450"/>
    <n v="0"/>
    <x v="0"/>
    <n v="96"/>
    <n v="3"/>
    <n v="18"/>
    <n v="42"/>
  </r>
  <r>
    <x v="35"/>
    <s v="Meter sq planter (1)"/>
    <s v="Black"/>
    <n v="40"/>
    <n v="220"/>
    <n v="0"/>
    <n v="1"/>
    <n v="0"/>
    <n v="1"/>
    <n v="38"/>
    <m/>
    <m/>
    <x v="0"/>
    <n v="98"/>
    <n v="2.8"/>
    <n v="112"/>
    <n v="108"/>
  </r>
  <r>
    <x v="35"/>
    <s v="Meter sq planter (1)"/>
    <s v="Standard Green"/>
    <n v="40"/>
    <n v="250"/>
    <n v="1"/>
    <m/>
    <m/>
    <m/>
    <m/>
    <m/>
    <m/>
    <x v="0"/>
    <n v="100"/>
    <n v="3"/>
    <n v="120"/>
    <n v="130"/>
  </r>
  <r>
    <x v="35"/>
    <s v="Meter sq planter (1)"/>
    <s v="Pink Granite"/>
    <n v="40"/>
    <n v="300"/>
    <m/>
    <n v="5"/>
    <m/>
    <m/>
    <m/>
    <m/>
    <m/>
    <x v="0"/>
    <n v="94"/>
    <n v="3.2"/>
    <n v="128"/>
    <n v="172"/>
  </r>
  <r>
    <x v="35"/>
    <s v="Meter sq planter (1)"/>
    <s v="Light Sandstone"/>
    <n v="40"/>
    <n v="300"/>
    <m/>
    <n v="5"/>
    <m/>
    <m/>
    <m/>
    <m/>
    <m/>
    <x v="0"/>
    <n v="99"/>
    <n v="3.2"/>
    <n v="128"/>
    <n v="172"/>
  </r>
  <r>
    <x v="35"/>
    <s v="Meter sq planter (1)"/>
    <s v="Sky Blue"/>
    <n v="40"/>
    <n v="250"/>
    <m/>
    <n v="5"/>
    <m/>
    <m/>
    <m/>
    <m/>
    <m/>
    <x v="0"/>
    <n v="90"/>
    <n v="3"/>
    <n v="120"/>
    <n v="130"/>
  </r>
  <r>
    <x v="35"/>
    <s v="Meter sq planter (1)"/>
    <s v="Cherry"/>
    <n v="40"/>
    <n v="250"/>
    <m/>
    <n v="5"/>
    <m/>
    <m/>
    <m/>
    <m/>
    <m/>
    <x v="0"/>
    <n v="98"/>
    <n v="3"/>
    <n v="120"/>
    <n v="130"/>
  </r>
  <r>
    <x v="36"/>
    <s v="Meter sq planter (2)"/>
    <s v="Black"/>
    <n v="47"/>
    <n v="340"/>
    <n v="2"/>
    <n v="34"/>
    <n v="36"/>
    <n v="2"/>
    <n v="0"/>
    <m/>
    <m/>
    <x v="0"/>
    <n v="92"/>
    <n v="2.8"/>
    <n v="131.6"/>
    <n v="208.4"/>
  </r>
  <r>
    <x v="36"/>
    <s v="Meter sq planter (2)"/>
    <s v="Standard Green"/>
    <n v="47"/>
    <n v="370"/>
    <n v="3"/>
    <m/>
    <m/>
    <m/>
    <m/>
    <m/>
    <m/>
    <x v="0"/>
    <n v="97"/>
    <n v="3"/>
    <n v="141"/>
    <n v="229"/>
  </r>
  <r>
    <x v="36"/>
    <s v="Meter sq planter (2)"/>
    <s v="Pink Granite"/>
    <n v="47"/>
    <n v="400"/>
    <n v="5"/>
    <m/>
    <m/>
    <m/>
    <m/>
    <m/>
    <m/>
    <x v="0"/>
    <n v="90"/>
    <n v="3.2"/>
    <n v="150.4"/>
    <n v="249.6"/>
  </r>
  <r>
    <x v="36"/>
    <s v="Meter sq planter (2)"/>
    <s v="Light Sandstone"/>
    <n v="47"/>
    <n v="400"/>
    <m/>
    <n v="1"/>
    <m/>
    <m/>
    <m/>
    <m/>
    <m/>
    <x v="0"/>
    <n v="90"/>
    <n v="3.2"/>
    <n v="150.4"/>
    <n v="249.6"/>
  </r>
  <r>
    <x v="36"/>
    <s v="Meter sq planter (2)"/>
    <s v="Cherry"/>
    <n v="47"/>
    <n v="370"/>
    <n v="2"/>
    <m/>
    <m/>
    <m/>
    <m/>
    <m/>
    <m/>
    <x v="0"/>
    <n v="99"/>
    <n v="3"/>
    <n v="141"/>
    <n v="229"/>
  </r>
  <r>
    <x v="37"/>
    <s v="Meter sq planter (4)"/>
    <s v="Black"/>
    <n v="60"/>
    <n v="579"/>
    <n v="0"/>
    <n v="0"/>
    <n v="0"/>
    <n v="0"/>
    <n v="12"/>
    <m/>
    <m/>
    <x v="0"/>
    <n v="96"/>
    <n v="2.8"/>
    <n v="168"/>
    <n v="411"/>
  </r>
  <r>
    <x v="37"/>
    <s v="Meter sq planter (4)"/>
    <s v="Standard Green"/>
    <n v="60"/>
    <n v="589"/>
    <n v="10"/>
    <m/>
    <m/>
    <m/>
    <m/>
    <m/>
    <m/>
    <x v="0"/>
    <n v="90"/>
    <n v="3"/>
    <n v="180"/>
    <n v="409"/>
  </r>
  <r>
    <x v="37"/>
    <s v="Meter sq planter (4)"/>
    <s v="Pink Granite"/>
    <n v="60"/>
    <n v="650"/>
    <n v="3"/>
    <m/>
    <m/>
    <m/>
    <m/>
    <m/>
    <m/>
    <x v="0"/>
    <n v="92"/>
    <n v="3.2"/>
    <n v="192"/>
    <n v="458"/>
  </r>
  <r>
    <x v="37"/>
    <s v="Meter sq planter (4)"/>
    <s v="Light Sandstone"/>
    <n v="60"/>
    <n v="650"/>
    <n v="5"/>
    <m/>
    <m/>
    <m/>
    <m/>
    <m/>
    <m/>
    <x v="0"/>
    <n v="99"/>
    <n v="3.2"/>
    <n v="192"/>
    <n v="458"/>
  </r>
  <r>
    <x v="38"/>
    <s v="Octagonal fountain (1)"/>
    <s v="Black"/>
    <n v="40"/>
    <n v="250"/>
    <n v="5"/>
    <n v="0"/>
    <n v="0"/>
    <n v="2"/>
    <n v="52"/>
    <m/>
    <m/>
    <x v="0"/>
    <n v="95"/>
    <n v="2.8"/>
    <n v="112"/>
    <n v="138"/>
  </r>
  <r>
    <x v="38"/>
    <s v="Octagonal fountain (1)"/>
    <s v="Pink Granite"/>
    <n v="40"/>
    <n v="290"/>
    <n v="5"/>
    <m/>
    <m/>
    <m/>
    <m/>
    <m/>
    <m/>
    <x v="0"/>
    <n v="93"/>
    <n v="3.2"/>
    <n v="128"/>
    <n v="162"/>
  </r>
  <r>
    <x v="38"/>
    <s v="Octagonal fountain (1)"/>
    <s v="Sky Blue"/>
    <n v="40"/>
    <n v="260"/>
    <n v="1"/>
    <m/>
    <m/>
    <m/>
    <m/>
    <m/>
    <m/>
    <x v="0"/>
    <n v="92"/>
    <n v="3"/>
    <n v="120"/>
    <n v="140"/>
  </r>
  <r>
    <x v="38"/>
    <s v="Octagonal fountain (1)"/>
    <s v="Light Sandstone"/>
    <n v="40"/>
    <n v="290"/>
    <n v="5"/>
    <m/>
    <m/>
    <m/>
    <m/>
    <m/>
    <m/>
    <x v="0"/>
    <n v="95"/>
    <n v="3.2"/>
    <n v="128"/>
    <n v="162"/>
  </r>
  <r>
    <x v="38"/>
    <s v="Octagonal fountain (1)"/>
    <s v="Guerney Granite"/>
    <n v="40"/>
    <n v="290"/>
    <m/>
    <n v="1"/>
    <m/>
    <m/>
    <m/>
    <m/>
    <m/>
    <x v="0"/>
    <n v="90"/>
    <n v="0"/>
    <n v="0"/>
    <n v="290"/>
  </r>
  <r>
    <x v="39"/>
    <s v="Octagonal fountain (2)"/>
    <s v="Black"/>
    <n v="47"/>
    <n v="315"/>
    <n v="0"/>
    <n v="0"/>
    <n v="0"/>
    <n v="1"/>
    <n v="0"/>
    <m/>
    <m/>
    <x v="0"/>
    <n v="93"/>
    <n v="2.8"/>
    <n v="131.6"/>
    <n v="183.4"/>
  </r>
  <r>
    <x v="39"/>
    <s v="Octagonal fountain (2)"/>
    <s v="Standard Green"/>
    <n v="47"/>
    <n v="340"/>
    <n v="1"/>
    <m/>
    <m/>
    <m/>
    <m/>
    <m/>
    <m/>
    <x v="0"/>
    <n v="91"/>
    <n v="3"/>
    <n v="141"/>
    <n v="199"/>
  </r>
  <r>
    <x v="39"/>
    <s v="Octagonal fountain (2)"/>
    <s v="Light Sandstone"/>
    <n v="47"/>
    <n v="370"/>
    <m/>
    <n v="1"/>
    <m/>
    <m/>
    <m/>
    <m/>
    <m/>
    <x v="0"/>
    <n v="93"/>
    <n v="3.2"/>
    <n v="150.4"/>
    <n v="219.6"/>
  </r>
  <r>
    <x v="39"/>
    <s v="Octagonal fountain (2)"/>
    <s v="Pink Granite"/>
    <n v="47"/>
    <n v="370"/>
    <n v="1"/>
    <m/>
    <m/>
    <m/>
    <m/>
    <m/>
    <m/>
    <x v="0"/>
    <n v="99"/>
    <n v="3.2"/>
    <n v="150.4"/>
    <n v="219.6"/>
  </r>
  <r>
    <x v="40"/>
    <s v="Octagonal fountain (3)"/>
    <s v="Black"/>
    <n v="55"/>
    <n v="450"/>
    <n v="7"/>
    <n v="2"/>
    <n v="3"/>
    <n v="1"/>
    <n v="8"/>
    <m/>
    <m/>
    <x v="0"/>
    <n v="95"/>
    <n v="2.8"/>
    <n v="154"/>
    <n v="296"/>
  </r>
  <r>
    <x v="40"/>
    <s v="Octagonal fountain (3)"/>
    <s v="Standard Green"/>
    <n v="55"/>
    <n v="470"/>
    <n v="2"/>
    <m/>
    <m/>
    <m/>
    <m/>
    <m/>
    <m/>
    <x v="0"/>
    <n v="96"/>
    <n v="3"/>
    <n v="165"/>
    <n v="305"/>
  </r>
  <r>
    <x v="40"/>
    <s v="Octagonal fountain (3)"/>
    <s v="Light Sandstone"/>
    <n v="55"/>
    <n v="500"/>
    <m/>
    <n v="1"/>
    <m/>
    <m/>
    <m/>
    <m/>
    <m/>
    <x v="0"/>
    <n v="93"/>
    <n v="3.2"/>
    <n v="176"/>
    <n v="324"/>
  </r>
  <r>
    <x v="40"/>
    <s v="Octagonal fountain (3)"/>
    <s v="Pink Granite"/>
    <n v="55"/>
    <n v="500"/>
    <n v="1"/>
    <m/>
    <m/>
    <m/>
    <m/>
    <m/>
    <m/>
    <x v="0"/>
    <n v="100"/>
    <n v="3.2"/>
    <n v="176"/>
    <n v="324"/>
  </r>
  <r>
    <x v="41"/>
    <s v="Cylinder"/>
    <s v="Terracotta"/>
    <n v="14"/>
    <n v="35"/>
    <n v="134"/>
    <n v="1"/>
    <m/>
    <m/>
    <m/>
    <m/>
    <m/>
    <x v="1"/>
    <n v="96"/>
    <n v="3"/>
    <n v="42"/>
    <n v="-7"/>
  </r>
  <r>
    <x v="42"/>
    <s v="Cylinder"/>
    <s v="Black"/>
    <n v="14"/>
    <n v="30"/>
    <m/>
    <m/>
    <m/>
    <m/>
    <m/>
    <m/>
    <m/>
    <x v="1"/>
    <n v="93"/>
    <n v="2.8"/>
    <n v="39.199999999999996"/>
    <n v="-9.1999999999999957"/>
  </r>
  <r>
    <x v="43"/>
    <s v="Cylinder"/>
    <s v="Terracotta"/>
    <n v="17"/>
    <n v="40"/>
    <n v="60"/>
    <n v="5"/>
    <n v="1"/>
    <m/>
    <m/>
    <m/>
    <m/>
    <x v="1"/>
    <n v="99"/>
    <n v="3"/>
    <n v="51"/>
    <n v="-11"/>
  </r>
  <r>
    <x v="44"/>
    <s v="Cylinder"/>
    <s v="Black"/>
    <n v="17"/>
    <n v="38"/>
    <m/>
    <m/>
    <m/>
    <m/>
    <m/>
    <m/>
    <m/>
    <x v="1"/>
    <n v="99"/>
    <n v="2.8"/>
    <n v="47.599999999999994"/>
    <n v="-9.5999999999999943"/>
  </r>
  <r>
    <x v="45"/>
    <s v="Cylinder"/>
    <s v="Light Sandstone"/>
    <n v="17"/>
    <n v="45"/>
    <m/>
    <m/>
    <m/>
    <m/>
    <m/>
    <m/>
    <m/>
    <x v="1"/>
    <n v="97"/>
    <n v="3.2"/>
    <n v="54.400000000000006"/>
    <n v="-9.4000000000000057"/>
  </r>
  <r>
    <x v="46"/>
    <s v="Cylinder"/>
    <s v="Terracotta"/>
    <n v="20"/>
    <n v="60"/>
    <n v="55"/>
    <n v="35"/>
    <n v="7"/>
    <m/>
    <m/>
    <m/>
    <m/>
    <x v="1"/>
    <n v="100"/>
    <n v="3"/>
    <n v="60"/>
    <n v="0"/>
  </r>
  <r>
    <x v="47"/>
    <s v="Egg pot square"/>
    <s v="Terracotta"/>
    <n v="11"/>
    <n v="75"/>
    <n v="130"/>
    <n v="77"/>
    <n v="12"/>
    <m/>
    <m/>
    <m/>
    <m/>
    <x v="1"/>
    <n v="90"/>
    <n v="3"/>
    <n v="33"/>
    <n v="42"/>
  </r>
  <r>
    <x v="47"/>
    <s v="Egg pot square"/>
    <s v="Light Sandstone"/>
    <n v="11"/>
    <n v="85"/>
    <m/>
    <m/>
    <m/>
    <m/>
    <m/>
    <m/>
    <m/>
    <x v="1"/>
    <n v="98"/>
    <n v="3.2"/>
    <n v="35.200000000000003"/>
    <n v="49.8"/>
  </r>
  <r>
    <x v="48"/>
    <s v="Egg pot square"/>
    <s v="Terracotta"/>
    <n v="15"/>
    <n v="60"/>
    <n v="135"/>
    <n v="65"/>
    <n v="7"/>
    <m/>
    <m/>
    <m/>
    <m/>
    <x v="1"/>
    <n v="91"/>
    <n v="3"/>
    <n v="45"/>
    <n v="15"/>
  </r>
  <r>
    <x v="49"/>
    <s v="Egg pot square"/>
    <s v="Terracotta"/>
    <n v="20"/>
    <n v="85"/>
    <n v="208"/>
    <n v="83"/>
    <n v="20"/>
    <m/>
    <m/>
    <m/>
    <m/>
    <x v="1"/>
    <n v="94"/>
    <n v="3"/>
    <n v="60"/>
    <n v="25"/>
  </r>
  <r>
    <x v="50"/>
    <s v="Egg pot vase"/>
    <s v="Terracotta"/>
    <n v="5"/>
    <n v="45"/>
    <n v="122"/>
    <n v="91"/>
    <n v="3"/>
    <m/>
    <m/>
    <m/>
    <m/>
    <x v="1"/>
    <n v="97"/>
    <n v="3"/>
    <n v="15"/>
    <n v="30"/>
  </r>
  <r>
    <x v="51"/>
    <s v="Egg pot vase"/>
    <s v="Terracotta"/>
    <n v="10"/>
    <n v="59"/>
    <n v="194"/>
    <n v="102"/>
    <n v="2"/>
    <m/>
    <m/>
    <m/>
    <m/>
    <x v="1"/>
    <n v="96"/>
    <n v="3"/>
    <n v="30"/>
    <n v="29"/>
  </r>
  <r>
    <x v="52"/>
    <s v="Egg pot vase"/>
    <s v="Terracotta"/>
    <n v="13"/>
    <n v="75"/>
    <n v="147"/>
    <n v="110"/>
    <n v="17"/>
    <m/>
    <m/>
    <m/>
    <m/>
    <x v="1"/>
    <n v="91"/>
    <n v="3"/>
    <n v="39"/>
    <n v="36"/>
  </r>
  <r>
    <x v="53"/>
    <s v="Egg pot vase"/>
    <s v="Terracotta"/>
    <n v="17"/>
    <n v="90"/>
    <n v="133"/>
    <n v="93"/>
    <n v="8"/>
    <m/>
    <m/>
    <m/>
    <m/>
    <x v="1"/>
    <n v="95"/>
    <n v="3"/>
    <n v="51"/>
    <n v="39"/>
  </r>
  <r>
    <x v="54"/>
    <s v="Rectangular container"/>
    <s v="Terracotta"/>
    <n v="8"/>
    <n v="45"/>
    <n v="173"/>
    <n v="91"/>
    <n v="75"/>
    <m/>
    <m/>
    <m/>
    <m/>
    <x v="1"/>
    <n v="91"/>
    <n v="3"/>
    <n v="24"/>
    <n v="21"/>
  </r>
  <r>
    <x v="55"/>
    <s v="Rectangular container"/>
    <s v="Terracotta"/>
    <n v="10"/>
    <n v="60"/>
    <n v="430"/>
    <n v="223"/>
    <n v="157"/>
    <m/>
    <m/>
    <m/>
    <m/>
    <x v="1"/>
    <n v="95"/>
    <n v="3"/>
    <n v="30"/>
    <n v="30"/>
  </r>
  <r>
    <x v="56"/>
    <s v="Rectangular container"/>
    <s v="Terracotta"/>
    <n v="15"/>
    <n v="77"/>
    <n v="109"/>
    <n v="102"/>
    <n v="32"/>
    <m/>
    <m/>
    <m/>
    <m/>
    <x v="1"/>
    <n v="98"/>
    <n v="3"/>
    <n v="45"/>
    <n v="32"/>
  </r>
  <r>
    <x v="57"/>
    <s v="Rectangular container"/>
    <s v="Terracotta"/>
    <n v="5"/>
    <n v="45"/>
    <n v="79"/>
    <n v="29"/>
    <m/>
    <m/>
    <m/>
    <m/>
    <m/>
    <x v="1"/>
    <n v="95"/>
    <n v="3"/>
    <n v="15"/>
    <n v="30"/>
  </r>
  <r>
    <x v="58"/>
    <s v="Square"/>
    <s v="Terracotta"/>
    <n v="5"/>
    <n v="32"/>
    <n v="82"/>
    <n v="33"/>
    <n v="20"/>
    <m/>
    <m/>
    <m/>
    <m/>
    <x v="1"/>
    <n v="92"/>
    <n v="3"/>
    <n v="15"/>
    <n v="17"/>
  </r>
  <r>
    <x v="59"/>
    <s v="Square"/>
    <s v="Terracotta"/>
    <n v="7"/>
    <n v="45"/>
    <n v="153"/>
    <n v="93"/>
    <n v="50"/>
    <m/>
    <m/>
    <m/>
    <m/>
    <x v="1"/>
    <n v="93"/>
    <n v="3"/>
    <n v="21"/>
    <n v="24"/>
  </r>
  <r>
    <x v="60"/>
    <s v="Square"/>
    <s v="Terracotta"/>
    <n v="8"/>
    <n v="51"/>
    <n v="90"/>
    <n v="35"/>
    <n v="15"/>
    <m/>
    <m/>
    <m/>
    <m/>
    <x v="1"/>
    <n v="100"/>
    <n v="3"/>
    <n v="24"/>
    <n v="27"/>
  </r>
  <r>
    <x v="61"/>
    <s v="Square"/>
    <s v="Terracotta"/>
    <n v="11"/>
    <n v="60"/>
    <n v="24"/>
    <n v="21"/>
    <n v="3"/>
    <m/>
    <m/>
    <m/>
    <m/>
    <x v="1"/>
    <n v="94"/>
    <n v="3"/>
    <n v="33"/>
    <n v="27"/>
  </r>
  <r>
    <x v="62"/>
    <s v="Tall square"/>
    <s v="Terracotta"/>
    <n v="15"/>
    <n v="45"/>
    <n v="103"/>
    <n v="77"/>
    <n v="4"/>
    <m/>
    <m/>
    <m/>
    <m/>
    <x v="1"/>
    <n v="94"/>
    <n v="3"/>
    <n v="45"/>
    <n v="0"/>
  </r>
  <r>
    <x v="63"/>
    <s v="Tall square"/>
    <s v="Terracotta"/>
    <n v="15"/>
    <n v="48"/>
    <n v="54"/>
    <n v="0"/>
    <n v="0"/>
    <m/>
    <m/>
    <m/>
    <m/>
    <x v="1"/>
    <n v="100"/>
    <n v="3"/>
    <n v="45"/>
    <n v="3"/>
  </r>
  <r>
    <x v="64"/>
    <s v="Tall square"/>
    <s v="Terracotta"/>
    <n v="15"/>
    <n v="50"/>
    <n v="35"/>
    <n v="85"/>
    <n v="5"/>
    <m/>
    <m/>
    <m/>
    <m/>
    <x v="1"/>
    <n v="93"/>
    <n v="3"/>
    <n v="45"/>
    <n v="5"/>
  </r>
  <r>
    <x v="65"/>
    <s v="Tall square"/>
    <s v="Terracotta"/>
    <n v="15"/>
    <n v="50"/>
    <n v="235"/>
    <n v="55"/>
    <n v="39"/>
    <m/>
    <m/>
    <m/>
    <m/>
    <x v="1"/>
    <n v="90"/>
    <n v="3"/>
    <n v="45"/>
    <n v="5"/>
  </r>
  <r>
    <x v="66"/>
    <s v="Tall vase"/>
    <s v="Terracotta"/>
    <n v="10"/>
    <n v="73"/>
    <n v="70"/>
    <n v="7"/>
    <m/>
    <m/>
    <m/>
    <m/>
    <m/>
    <x v="1"/>
    <n v="90"/>
    <n v="3"/>
    <n v="30"/>
    <n v="43"/>
  </r>
  <r>
    <x v="67"/>
    <s v="Tall vase"/>
    <s v="Terracotta"/>
    <n v="12"/>
    <n v="79"/>
    <n v="35"/>
    <n v="35"/>
    <n v="5"/>
    <m/>
    <m/>
    <m/>
    <m/>
    <x v="1"/>
    <n v="92"/>
    <n v="3"/>
    <n v="36"/>
    <n v="43"/>
  </r>
  <r>
    <x v="68"/>
    <s v="Plain vase"/>
    <s v="Terracotta"/>
    <n v="15"/>
    <n v="85"/>
    <n v="150"/>
    <n v="50"/>
    <n v="4"/>
    <m/>
    <m/>
    <m/>
    <m/>
    <x v="1"/>
    <n v="95"/>
    <n v="3"/>
    <n v="45"/>
    <n v="40"/>
  </r>
  <r>
    <x v="69"/>
    <s v="Plain vase"/>
    <s v="Terracotta"/>
    <n v="5"/>
    <n v="30"/>
    <n v="235"/>
    <n v="160"/>
    <n v="23"/>
    <m/>
    <m/>
    <m/>
    <m/>
    <x v="1"/>
    <n v="99"/>
    <n v="3"/>
    <n v="15"/>
    <n v="15"/>
  </r>
  <r>
    <x v="70"/>
    <s v="Plain vase"/>
    <s v="Terracotta"/>
    <n v="7"/>
    <n v="35"/>
    <n v="210"/>
    <n v="172"/>
    <n v="25"/>
    <n v="0"/>
    <n v="0"/>
    <m/>
    <m/>
    <x v="1"/>
    <n v="94"/>
    <n v="3"/>
    <n v="21"/>
    <n v="14"/>
  </r>
  <r>
    <x v="71"/>
    <s v="Plain vase"/>
    <s v="Terracotta"/>
    <n v="9"/>
    <n v="45"/>
    <n v="312"/>
    <n v="108"/>
    <n v="30"/>
    <n v="0"/>
    <n v="0"/>
    <m/>
    <m/>
    <x v="1"/>
    <n v="99"/>
    <n v="3"/>
    <n v="27"/>
    <n v="18"/>
  </r>
  <r>
    <x v="72"/>
    <s v="Plain vase"/>
    <s v="Terracotta"/>
    <n v="10.5"/>
    <n v="55"/>
    <n v="289"/>
    <n v="193"/>
    <n v="205"/>
    <n v="0"/>
    <n v="0"/>
    <m/>
    <m/>
    <x v="1"/>
    <n v="91"/>
    <n v="3"/>
    <n v="31.5"/>
    <n v="23.5"/>
  </r>
  <r>
    <x v="73"/>
    <s v="Plain vase"/>
    <s v="Terracotta"/>
    <n v="12"/>
    <n v="65"/>
    <n v="240"/>
    <n v="170"/>
    <n v="15"/>
    <n v="0"/>
    <n v="0"/>
    <m/>
    <m/>
    <x v="1"/>
    <n v="97"/>
    <n v="3"/>
    <n v="36"/>
    <n v="29"/>
  </r>
  <r>
    <x v="74"/>
    <s v="Garlanded vase"/>
    <s v="Terracotta"/>
    <n v="13"/>
    <n v="75"/>
    <n v="13"/>
    <n v="0"/>
    <n v="0"/>
    <n v="0"/>
    <n v="0"/>
    <m/>
    <m/>
    <x v="1"/>
    <n v="99"/>
    <n v="3"/>
    <n v="39"/>
    <n v="36"/>
  </r>
  <r>
    <x v="75"/>
    <s v="Garlanded vase"/>
    <s v="Terracotta"/>
    <n v="15"/>
    <n v="88"/>
    <n v="18"/>
    <n v="0"/>
    <n v="0"/>
    <n v="0"/>
    <n v="0"/>
    <m/>
    <m/>
    <x v="1"/>
    <n v="90"/>
    <n v="3"/>
    <n v="45"/>
    <n v="43"/>
  </r>
  <r>
    <x v="76"/>
    <s v="Window Box"/>
    <s v="Terracotta"/>
    <n v="9"/>
    <n v="64"/>
    <n v="7"/>
    <n v="25"/>
    <n v="25"/>
    <n v="0"/>
    <n v="0"/>
    <m/>
    <m/>
    <x v="1"/>
    <n v="99"/>
    <n v="3"/>
    <n v="27"/>
    <n v="37"/>
  </r>
  <r>
    <x v="77"/>
    <s v="Olympic dual bin"/>
    <s v="Black"/>
    <n v="40"/>
    <n v="450"/>
    <n v="487"/>
    <n v="450"/>
    <n v="954"/>
    <n v="25"/>
    <n v="0"/>
    <n v="0"/>
    <n v="0"/>
    <x v="2"/>
    <n v="90"/>
    <n v="2.8"/>
    <n v="112"/>
    <n v="338"/>
  </r>
  <r>
    <x v="78"/>
    <s v="Ample bin"/>
    <s v="Black"/>
    <n v="20"/>
    <n v="150"/>
    <n v="230"/>
    <n v="215"/>
    <n v="150"/>
    <n v="20"/>
    <n v="80"/>
    <n v="40"/>
    <n v="50"/>
    <x v="2"/>
    <n v="97"/>
    <n v="2.8"/>
    <n v="56"/>
    <n v="94"/>
  </r>
  <r>
    <x v="79"/>
    <s v="Stipple bin"/>
    <s v="Black"/>
    <n v="10"/>
    <n v="55"/>
    <n v="200"/>
    <n v="233"/>
    <n v="150"/>
    <n v="200"/>
    <n v="148"/>
    <n v="150"/>
    <n v="170"/>
    <x v="2"/>
    <n v="96"/>
    <n v="2.8"/>
    <n v="28"/>
    <n v="27"/>
  </r>
  <r>
    <x v="80"/>
    <s v="West min bin"/>
    <s v="Black"/>
    <n v="12"/>
    <n v="75"/>
    <n v="315"/>
    <n v="467"/>
    <n v="580"/>
    <n v="443"/>
    <n v="521"/>
    <n v="342"/>
    <n v="155"/>
    <x v="2"/>
    <n v="96"/>
    <n v="2.8"/>
    <n v="33.599999999999994"/>
    <n v="41.400000000000006"/>
  </r>
  <r>
    <x v="81"/>
    <s v="Penguin bin"/>
    <s v="Black"/>
    <n v="30"/>
    <n v="250"/>
    <n v="70"/>
    <n v="55"/>
    <n v="30"/>
    <n v="55"/>
    <n v="168"/>
    <n v="213"/>
    <n v="230"/>
    <x v="2"/>
    <n v="90"/>
    <n v="2.8"/>
    <n v="84"/>
    <n v="166"/>
  </r>
  <r>
    <x v="82"/>
    <s v="Square hood bin"/>
    <s v="Black"/>
    <n v="25"/>
    <n v="180"/>
    <n v="40"/>
    <n v="30"/>
    <m/>
    <m/>
    <m/>
    <m/>
    <m/>
    <x v="2"/>
    <n v="91"/>
    <n v="2.8"/>
    <n v="70"/>
    <n v="110"/>
  </r>
  <r>
    <x v="83"/>
    <s v="West min liner"/>
    <s v="Black"/>
    <n v="4"/>
    <n v="50"/>
    <n v="332"/>
    <n v="280"/>
    <n v="309"/>
    <n v="280"/>
    <n v="255"/>
    <n v="244"/>
    <n v="158"/>
    <x v="2"/>
    <n v="94"/>
    <n v="2.8"/>
    <n v="11.2"/>
    <n v="38.799999999999997"/>
  </r>
  <r>
    <x v="84"/>
    <s v="Tapered hood bin"/>
    <s v="Black"/>
    <n v="35"/>
    <n v="300"/>
    <n v="19"/>
    <n v="41"/>
    <n v="40"/>
    <n v="23"/>
    <n v="70"/>
    <n v="22"/>
    <n v="25"/>
    <x v="2"/>
    <n v="97"/>
    <n v="2.8"/>
    <n v="98"/>
    <n v="202"/>
  </r>
  <r>
    <x v="85"/>
    <s v="Robin bin"/>
    <s v="Black"/>
    <n v="30"/>
    <n v="250"/>
    <n v="15"/>
    <n v="10"/>
    <n v="8"/>
    <n v="10"/>
    <n v="25"/>
    <n v="10"/>
    <n v="3"/>
    <x v="2"/>
    <n v="96"/>
    <n v="2.8"/>
    <n v="84"/>
    <n v="166"/>
  </r>
  <r>
    <x v="86"/>
    <s v="Enviro can recycle - post"/>
    <s v="Black"/>
    <n v="8"/>
    <n v="125"/>
    <n v="45"/>
    <n v="50"/>
    <n v="80"/>
    <n v="50"/>
    <n v="120"/>
    <n v="103"/>
    <n v="69"/>
    <x v="2"/>
    <n v="100"/>
    <n v="2.8"/>
    <n v="22.4"/>
    <n v="102.6"/>
  </r>
  <r>
    <x v="87"/>
    <s v="Eco bin"/>
    <s v="Black"/>
    <n v="30"/>
    <n v="200"/>
    <n v="20"/>
    <n v="25"/>
    <n v="60"/>
    <n v="45"/>
    <n v="55"/>
    <n v="130"/>
    <n v="0"/>
    <x v="2"/>
    <n v="91"/>
    <n v="2.8"/>
    <n v="84"/>
    <n v="116"/>
  </r>
  <r>
    <x v="88"/>
    <s v="Parot bin "/>
    <s v="Black"/>
    <n v="30"/>
    <n v="280"/>
    <n v="12"/>
    <n v="12"/>
    <n v="9"/>
    <n v="10"/>
    <n v="13"/>
    <n v="13"/>
    <n v="15"/>
    <x v="2"/>
    <n v="93"/>
    <n v="2.8"/>
    <n v="84"/>
    <n v="196"/>
  </r>
  <r>
    <x v="89"/>
    <s v="Bear bin"/>
    <s v="Black"/>
    <n v="45"/>
    <n v="300"/>
    <n v="23"/>
    <n v="20"/>
    <n v="15"/>
    <n v="10"/>
    <n v="13"/>
    <n v="20"/>
    <n v="15"/>
    <x v="2"/>
    <n v="98"/>
    <n v="2.8"/>
    <n v="125.99999999999999"/>
    <n v="174"/>
  </r>
  <r>
    <x v="90"/>
    <s v="Screwball post bin"/>
    <s v="Black"/>
    <n v="6"/>
    <n v="130"/>
    <n v="85"/>
    <n v="34"/>
    <n v="33"/>
    <n v="10"/>
    <n v="0"/>
    <n v="0"/>
    <n v="0"/>
    <x v="2"/>
    <n v="92"/>
    <n v="2.8"/>
    <n v="16.799999999999997"/>
    <n v="113.2"/>
  </r>
  <r>
    <x v="91"/>
    <s v="Slim bin"/>
    <s v="Black"/>
    <n v="25"/>
    <n v="99"/>
    <n v="65"/>
    <n v="50"/>
    <n v="95"/>
    <n v="89"/>
    <n v="66"/>
    <n v="30"/>
    <n v="0"/>
    <x v="2"/>
    <n v="93"/>
    <n v="2.8"/>
    <n v="70"/>
    <n v="29"/>
  </r>
  <r>
    <x v="92"/>
    <s v="Chick bin"/>
    <s v="Black"/>
    <n v="30"/>
    <n v="250"/>
    <n v="15"/>
    <n v="17"/>
    <n v="15"/>
    <n v="20"/>
    <n v="35"/>
    <n v="24"/>
    <n v="15"/>
    <x v="2"/>
    <n v="90"/>
    <n v="2.8"/>
    <n v="84"/>
    <n v="166"/>
  </r>
  <r>
    <x v="93"/>
    <s v="Westmin recycle"/>
    <s v="Black"/>
    <n v="30"/>
    <n v="300"/>
    <n v="25"/>
    <n v="30"/>
    <n v="10"/>
    <n v="20"/>
    <n v="43"/>
    <n v="55"/>
    <n v="10"/>
    <x v="2"/>
    <n v="98"/>
    <n v="2.8"/>
    <n v="84"/>
    <n v="216"/>
  </r>
  <r>
    <x v="94"/>
    <s v="Eviro bin - floor"/>
    <s v="Black"/>
    <n v="30"/>
    <n v="280"/>
    <n v="35"/>
    <n v="55"/>
    <n v="2"/>
    <n v="10"/>
    <n v="62"/>
    <n v="57"/>
    <n v="315"/>
    <x v="2"/>
    <n v="92"/>
    <n v="2.8"/>
    <n v="84"/>
    <n v="196"/>
  </r>
  <r>
    <x v="95"/>
    <s v="Poo bin"/>
    <s v="Black"/>
    <n v="7"/>
    <n v="120"/>
    <n v="10"/>
    <m/>
    <m/>
    <m/>
    <m/>
    <m/>
    <m/>
    <x v="2"/>
    <n v="98"/>
    <n v="2.8"/>
    <n v="19.599999999999998"/>
    <n v="100.4"/>
  </r>
  <r>
    <x v="96"/>
    <s v="Screwball post bin"/>
    <s v="Black"/>
    <n v="5"/>
    <n v="100"/>
    <n v="5"/>
    <n v="7"/>
    <n v="3"/>
    <n v="8"/>
    <n v="0"/>
    <n v="0"/>
    <n v="0"/>
    <x v="2"/>
    <n v="91"/>
    <n v="2.8"/>
    <n v="14"/>
    <n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Cup and Saucer"/>
    <x v="0"/>
    <n v="7"/>
    <n v="30"/>
    <n v="2132"/>
    <n v="2648"/>
    <n v="2712"/>
    <n v="1775"/>
    <n v="2302"/>
    <n v="2250"/>
    <n v="2532"/>
    <x v="0"/>
    <n v="91"/>
    <n v="2.8"/>
    <n v="19.599999999999998"/>
    <n v="10.400000000000002"/>
  </r>
  <r>
    <x v="0"/>
    <s v="Cup and Saucer "/>
    <x v="1"/>
    <n v="7"/>
    <n v="40"/>
    <n v="1300"/>
    <n v="1250"/>
    <n v="800"/>
    <n v="750"/>
    <n v="1200"/>
    <n v="2050"/>
    <n v="1980"/>
    <x v="0"/>
    <n v="97"/>
    <n v="3"/>
    <n v="21"/>
    <n v="19"/>
  </r>
  <r>
    <x v="0"/>
    <s v="Cup and Saucer"/>
    <x v="2"/>
    <n v="7"/>
    <n v="40"/>
    <n v="6"/>
    <n v="15"/>
    <m/>
    <m/>
    <m/>
    <m/>
    <m/>
    <x v="0"/>
    <n v="94"/>
    <n v="3"/>
    <n v="21"/>
    <n v="19"/>
  </r>
  <r>
    <x v="0"/>
    <s v="Cup and Saucer"/>
    <x v="3"/>
    <n v="7"/>
    <n v="40"/>
    <n v="135"/>
    <n v="46"/>
    <m/>
    <m/>
    <m/>
    <m/>
    <m/>
    <x v="0"/>
    <n v="95"/>
    <n v="3"/>
    <n v="21"/>
    <n v="19"/>
  </r>
  <r>
    <x v="1"/>
    <s v="Barrier Basket"/>
    <x v="0"/>
    <n v="6"/>
    <n v="40"/>
    <n v="405"/>
    <n v="534"/>
    <n v="987"/>
    <n v="1917"/>
    <n v="1047"/>
    <n v="326"/>
    <n v="857"/>
    <x v="0"/>
    <n v="92"/>
    <n v="2.8"/>
    <n v="16.799999999999997"/>
    <n v="23.200000000000003"/>
  </r>
  <r>
    <x v="1"/>
    <s v="Barrier Basket"/>
    <x v="1"/>
    <n v="6"/>
    <n v="50"/>
    <n v="450"/>
    <n v="300"/>
    <n v="230"/>
    <n v="200"/>
    <n v="225"/>
    <n v="705"/>
    <n v="680"/>
    <x v="0"/>
    <n v="92"/>
    <n v="3"/>
    <n v="18"/>
    <n v="32"/>
  </r>
  <r>
    <x v="1"/>
    <s v="Barrier Basket"/>
    <x v="4"/>
    <n v="6"/>
    <n v="55"/>
    <n v="530"/>
    <n v="135"/>
    <m/>
    <m/>
    <m/>
    <m/>
    <m/>
    <x v="0"/>
    <n v="90"/>
    <n v="3.2"/>
    <n v="19.200000000000003"/>
    <n v="35.799999999999997"/>
  </r>
  <r>
    <x v="2"/>
    <s v="Octagonal fountain"/>
    <x v="0"/>
    <n v="35"/>
    <n v="185"/>
    <n v="112"/>
    <n v="98"/>
    <n v="92"/>
    <n v="235"/>
    <n v="176"/>
    <n v="88"/>
    <n v="28"/>
    <x v="0"/>
    <n v="97"/>
    <n v="2.8"/>
    <n v="98"/>
    <n v="87"/>
  </r>
  <r>
    <x v="2"/>
    <s v="Octagonal fountain"/>
    <x v="1"/>
    <n v="35"/>
    <n v="250"/>
    <n v="230"/>
    <n v="187"/>
    <n v="135"/>
    <n v="87"/>
    <n v="53"/>
    <n v="235"/>
    <n v="200"/>
    <x v="0"/>
    <n v="96"/>
    <n v="3"/>
    <n v="105"/>
    <n v="145"/>
  </r>
  <r>
    <x v="2"/>
    <s v="Octagonal fountain"/>
    <x v="5"/>
    <n v="35"/>
    <n v="250"/>
    <n v="26"/>
    <n v="13"/>
    <m/>
    <m/>
    <m/>
    <m/>
    <m/>
    <x v="0"/>
    <n v="95"/>
    <n v="0"/>
    <n v="0"/>
    <n v="250"/>
  </r>
  <r>
    <x v="2"/>
    <s v="Octagonal fountain"/>
    <x v="6"/>
    <n v="35"/>
    <n v="250"/>
    <n v="135"/>
    <n v="78"/>
    <m/>
    <m/>
    <m/>
    <m/>
    <m/>
    <x v="0"/>
    <n v="95"/>
    <n v="0"/>
    <n v="0"/>
    <n v="250"/>
  </r>
  <r>
    <x v="2"/>
    <s v="Octagonal fountain"/>
    <x v="7"/>
    <n v="35"/>
    <n v="250"/>
    <n v="15"/>
    <n v="8"/>
    <m/>
    <m/>
    <m/>
    <m/>
    <m/>
    <x v="0"/>
    <n v="97"/>
    <n v="3.2"/>
    <n v="112"/>
    <n v="138"/>
  </r>
  <r>
    <x v="2"/>
    <s v="Octagonal fountain"/>
    <x v="4"/>
    <n v="35"/>
    <n v="250"/>
    <n v="76"/>
    <n v="55"/>
    <m/>
    <m/>
    <m/>
    <m/>
    <m/>
    <x v="0"/>
    <n v="95"/>
    <n v="3.2"/>
    <n v="112"/>
    <n v="138"/>
  </r>
  <r>
    <x v="3"/>
    <s v="Cup and Saucer on pole"/>
    <x v="0"/>
    <n v="7"/>
    <n v="45"/>
    <n v="1064"/>
    <n v="1153"/>
    <n v="1979"/>
    <n v="2901"/>
    <n v="2434"/>
    <n v="1693"/>
    <n v="1311"/>
    <x v="0"/>
    <n v="94"/>
    <n v="2.8"/>
    <n v="19.599999999999998"/>
    <n v="25.400000000000002"/>
  </r>
  <r>
    <x v="3"/>
    <s v="Cup and Saucer on pole"/>
    <x v="1"/>
    <n v="7"/>
    <n v="55"/>
    <n v="1578"/>
    <n v="1450"/>
    <n v="1135"/>
    <n v="957"/>
    <n v="2300"/>
    <n v="2780"/>
    <n v="2800"/>
    <x v="0"/>
    <n v="95"/>
    <n v="3"/>
    <n v="21"/>
    <n v="34"/>
  </r>
  <r>
    <x v="3"/>
    <s v="Cup and Saucer on pole"/>
    <x v="8"/>
    <n v="7"/>
    <n v="55"/>
    <n v="23"/>
    <n v="15"/>
    <m/>
    <m/>
    <m/>
    <m/>
    <m/>
    <x v="0"/>
    <n v="90"/>
    <n v="3"/>
    <n v="21"/>
    <n v="34"/>
  </r>
  <r>
    <x v="4"/>
    <s v="Barrel"/>
    <x v="9"/>
    <n v="15"/>
    <n v="75"/>
    <n v="496"/>
    <n v="557"/>
    <m/>
    <m/>
    <m/>
    <m/>
    <m/>
    <x v="0"/>
    <n v="91"/>
    <n v="3"/>
    <n v="45"/>
    <n v="30"/>
  </r>
  <r>
    <x v="5"/>
    <s v="Bee hive fountain (5)"/>
    <x v="0"/>
    <n v="55"/>
    <n v="530"/>
    <n v="58"/>
    <n v="75"/>
    <n v="39"/>
    <n v="16"/>
    <n v="21"/>
    <n v="60"/>
    <n v="64"/>
    <x v="0"/>
    <n v="100"/>
    <n v="2.8"/>
    <n v="154"/>
    <n v="376"/>
  </r>
  <r>
    <x v="5"/>
    <s v="Bee hive fountain (5)"/>
    <x v="1"/>
    <n v="55"/>
    <n v="600"/>
    <n v="66"/>
    <n v="35"/>
    <n v="12"/>
    <n v="15"/>
    <n v="33"/>
    <n v="50"/>
    <n v="45"/>
    <x v="0"/>
    <n v="94"/>
    <n v="3"/>
    <n v="165"/>
    <n v="435"/>
  </r>
  <r>
    <x v="5"/>
    <s v="Bee hive fountain (5)"/>
    <x v="4"/>
    <n v="55"/>
    <n v="600"/>
    <n v="35"/>
    <n v="14"/>
    <m/>
    <m/>
    <m/>
    <m/>
    <m/>
    <x v="0"/>
    <n v="90"/>
    <n v="3.2"/>
    <n v="176"/>
    <n v="424"/>
  </r>
  <r>
    <x v="5"/>
    <s v="Bee hive fountain (5)"/>
    <x v="6"/>
    <n v="55"/>
    <n v="615"/>
    <n v="57"/>
    <n v="35"/>
    <m/>
    <m/>
    <m/>
    <m/>
    <m/>
    <x v="0"/>
    <n v="93"/>
    <n v="0"/>
    <n v="0"/>
    <n v="615"/>
  </r>
  <r>
    <x v="6"/>
    <s v="Bee hive fountain (6)"/>
    <x v="0"/>
    <n v="65"/>
    <n v="584"/>
    <n v="51"/>
    <n v="78"/>
    <n v="193"/>
    <n v="0"/>
    <n v="0"/>
    <n v="0"/>
    <n v="0"/>
    <x v="0"/>
    <n v="94"/>
    <n v="2.8"/>
    <n v="182"/>
    <n v="402"/>
  </r>
  <r>
    <x v="6"/>
    <s v="Bee hive fountain (6)"/>
    <x v="1"/>
    <n v="65"/>
    <n v="650"/>
    <n v="158"/>
    <n v="113"/>
    <n v="250"/>
    <m/>
    <m/>
    <m/>
    <m/>
    <x v="0"/>
    <n v="97"/>
    <n v="3"/>
    <n v="195"/>
    <n v="455"/>
  </r>
  <r>
    <x v="6"/>
    <s v="Bee hive fountain (6)"/>
    <x v="8"/>
    <n v="65"/>
    <n v="650"/>
    <n v="3"/>
    <m/>
    <m/>
    <m/>
    <m/>
    <m/>
    <m/>
    <x v="0"/>
    <n v="98"/>
    <n v="3"/>
    <n v="195"/>
    <n v="455"/>
  </r>
  <r>
    <x v="6"/>
    <s v="Bee hive fountain (6)"/>
    <x v="10"/>
    <n v="65"/>
    <n v="700"/>
    <m/>
    <n v="5"/>
    <m/>
    <m/>
    <m/>
    <m/>
    <m/>
    <x v="0"/>
    <n v="98"/>
    <n v="3.2"/>
    <n v="208"/>
    <n v="492"/>
  </r>
  <r>
    <x v="6"/>
    <s v="Bee hive fountain (6)"/>
    <x v="6"/>
    <n v="65"/>
    <n v="700"/>
    <n v="5"/>
    <m/>
    <m/>
    <m/>
    <m/>
    <m/>
    <m/>
    <x v="0"/>
    <n v="99"/>
    <n v="0"/>
    <n v="0"/>
    <n v="700"/>
  </r>
  <r>
    <x v="6"/>
    <s v="Bee hive fountain (6)"/>
    <x v="4"/>
    <n v="65"/>
    <n v="700"/>
    <n v="53"/>
    <n v="28"/>
    <m/>
    <m/>
    <m/>
    <m/>
    <m/>
    <x v="0"/>
    <n v="93"/>
    <n v="3.2"/>
    <n v="208"/>
    <n v="492"/>
  </r>
  <r>
    <x v="7"/>
    <s v="Half basket up the pole"/>
    <x v="0"/>
    <n v="5"/>
    <n v="65"/>
    <n v="728"/>
    <n v="871"/>
    <n v="913"/>
    <n v="1800"/>
    <n v="1315"/>
    <n v="577"/>
    <n v="573"/>
    <x v="0"/>
    <n v="93"/>
    <n v="2.8"/>
    <n v="14"/>
    <n v="51"/>
  </r>
  <r>
    <x v="7"/>
    <s v="Half basket up the pole"/>
    <x v="1"/>
    <n v="5"/>
    <n v="70"/>
    <n v="890"/>
    <n v="765"/>
    <n v="521"/>
    <n v="220"/>
    <n v="349"/>
    <n v="1385"/>
    <n v="1290"/>
    <x v="0"/>
    <n v="93"/>
    <n v="3"/>
    <n v="15"/>
    <n v="55"/>
  </r>
  <r>
    <x v="7"/>
    <s v="Half basket up the pole"/>
    <x v="3"/>
    <n v="5"/>
    <n v="70"/>
    <n v="23"/>
    <n v="5"/>
    <m/>
    <m/>
    <m/>
    <m/>
    <m/>
    <x v="0"/>
    <n v="93"/>
    <n v="3"/>
    <n v="15"/>
    <n v="55"/>
  </r>
  <r>
    <x v="7"/>
    <s v="Half basket up the pole"/>
    <x v="8"/>
    <n v="5"/>
    <n v="70"/>
    <n v="15"/>
    <m/>
    <m/>
    <m/>
    <m/>
    <m/>
    <m/>
    <x v="0"/>
    <n v="99"/>
    <n v="3"/>
    <n v="15"/>
    <n v="55"/>
  </r>
  <r>
    <x v="8"/>
    <s v="Cup and Saucer (HB)"/>
    <x v="0"/>
    <n v="5"/>
    <n v="45"/>
    <n v="787"/>
    <n v="478"/>
    <n v="1235"/>
    <n v="1450"/>
    <n v="1728"/>
    <n v="1182"/>
    <n v="999"/>
    <x v="0"/>
    <n v="97"/>
    <n v="2.8"/>
    <n v="14"/>
    <n v="31"/>
  </r>
  <r>
    <x v="8"/>
    <s v="Cup and Saucer (HB)"/>
    <x v="1"/>
    <n v="5"/>
    <n v="50"/>
    <n v="860"/>
    <n v="744"/>
    <n v="343"/>
    <n v="320"/>
    <n v="287"/>
    <n v="680"/>
    <n v="623"/>
    <x v="0"/>
    <n v="96"/>
    <n v="3"/>
    <n v="15"/>
    <n v="35"/>
  </r>
  <r>
    <x v="8"/>
    <s v="Cup and Saucer (HB)"/>
    <x v="11"/>
    <n v="5"/>
    <n v="60"/>
    <n v="23"/>
    <n v="35"/>
    <m/>
    <m/>
    <m/>
    <m/>
    <m/>
    <x v="0"/>
    <n v="95"/>
    <n v="3.2"/>
    <n v="16"/>
    <n v="44"/>
  </r>
  <r>
    <x v="9"/>
    <s v="Meter sq planter"/>
    <x v="0"/>
    <n v="35"/>
    <n v="135"/>
    <n v="116"/>
    <n v="164"/>
    <n v="319"/>
    <n v="251"/>
    <n v="207"/>
    <n v="182"/>
    <n v="54"/>
    <x v="0"/>
    <n v="96"/>
    <n v="2.8"/>
    <n v="98"/>
    <n v="37"/>
  </r>
  <r>
    <x v="9"/>
    <s v="Meter sq planter"/>
    <x v="4"/>
    <n v="35"/>
    <n v="180"/>
    <m/>
    <n v="89"/>
    <m/>
    <m/>
    <m/>
    <m/>
    <m/>
    <x v="0"/>
    <n v="92"/>
    <n v="3.2"/>
    <n v="112"/>
    <n v="68"/>
  </r>
  <r>
    <x v="9"/>
    <s v="Meter sq planter"/>
    <x v="11"/>
    <n v="35"/>
    <n v="180"/>
    <n v="5"/>
    <m/>
    <m/>
    <m/>
    <m/>
    <m/>
    <m/>
    <x v="0"/>
    <n v="98"/>
    <n v="3.2"/>
    <n v="112"/>
    <n v="68"/>
  </r>
  <r>
    <x v="9"/>
    <s v="Meter sq planter"/>
    <x v="12"/>
    <n v="35"/>
    <n v="180"/>
    <n v="5"/>
    <m/>
    <m/>
    <m/>
    <m/>
    <m/>
    <m/>
    <x v="0"/>
    <n v="97"/>
    <n v="3.2"/>
    <n v="112"/>
    <n v="68"/>
  </r>
  <r>
    <x v="10"/>
    <s v="Half basket up the pole"/>
    <x v="0"/>
    <n v="4"/>
    <n v="45"/>
    <n v="962"/>
    <n v="1465"/>
    <n v="1334"/>
    <n v="2383"/>
    <n v="1525"/>
    <n v="1582"/>
    <n v="1539"/>
    <x v="0"/>
    <n v="100"/>
    <n v="2.8"/>
    <n v="11.2"/>
    <n v="33.799999999999997"/>
  </r>
  <r>
    <x v="10"/>
    <s v="Half basket up the pole"/>
    <x v="1"/>
    <n v="4"/>
    <n v="55"/>
    <n v="1450"/>
    <n v="834"/>
    <n v="620"/>
    <n v="348"/>
    <n v="930"/>
    <n v="870"/>
    <n v="850"/>
    <x v="0"/>
    <n v="96"/>
    <n v="3"/>
    <n v="12"/>
    <n v="43"/>
  </r>
  <r>
    <x v="10"/>
    <s v="Half basket up the pole"/>
    <x v="2"/>
    <n v="4"/>
    <n v="55"/>
    <m/>
    <n v="5"/>
    <m/>
    <m/>
    <m/>
    <m/>
    <m/>
    <x v="0"/>
    <n v="100"/>
    <n v="3"/>
    <n v="12"/>
    <n v="43"/>
  </r>
  <r>
    <x v="10"/>
    <s v="Half basket up the pole"/>
    <x v="3"/>
    <n v="4"/>
    <n v="55"/>
    <n v="5"/>
    <m/>
    <m/>
    <m/>
    <m/>
    <m/>
    <m/>
    <x v="0"/>
    <n v="95"/>
    <n v="3"/>
    <n v="12"/>
    <n v="43"/>
  </r>
  <r>
    <x v="10"/>
    <s v="Half basket up the pole"/>
    <x v="13"/>
    <n v="4"/>
    <n v="55"/>
    <m/>
    <n v="5"/>
    <m/>
    <m/>
    <m/>
    <m/>
    <m/>
    <x v="0"/>
    <n v="100"/>
    <n v="3"/>
    <n v="12"/>
    <n v="43"/>
  </r>
  <r>
    <x v="11"/>
    <s v="Barrier Basket Liner"/>
    <x v="0"/>
    <n v="3.5"/>
    <n v="25"/>
    <n v="604"/>
    <n v="339"/>
    <n v="853"/>
    <n v="2331"/>
    <n v="1049"/>
    <n v="326"/>
    <n v="708"/>
    <x v="0"/>
    <n v="99"/>
    <n v="2.8"/>
    <n v="9.7999999999999989"/>
    <n v="15.200000000000001"/>
  </r>
  <r>
    <x v="11"/>
    <s v="Barrier Basket Liner"/>
    <x v="1"/>
    <n v="3.5"/>
    <n v="35"/>
    <n v="1350"/>
    <n v="1200"/>
    <n v="567"/>
    <n v="200"/>
    <n v="540"/>
    <n v="1250"/>
    <n v="890"/>
    <x v="0"/>
    <n v="91"/>
    <n v="3"/>
    <n v="10.5"/>
    <n v="24.5"/>
  </r>
  <r>
    <x v="12"/>
    <s v="Conventional Hanging Basket"/>
    <x v="0"/>
    <n v="5"/>
    <n v="35"/>
    <n v="527"/>
    <n v="203"/>
    <n v="395"/>
    <n v="499"/>
    <n v="915"/>
    <n v="230"/>
    <n v="532"/>
    <x v="0"/>
    <n v="91"/>
    <n v="2.8"/>
    <n v="14"/>
    <n v="21"/>
  </r>
  <r>
    <x v="12"/>
    <s v="Conventional Hanging Basket"/>
    <x v="1"/>
    <n v="5"/>
    <n v="45"/>
    <n v="342"/>
    <n v="280"/>
    <n v="133"/>
    <n v="200"/>
    <n v="187"/>
    <n v="850"/>
    <n v="345"/>
    <x v="0"/>
    <n v="94"/>
    <n v="3"/>
    <n v="15"/>
    <n v="30"/>
  </r>
  <r>
    <x v="12"/>
    <s v="Conventional Hanging Basket"/>
    <x v="13"/>
    <n v="5"/>
    <n v="45"/>
    <n v="28"/>
    <n v="5"/>
    <m/>
    <m/>
    <m/>
    <m/>
    <m/>
    <x v="0"/>
    <n v="90"/>
    <n v="3"/>
    <n v="15"/>
    <n v="30"/>
  </r>
  <r>
    <x v="13"/>
    <s v="Meter sq planter (3)"/>
    <x v="0"/>
    <n v="55"/>
    <n v="375"/>
    <n v="36"/>
    <n v="40"/>
    <n v="45"/>
    <n v="141"/>
    <n v="156"/>
    <n v="73"/>
    <n v="39"/>
    <x v="0"/>
    <n v="92"/>
    <n v="2.8"/>
    <n v="154"/>
    <n v="221"/>
  </r>
  <r>
    <x v="13"/>
    <s v="Meter sq planter (3)"/>
    <x v="1"/>
    <n v="55"/>
    <n v="400"/>
    <n v="25"/>
    <n v="30"/>
    <n v="23"/>
    <n v="22"/>
    <n v="35"/>
    <n v="135"/>
    <n v="142"/>
    <x v="0"/>
    <n v="95"/>
    <n v="3"/>
    <n v="165"/>
    <n v="235"/>
  </r>
  <r>
    <x v="13"/>
    <s v="Meter sq planter (3)"/>
    <x v="4"/>
    <n v="55"/>
    <n v="510"/>
    <n v="33"/>
    <n v="15"/>
    <m/>
    <m/>
    <m/>
    <m/>
    <m/>
    <x v="0"/>
    <n v="98"/>
    <n v="3.2"/>
    <n v="176"/>
    <n v="334"/>
  </r>
  <r>
    <x v="13"/>
    <s v="Meter sq planter (3)"/>
    <x v="6"/>
    <n v="55"/>
    <n v="510"/>
    <n v="53"/>
    <n v="21"/>
    <m/>
    <m/>
    <m/>
    <m/>
    <m/>
    <x v="0"/>
    <n v="99"/>
    <n v="0"/>
    <n v="0"/>
    <n v="510"/>
  </r>
  <r>
    <x v="14"/>
    <s v="Floural fountain "/>
    <x v="0"/>
    <n v="40"/>
    <n v="359"/>
    <n v="41"/>
    <n v="106"/>
    <n v="81"/>
    <n v="215"/>
    <n v="255"/>
    <n v="72"/>
    <n v="21"/>
    <x v="0"/>
    <n v="93"/>
    <n v="2.8"/>
    <n v="112"/>
    <n v="247"/>
  </r>
  <r>
    <x v="14"/>
    <s v="Floural fountain "/>
    <x v="4"/>
    <n v="40"/>
    <n v="399"/>
    <n v="55"/>
    <n v="45"/>
    <m/>
    <m/>
    <m/>
    <m/>
    <m/>
    <x v="0"/>
    <n v="98"/>
    <n v="3.2"/>
    <n v="128"/>
    <n v="271"/>
  </r>
  <r>
    <x v="14"/>
    <s v="Floural fountain "/>
    <x v="6"/>
    <n v="40"/>
    <n v="399"/>
    <n v="30"/>
    <m/>
    <m/>
    <m/>
    <m/>
    <m/>
    <m/>
    <x v="0"/>
    <n v="99"/>
    <n v="0"/>
    <n v="0"/>
    <n v="399"/>
  </r>
  <r>
    <x v="15"/>
    <s v="Floor standing oval planter"/>
    <x v="4"/>
    <n v="30"/>
    <n v="120"/>
    <n v="42"/>
    <n v="47"/>
    <n v="12"/>
    <n v="7"/>
    <n v="71"/>
    <n v="29"/>
    <n v="31"/>
    <x v="0"/>
    <n v="96"/>
    <n v="3.2"/>
    <n v="96"/>
    <n v="24"/>
  </r>
  <r>
    <x v="15"/>
    <s v="Floor standing oval planter"/>
    <x v="6"/>
    <n v="30"/>
    <n v="150"/>
    <n v="26"/>
    <n v="25"/>
    <m/>
    <m/>
    <m/>
    <m/>
    <m/>
    <x v="0"/>
    <n v="100"/>
    <n v="0"/>
    <n v="0"/>
    <n v="150"/>
  </r>
  <r>
    <x v="15"/>
    <s v="Floor standing oval planter"/>
    <x v="3"/>
    <n v="30"/>
    <n v="120"/>
    <n v="5"/>
    <m/>
    <m/>
    <m/>
    <m/>
    <m/>
    <m/>
    <x v="0"/>
    <n v="96"/>
    <n v="3"/>
    <n v="90"/>
    <n v="30"/>
  </r>
  <r>
    <x v="15"/>
    <s v="Floor standing oval planter"/>
    <x v="13"/>
    <n v="30"/>
    <n v="120"/>
    <n v="8"/>
    <m/>
    <m/>
    <m/>
    <m/>
    <m/>
    <m/>
    <x v="0"/>
    <n v="97"/>
    <n v="3"/>
    <n v="90"/>
    <n v="30"/>
  </r>
  <r>
    <x v="16"/>
    <s v="Half barrier basket"/>
    <x v="0"/>
    <n v="9"/>
    <n v="45"/>
    <n v="80"/>
    <n v="71"/>
    <n v="200"/>
    <n v="114"/>
    <n v="210"/>
    <n v="116"/>
    <n v="408"/>
    <x v="0"/>
    <n v="97"/>
    <n v="2.8"/>
    <n v="25.2"/>
    <n v="19.8"/>
  </r>
  <r>
    <x v="16"/>
    <s v="Half barrier basket"/>
    <x v="1"/>
    <n v="9"/>
    <n v="55"/>
    <n v="230"/>
    <n v="185"/>
    <n v="74"/>
    <n v="67"/>
    <n v="55"/>
    <n v="80"/>
    <n v="250"/>
    <x v="0"/>
    <n v="90"/>
    <n v="3"/>
    <n v="27"/>
    <n v="28"/>
  </r>
  <r>
    <x v="17"/>
    <s v="Full barrier basket"/>
    <x v="0"/>
    <n v="7.5"/>
    <n v="58"/>
    <n v="94"/>
    <n v="138"/>
    <n v="124"/>
    <n v="72"/>
    <n v="10"/>
    <n v="0"/>
    <n v="0"/>
    <x v="0"/>
    <n v="99"/>
    <n v="2.8"/>
    <n v="21"/>
    <n v="37"/>
  </r>
  <r>
    <x v="17"/>
    <s v="Full barrier basket"/>
    <x v="1"/>
    <n v="7.5"/>
    <n v="70"/>
    <n v="360"/>
    <n v="245"/>
    <n v="133"/>
    <n v="88"/>
    <n v="10"/>
    <m/>
    <m/>
    <x v="0"/>
    <n v="99"/>
    <n v="3"/>
    <n v="22.5"/>
    <n v="47.5"/>
  </r>
  <r>
    <x v="17"/>
    <s v="Full barrier basket"/>
    <x v="13"/>
    <n v="7.5"/>
    <n v="70"/>
    <n v="5"/>
    <m/>
    <m/>
    <m/>
    <m/>
    <m/>
    <m/>
    <x v="0"/>
    <n v="96"/>
    <n v="3"/>
    <n v="22.5"/>
    <n v="47.5"/>
  </r>
  <r>
    <x v="18"/>
    <s v="Wall and window box"/>
    <x v="0"/>
    <n v="3.5"/>
    <n v="35"/>
    <n v="62"/>
    <n v="36"/>
    <n v="46"/>
    <n v="34"/>
    <n v="1"/>
    <n v="1"/>
    <n v="4"/>
    <x v="0"/>
    <n v="100"/>
    <n v="2.8"/>
    <n v="9.7999999999999989"/>
    <n v="25.200000000000003"/>
  </r>
  <r>
    <x v="18"/>
    <s v="Wall and window box"/>
    <x v="1"/>
    <n v="3.5"/>
    <n v="50"/>
    <n v="5"/>
    <m/>
    <m/>
    <m/>
    <m/>
    <m/>
    <m/>
    <x v="0"/>
    <n v="92"/>
    <n v="3"/>
    <n v="10.5"/>
    <n v="39.5"/>
  </r>
  <r>
    <x v="18"/>
    <s v="Wall and window box"/>
    <x v="8"/>
    <n v="3.5"/>
    <n v="50"/>
    <n v="3"/>
    <m/>
    <m/>
    <m/>
    <m/>
    <m/>
    <m/>
    <x v="0"/>
    <n v="93"/>
    <n v="3"/>
    <n v="10.5"/>
    <n v="39.5"/>
  </r>
  <r>
    <x v="18"/>
    <s v="Wall and window box"/>
    <x v="4"/>
    <n v="3.5"/>
    <n v="65"/>
    <n v="35"/>
    <m/>
    <m/>
    <m/>
    <m/>
    <m/>
    <m/>
    <x v="0"/>
    <n v="96"/>
    <n v="3.2"/>
    <n v="11.200000000000001"/>
    <n v="53.8"/>
  </r>
  <r>
    <x v="19"/>
    <s v="Wall and window box"/>
    <x v="0"/>
    <n v="5.5"/>
    <n v="75"/>
    <n v="45"/>
    <n v="3"/>
    <n v="10"/>
    <n v="21"/>
    <n v="1"/>
    <n v="40"/>
    <n v="41"/>
    <x v="0"/>
    <n v="91"/>
    <n v="2.8"/>
    <n v="15.399999999999999"/>
    <n v="59.6"/>
  </r>
  <r>
    <x v="19"/>
    <s v="Wall and window box"/>
    <x v="1"/>
    <n v="5.5"/>
    <n v="80"/>
    <n v="200"/>
    <n v="45"/>
    <n v="5"/>
    <m/>
    <m/>
    <m/>
    <m/>
    <x v="0"/>
    <n v="92"/>
    <n v="3"/>
    <n v="16.5"/>
    <n v="63.5"/>
  </r>
  <r>
    <x v="19"/>
    <s v="Wall and window box"/>
    <x v="4"/>
    <n v="5.5"/>
    <n v="95"/>
    <n v="35"/>
    <m/>
    <m/>
    <m/>
    <m/>
    <m/>
    <m/>
    <x v="0"/>
    <n v="96"/>
    <n v="3.2"/>
    <n v="17.600000000000001"/>
    <n v="77.400000000000006"/>
  </r>
  <r>
    <x v="20"/>
    <s v="Half pole basket"/>
    <x v="0"/>
    <n v="3.5"/>
    <n v="28"/>
    <n v="299"/>
    <n v="83"/>
    <n v="176"/>
    <n v="400"/>
    <n v="427"/>
    <n v="459"/>
    <n v="369"/>
    <x v="0"/>
    <n v="99"/>
    <n v="2.8"/>
    <n v="9.7999999999999989"/>
    <n v="18.200000000000003"/>
  </r>
  <r>
    <x v="20"/>
    <s v="Half pole basket"/>
    <x v="1"/>
    <n v="3.5"/>
    <n v="35"/>
    <n v="433"/>
    <n v="350"/>
    <n v="235"/>
    <n v="170"/>
    <n v="55"/>
    <n v="135"/>
    <n v="120"/>
    <x v="0"/>
    <n v="99"/>
    <n v="3"/>
    <n v="10.5"/>
    <n v="24.5"/>
  </r>
  <r>
    <x v="20"/>
    <s v="Half pole basket"/>
    <x v="13"/>
    <n v="3.5"/>
    <n v="35"/>
    <m/>
    <n v="13"/>
    <m/>
    <m/>
    <m/>
    <m/>
    <m/>
    <x v="0"/>
    <n v="100"/>
    <n v="3"/>
    <n v="10.5"/>
    <n v="24.5"/>
  </r>
  <r>
    <x v="21"/>
    <s v="Wall and window box"/>
    <x v="0"/>
    <n v="8"/>
    <n v="65"/>
    <n v="163"/>
    <n v="33"/>
    <n v="68"/>
    <n v="32"/>
    <n v="138"/>
    <n v="386"/>
    <n v="233"/>
    <x v="0"/>
    <n v="91"/>
    <n v="2.8"/>
    <n v="22.4"/>
    <n v="42.6"/>
  </r>
  <r>
    <x v="21"/>
    <s v="Wall and window box"/>
    <x v="1"/>
    <n v="8"/>
    <n v="80"/>
    <n v="189"/>
    <n v="144"/>
    <n v="64"/>
    <m/>
    <n v="87"/>
    <n v="153"/>
    <n v="145"/>
    <x v="0"/>
    <n v="98"/>
    <n v="3"/>
    <n v="24"/>
    <n v="56"/>
  </r>
  <r>
    <x v="21"/>
    <s v="Wall and window box"/>
    <x v="4"/>
    <n v="8"/>
    <n v="80"/>
    <n v="35"/>
    <n v="23"/>
    <m/>
    <m/>
    <m/>
    <m/>
    <m/>
    <x v="0"/>
    <n v="93"/>
    <n v="3.2"/>
    <n v="25.6"/>
    <n v="54.4"/>
  </r>
  <r>
    <x v="22"/>
    <s v="Half pole basket"/>
    <x v="0"/>
    <n v="3.5"/>
    <n v="25"/>
    <n v="382"/>
    <n v="425"/>
    <n v="323"/>
    <n v="238"/>
    <n v="484"/>
    <n v="394"/>
    <n v="213"/>
    <x v="0"/>
    <n v="97"/>
    <n v="2.8"/>
    <n v="9.7999999999999989"/>
    <n v="15.200000000000001"/>
  </r>
  <r>
    <x v="22"/>
    <s v="Half pole basket"/>
    <x v="1"/>
    <n v="3.5"/>
    <n v="35"/>
    <n v="530"/>
    <n v="480"/>
    <n v="257"/>
    <n v="200"/>
    <n v="230"/>
    <n v="580"/>
    <n v="578"/>
    <x v="0"/>
    <n v="95"/>
    <n v="3"/>
    <n v="10.5"/>
    <n v="24.5"/>
  </r>
  <r>
    <x v="23"/>
    <s v="Wall and window box"/>
    <x v="0"/>
    <n v="10"/>
    <n v="130"/>
    <n v="38"/>
    <n v="16"/>
    <n v="36"/>
    <n v="79"/>
    <n v="23"/>
    <n v="78"/>
    <n v="124"/>
    <x v="0"/>
    <n v="97"/>
    <n v="2.8"/>
    <n v="28"/>
    <n v="102"/>
  </r>
  <r>
    <x v="23"/>
    <s v="Wall and window box"/>
    <x v="1"/>
    <n v="10"/>
    <n v="145"/>
    <n v="45"/>
    <n v="35"/>
    <n v="30"/>
    <n v="20"/>
    <n v="15"/>
    <n v="50"/>
    <n v="45"/>
    <x v="0"/>
    <n v="100"/>
    <n v="3"/>
    <n v="30"/>
    <n v="115"/>
  </r>
  <r>
    <x v="23"/>
    <s v="Wall and window box"/>
    <x v="4"/>
    <n v="10"/>
    <n v="160"/>
    <n v="55"/>
    <m/>
    <m/>
    <m/>
    <m/>
    <m/>
    <m/>
    <x v="0"/>
    <n v="99"/>
    <n v="3.2"/>
    <n v="32"/>
    <n v="128"/>
  </r>
  <r>
    <x v="24"/>
    <s v="Half barrier basket"/>
    <x v="0"/>
    <n v="4.5"/>
    <n v="40"/>
    <n v="41"/>
    <n v="68"/>
    <n v="183"/>
    <n v="73"/>
    <n v="79"/>
    <n v="314"/>
    <n v="156"/>
    <x v="0"/>
    <n v="97"/>
    <n v="2.8"/>
    <n v="12.6"/>
    <n v="27.4"/>
  </r>
  <r>
    <x v="24"/>
    <s v="Half barrier basket"/>
    <x v="1"/>
    <n v="4.5"/>
    <n v="50"/>
    <n v="40"/>
    <n v="33"/>
    <n v="45"/>
    <n v="20"/>
    <n v="15"/>
    <n v="55"/>
    <n v="46"/>
    <x v="0"/>
    <n v="100"/>
    <n v="3"/>
    <n v="13.5"/>
    <n v="36.5"/>
  </r>
  <r>
    <x v="24"/>
    <s v="Half barrier basket"/>
    <x v="4"/>
    <n v="4.5"/>
    <n v="65"/>
    <n v="5"/>
    <m/>
    <m/>
    <m/>
    <m/>
    <m/>
    <m/>
    <x v="0"/>
    <n v="94"/>
    <n v="3.2"/>
    <n v="14.4"/>
    <n v="50.6"/>
  </r>
  <r>
    <x v="25"/>
    <s v="half cup and saucer up the pole"/>
    <x v="0"/>
    <n v="5"/>
    <n v="85"/>
    <n v="268"/>
    <n v="253"/>
    <n v="178"/>
    <n v="360"/>
    <n v="816"/>
    <n v="410"/>
    <n v="301"/>
    <x v="0"/>
    <n v="93"/>
    <n v="2.8"/>
    <n v="14"/>
    <n v="71"/>
  </r>
  <r>
    <x v="25"/>
    <s v="half cup and saucer up the pole"/>
    <x v="1"/>
    <n v="5"/>
    <n v="85"/>
    <n v="180"/>
    <m/>
    <m/>
    <m/>
    <m/>
    <m/>
    <m/>
    <x v="0"/>
    <n v="98"/>
    <n v="3"/>
    <n v="15"/>
    <n v="70"/>
  </r>
  <r>
    <x v="26"/>
    <s v="Half barrier basket"/>
    <x v="0"/>
    <n v="3.5"/>
    <n v="35"/>
    <n v="124"/>
    <n v="4"/>
    <n v="127"/>
    <n v="35"/>
    <n v="38"/>
    <n v="12"/>
    <n v="0"/>
    <x v="0"/>
    <n v="97"/>
    <n v="2.8"/>
    <n v="9.7999999999999989"/>
    <n v="25.200000000000003"/>
  </r>
  <r>
    <x v="26"/>
    <s v="Half barrier basket"/>
    <x v="1"/>
    <n v="3.5"/>
    <n v="45"/>
    <n v="24"/>
    <m/>
    <m/>
    <m/>
    <m/>
    <m/>
    <m/>
    <x v="0"/>
    <n v="91"/>
    <n v="3"/>
    <n v="10.5"/>
    <n v="34.5"/>
  </r>
  <r>
    <x v="26"/>
    <s v="Half barrier basket"/>
    <x v="4"/>
    <n v="3.5"/>
    <n v="60"/>
    <n v="3"/>
    <m/>
    <m/>
    <m/>
    <m/>
    <m/>
    <m/>
    <x v="0"/>
    <n v="94"/>
    <n v="3.2"/>
    <n v="11.200000000000001"/>
    <n v="48.8"/>
  </r>
  <r>
    <x v="27"/>
    <s v="Conventional Hanging Basket"/>
    <x v="0"/>
    <n v="5"/>
    <n v="56"/>
    <n v="61"/>
    <n v="97"/>
    <n v="29"/>
    <n v="91"/>
    <n v="62"/>
    <n v="419"/>
    <n v="37"/>
    <x v="0"/>
    <n v="96"/>
    <n v="2.8"/>
    <n v="14"/>
    <n v="42"/>
  </r>
  <r>
    <x v="27"/>
    <s v="Conventional Hanging Basket"/>
    <x v="1"/>
    <n v="5"/>
    <n v="66"/>
    <n v="87"/>
    <n v="65"/>
    <n v="50"/>
    <n v="67"/>
    <n v="50"/>
    <n v="35"/>
    <n v="55"/>
    <x v="0"/>
    <n v="91"/>
    <n v="3"/>
    <n v="15"/>
    <n v="51"/>
  </r>
  <r>
    <x v="27"/>
    <s v="Conventional Hanging Basket"/>
    <x v="13"/>
    <n v="5"/>
    <n v="66"/>
    <m/>
    <n v="5"/>
    <m/>
    <m/>
    <m/>
    <m/>
    <m/>
    <x v="0"/>
    <n v="91"/>
    <n v="3"/>
    <n v="15"/>
    <n v="51"/>
  </r>
  <r>
    <x v="27"/>
    <s v="Conventional Hanging Basket"/>
    <x v="2"/>
    <n v="5"/>
    <n v="66"/>
    <n v="1"/>
    <m/>
    <m/>
    <m/>
    <m/>
    <m/>
    <m/>
    <x v="0"/>
    <n v="98"/>
    <n v="3"/>
    <n v="15"/>
    <n v="51"/>
  </r>
  <r>
    <x v="28"/>
    <s v="Half barrier basket"/>
    <x v="0"/>
    <n v="8"/>
    <n v="65"/>
    <n v="60"/>
    <n v="68"/>
    <n v="315"/>
    <n v="56"/>
    <n v="132"/>
    <n v="160"/>
    <n v="168"/>
    <x v="0"/>
    <n v="99"/>
    <n v="2.8"/>
    <n v="22.4"/>
    <n v="42.6"/>
  </r>
  <r>
    <x v="28"/>
    <s v="Half barrier basket"/>
    <x v="1"/>
    <n v="8"/>
    <n v="75"/>
    <n v="135"/>
    <n v="100"/>
    <n v="87"/>
    <n v="15"/>
    <n v="57"/>
    <n v="180"/>
    <n v="167"/>
    <x v="0"/>
    <n v="100"/>
    <n v="3"/>
    <n v="24"/>
    <n v="51"/>
  </r>
  <r>
    <x v="28"/>
    <s v="Half barrier basket"/>
    <x v="4"/>
    <n v="8"/>
    <n v="85"/>
    <n v="5"/>
    <m/>
    <m/>
    <m/>
    <m/>
    <m/>
    <m/>
    <x v="0"/>
    <n v="97"/>
    <n v="3.2"/>
    <n v="25.6"/>
    <n v="59.4"/>
  </r>
  <r>
    <x v="29"/>
    <s v="Up the pole basket"/>
    <x v="0"/>
    <n v="7"/>
    <n v="69"/>
    <n v="32"/>
    <n v="20"/>
    <n v="24"/>
    <n v="49"/>
    <n v="40"/>
    <n v="69"/>
    <n v="59"/>
    <x v="0"/>
    <n v="94"/>
    <n v="2.8"/>
    <n v="19.599999999999998"/>
    <n v="49.400000000000006"/>
  </r>
  <r>
    <x v="29"/>
    <s v="Up the pole basket"/>
    <x v="1"/>
    <n v="7"/>
    <n v="79"/>
    <n v="40"/>
    <n v="32"/>
    <n v="45"/>
    <n v="13"/>
    <n v="25"/>
    <n v="66"/>
    <n v="45"/>
    <x v="0"/>
    <n v="92"/>
    <n v="3"/>
    <n v="21"/>
    <n v="58"/>
  </r>
  <r>
    <x v="29"/>
    <s v="Up the pole basket"/>
    <x v="4"/>
    <n v="7"/>
    <n v="90"/>
    <n v="25"/>
    <m/>
    <m/>
    <m/>
    <m/>
    <m/>
    <m/>
    <x v="0"/>
    <n v="92"/>
    <n v="3.2"/>
    <n v="22.400000000000002"/>
    <n v="67.599999999999994"/>
  </r>
  <r>
    <x v="29"/>
    <s v="Up the pole basket"/>
    <x v="13"/>
    <n v="7"/>
    <n v="79"/>
    <m/>
    <n v="3"/>
    <m/>
    <m/>
    <m/>
    <m/>
    <m/>
    <x v="0"/>
    <n v="93"/>
    <n v="3"/>
    <n v="21"/>
    <n v="58"/>
  </r>
  <r>
    <x v="30"/>
    <s v="Up the pole basket"/>
    <x v="0"/>
    <n v="5"/>
    <n v="39"/>
    <n v="36"/>
    <n v="49"/>
    <n v="38"/>
    <n v="69"/>
    <n v="39"/>
    <n v="46"/>
    <n v="8"/>
    <x v="0"/>
    <n v="94"/>
    <n v="2.8"/>
    <n v="14"/>
    <n v="25"/>
  </r>
  <r>
    <x v="30"/>
    <s v="Up the pole basket"/>
    <x v="1"/>
    <n v="5"/>
    <n v="49"/>
    <n v="68"/>
    <n v="55"/>
    <n v="20"/>
    <n v="25"/>
    <n v="30"/>
    <n v="44"/>
    <n v="10"/>
    <x v="0"/>
    <n v="93"/>
    <n v="3"/>
    <n v="15"/>
    <n v="34"/>
  </r>
  <r>
    <x v="30"/>
    <s v="Up the pole basket"/>
    <x v="13"/>
    <n v="5"/>
    <n v="49"/>
    <n v="1"/>
    <m/>
    <m/>
    <m/>
    <m/>
    <m/>
    <m/>
    <x v="0"/>
    <n v="100"/>
    <n v="3"/>
    <n v="15"/>
    <n v="34"/>
  </r>
  <r>
    <x v="30"/>
    <s v="Up the pole basket"/>
    <x v="3"/>
    <n v="5"/>
    <n v="49"/>
    <n v="1"/>
    <m/>
    <m/>
    <m/>
    <m/>
    <m/>
    <m/>
    <x v="0"/>
    <n v="95"/>
    <n v="3"/>
    <n v="15"/>
    <n v="34"/>
  </r>
  <r>
    <x v="31"/>
    <s v="Wall and window box"/>
    <x v="0"/>
    <n v="6"/>
    <n v="60"/>
    <n v="10"/>
    <n v="10"/>
    <n v="12"/>
    <n v="13"/>
    <n v="36"/>
    <n v="34"/>
    <n v="0"/>
    <x v="0"/>
    <n v="98"/>
    <n v="2.8"/>
    <n v="16.799999999999997"/>
    <n v="43.2"/>
  </r>
  <r>
    <x v="31"/>
    <s v="Wall and window box"/>
    <x v="1"/>
    <n v="6"/>
    <n v="70"/>
    <n v="3"/>
    <m/>
    <m/>
    <m/>
    <m/>
    <m/>
    <m/>
    <x v="0"/>
    <n v="94"/>
    <n v="3"/>
    <n v="18"/>
    <n v="52"/>
  </r>
  <r>
    <x v="31"/>
    <s v="Wall and window box"/>
    <x v="13"/>
    <n v="6"/>
    <n v="70"/>
    <m/>
    <n v="3"/>
    <m/>
    <m/>
    <m/>
    <m/>
    <m/>
    <x v="0"/>
    <n v="90"/>
    <n v="3"/>
    <n v="18"/>
    <n v="52"/>
  </r>
  <r>
    <x v="32"/>
    <s v="Half barrier basket"/>
    <x v="1"/>
    <n v="10"/>
    <n v="145"/>
    <n v="10"/>
    <m/>
    <m/>
    <m/>
    <m/>
    <m/>
    <m/>
    <x v="0"/>
    <n v="94"/>
    <n v="3"/>
    <n v="30"/>
    <n v="115"/>
  </r>
  <r>
    <x v="32"/>
    <s v="Half barrier basket"/>
    <x v="4"/>
    <n v="10"/>
    <n v="145"/>
    <n v="13"/>
    <n v="10"/>
    <m/>
    <m/>
    <m/>
    <m/>
    <m/>
    <x v="0"/>
    <n v="96"/>
    <n v="3.2"/>
    <n v="32"/>
    <n v="113"/>
  </r>
  <r>
    <x v="32"/>
    <s v="Half barrier basket"/>
    <x v="13"/>
    <n v="10"/>
    <n v="145"/>
    <n v="2"/>
    <m/>
    <m/>
    <m/>
    <m/>
    <m/>
    <m/>
    <x v="0"/>
    <n v="100"/>
    <n v="3"/>
    <n v="30"/>
    <n v="115"/>
  </r>
  <r>
    <x v="32"/>
    <s v="Half barrier basket"/>
    <x v="0"/>
    <n v="10"/>
    <n v="130"/>
    <n v="15"/>
    <n v="15"/>
    <m/>
    <m/>
    <m/>
    <m/>
    <m/>
    <x v="0"/>
    <n v="94"/>
    <n v="2.8"/>
    <n v="28"/>
    <n v="102"/>
  </r>
  <r>
    <x v="33"/>
    <s v="Half barrier basket liner"/>
    <x v="0"/>
    <n v="5.5"/>
    <n v="75"/>
    <n v="15"/>
    <n v="15"/>
    <n v="7"/>
    <n v="8"/>
    <n v="27"/>
    <n v="12"/>
    <n v="177"/>
    <x v="0"/>
    <n v="97"/>
    <n v="2.8"/>
    <n v="15.399999999999999"/>
    <n v="59.6"/>
  </r>
  <r>
    <x v="33"/>
    <s v="Half barrier basket liner"/>
    <x v="1"/>
    <n v="5.5"/>
    <n v="85"/>
    <n v="10"/>
    <m/>
    <m/>
    <m/>
    <m/>
    <m/>
    <m/>
    <x v="0"/>
    <n v="100"/>
    <n v="3"/>
    <n v="16.5"/>
    <n v="68.5"/>
  </r>
  <r>
    <x v="33"/>
    <s v="Half barrier basket liner"/>
    <x v="4"/>
    <n v="5.5"/>
    <n v="99"/>
    <n v="13"/>
    <n v="10"/>
    <m/>
    <m/>
    <m/>
    <m/>
    <m/>
    <x v="0"/>
    <n v="93"/>
    <n v="3.2"/>
    <n v="17.600000000000001"/>
    <n v="81.400000000000006"/>
  </r>
  <r>
    <x v="33"/>
    <s v="Half barrier basket liner"/>
    <x v="13"/>
    <n v="5.5"/>
    <n v="99"/>
    <n v="2"/>
    <m/>
    <m/>
    <m/>
    <m/>
    <m/>
    <m/>
    <x v="0"/>
    <n v="90"/>
    <n v="3"/>
    <n v="16.5"/>
    <n v="82.5"/>
  </r>
  <r>
    <x v="34"/>
    <s v="Terresterial Basket"/>
    <x v="1"/>
    <n v="6"/>
    <n v="60"/>
    <n v="444"/>
    <n v="294"/>
    <n v="180"/>
    <n v="222"/>
    <n v="493"/>
    <n v="450"/>
    <n v="0"/>
    <x v="0"/>
    <n v="96"/>
    <n v="3"/>
    <n v="18"/>
    <n v="42"/>
  </r>
  <r>
    <x v="35"/>
    <s v="Meter sq planter (1)"/>
    <x v="0"/>
    <n v="40"/>
    <n v="220"/>
    <n v="0"/>
    <n v="1"/>
    <n v="0"/>
    <n v="1"/>
    <n v="38"/>
    <m/>
    <m/>
    <x v="0"/>
    <n v="98"/>
    <n v="2.8"/>
    <n v="112"/>
    <n v="108"/>
  </r>
  <r>
    <x v="35"/>
    <s v="Meter sq planter (1)"/>
    <x v="1"/>
    <n v="40"/>
    <n v="250"/>
    <n v="1"/>
    <m/>
    <m/>
    <m/>
    <m/>
    <m/>
    <m/>
    <x v="0"/>
    <n v="100"/>
    <n v="3"/>
    <n v="120"/>
    <n v="130"/>
  </r>
  <r>
    <x v="35"/>
    <s v="Meter sq planter (1)"/>
    <x v="4"/>
    <n v="40"/>
    <n v="300"/>
    <m/>
    <n v="5"/>
    <m/>
    <m/>
    <m/>
    <m/>
    <m/>
    <x v="0"/>
    <n v="94"/>
    <n v="3.2"/>
    <n v="128"/>
    <n v="172"/>
  </r>
  <r>
    <x v="35"/>
    <s v="Meter sq planter (1)"/>
    <x v="11"/>
    <n v="40"/>
    <n v="300"/>
    <m/>
    <n v="5"/>
    <m/>
    <m/>
    <m/>
    <m/>
    <m/>
    <x v="0"/>
    <n v="99"/>
    <n v="3.2"/>
    <n v="128"/>
    <n v="172"/>
  </r>
  <r>
    <x v="35"/>
    <s v="Meter sq planter (1)"/>
    <x v="3"/>
    <n v="40"/>
    <n v="250"/>
    <m/>
    <n v="5"/>
    <m/>
    <m/>
    <m/>
    <m/>
    <m/>
    <x v="0"/>
    <n v="90"/>
    <n v="3"/>
    <n v="120"/>
    <n v="130"/>
  </r>
  <r>
    <x v="35"/>
    <s v="Meter sq planter (1)"/>
    <x v="13"/>
    <n v="40"/>
    <n v="250"/>
    <m/>
    <n v="5"/>
    <m/>
    <m/>
    <m/>
    <m/>
    <m/>
    <x v="0"/>
    <n v="98"/>
    <n v="3"/>
    <n v="120"/>
    <n v="130"/>
  </r>
  <r>
    <x v="36"/>
    <s v="Meter sq planter (2)"/>
    <x v="0"/>
    <n v="47"/>
    <n v="340"/>
    <n v="2"/>
    <n v="34"/>
    <n v="36"/>
    <n v="2"/>
    <n v="0"/>
    <m/>
    <m/>
    <x v="0"/>
    <n v="92"/>
    <n v="2.8"/>
    <n v="131.6"/>
    <n v="208.4"/>
  </r>
  <r>
    <x v="36"/>
    <s v="Meter sq planter (2)"/>
    <x v="1"/>
    <n v="47"/>
    <n v="370"/>
    <n v="3"/>
    <m/>
    <m/>
    <m/>
    <m/>
    <m/>
    <m/>
    <x v="0"/>
    <n v="97"/>
    <n v="3"/>
    <n v="141"/>
    <n v="229"/>
  </r>
  <r>
    <x v="36"/>
    <s v="Meter sq planter (2)"/>
    <x v="4"/>
    <n v="47"/>
    <n v="400"/>
    <n v="5"/>
    <m/>
    <m/>
    <m/>
    <m/>
    <m/>
    <m/>
    <x v="0"/>
    <n v="90"/>
    <n v="3.2"/>
    <n v="150.4"/>
    <n v="249.6"/>
  </r>
  <r>
    <x v="36"/>
    <s v="Meter sq planter (2)"/>
    <x v="11"/>
    <n v="47"/>
    <n v="400"/>
    <m/>
    <n v="1"/>
    <m/>
    <m/>
    <m/>
    <m/>
    <m/>
    <x v="0"/>
    <n v="90"/>
    <n v="3.2"/>
    <n v="150.4"/>
    <n v="249.6"/>
  </r>
  <r>
    <x v="36"/>
    <s v="Meter sq planter (2)"/>
    <x v="13"/>
    <n v="47"/>
    <n v="370"/>
    <n v="2"/>
    <m/>
    <m/>
    <m/>
    <m/>
    <m/>
    <m/>
    <x v="0"/>
    <n v="99"/>
    <n v="3"/>
    <n v="141"/>
    <n v="229"/>
  </r>
  <r>
    <x v="37"/>
    <s v="Meter sq planter (4)"/>
    <x v="0"/>
    <n v="60"/>
    <n v="579"/>
    <n v="0"/>
    <n v="0"/>
    <n v="0"/>
    <n v="0"/>
    <n v="12"/>
    <m/>
    <m/>
    <x v="0"/>
    <n v="96"/>
    <n v="2.8"/>
    <n v="168"/>
    <n v="411"/>
  </r>
  <r>
    <x v="37"/>
    <s v="Meter sq planter (4)"/>
    <x v="1"/>
    <n v="60"/>
    <n v="589"/>
    <n v="10"/>
    <m/>
    <m/>
    <m/>
    <m/>
    <m/>
    <m/>
    <x v="0"/>
    <n v="90"/>
    <n v="3"/>
    <n v="180"/>
    <n v="409"/>
  </r>
  <r>
    <x v="37"/>
    <s v="Meter sq planter (4)"/>
    <x v="4"/>
    <n v="60"/>
    <n v="650"/>
    <n v="3"/>
    <m/>
    <m/>
    <m/>
    <m/>
    <m/>
    <m/>
    <x v="0"/>
    <n v="92"/>
    <n v="3.2"/>
    <n v="192"/>
    <n v="458"/>
  </r>
  <r>
    <x v="37"/>
    <s v="Meter sq planter (4)"/>
    <x v="11"/>
    <n v="60"/>
    <n v="650"/>
    <n v="5"/>
    <m/>
    <m/>
    <m/>
    <m/>
    <m/>
    <m/>
    <x v="0"/>
    <n v="99"/>
    <n v="3.2"/>
    <n v="192"/>
    <n v="458"/>
  </r>
  <r>
    <x v="38"/>
    <s v="Octagonal fountain (1)"/>
    <x v="0"/>
    <n v="40"/>
    <n v="250"/>
    <n v="5"/>
    <n v="0"/>
    <n v="0"/>
    <n v="2"/>
    <n v="52"/>
    <m/>
    <m/>
    <x v="0"/>
    <n v="95"/>
    <n v="2.8"/>
    <n v="112"/>
    <n v="138"/>
  </r>
  <r>
    <x v="38"/>
    <s v="Octagonal fountain (1)"/>
    <x v="4"/>
    <n v="40"/>
    <n v="290"/>
    <n v="5"/>
    <m/>
    <m/>
    <m/>
    <m/>
    <m/>
    <m/>
    <x v="0"/>
    <n v="93"/>
    <n v="3.2"/>
    <n v="128"/>
    <n v="162"/>
  </r>
  <r>
    <x v="38"/>
    <s v="Octagonal fountain (1)"/>
    <x v="3"/>
    <n v="40"/>
    <n v="260"/>
    <n v="1"/>
    <m/>
    <m/>
    <m/>
    <m/>
    <m/>
    <m/>
    <x v="0"/>
    <n v="92"/>
    <n v="3"/>
    <n v="120"/>
    <n v="140"/>
  </r>
  <r>
    <x v="38"/>
    <s v="Octagonal fountain (1)"/>
    <x v="11"/>
    <n v="40"/>
    <n v="290"/>
    <n v="5"/>
    <m/>
    <m/>
    <m/>
    <m/>
    <m/>
    <m/>
    <x v="0"/>
    <n v="95"/>
    <n v="3.2"/>
    <n v="128"/>
    <n v="162"/>
  </r>
  <r>
    <x v="38"/>
    <s v="Octagonal fountain (1)"/>
    <x v="6"/>
    <n v="40"/>
    <n v="290"/>
    <m/>
    <n v="1"/>
    <m/>
    <m/>
    <m/>
    <m/>
    <m/>
    <x v="0"/>
    <n v="90"/>
    <n v="0"/>
    <n v="0"/>
    <n v="290"/>
  </r>
  <r>
    <x v="39"/>
    <s v="Octagonal fountain (2)"/>
    <x v="0"/>
    <n v="47"/>
    <n v="315"/>
    <n v="0"/>
    <n v="0"/>
    <n v="0"/>
    <n v="1"/>
    <n v="0"/>
    <m/>
    <m/>
    <x v="0"/>
    <n v="93"/>
    <n v="2.8"/>
    <n v="131.6"/>
    <n v="183.4"/>
  </r>
  <r>
    <x v="39"/>
    <s v="Octagonal fountain (2)"/>
    <x v="1"/>
    <n v="47"/>
    <n v="340"/>
    <n v="1"/>
    <m/>
    <m/>
    <m/>
    <m/>
    <m/>
    <m/>
    <x v="0"/>
    <n v="91"/>
    <n v="3"/>
    <n v="141"/>
    <n v="199"/>
  </r>
  <r>
    <x v="39"/>
    <s v="Octagonal fountain (2)"/>
    <x v="11"/>
    <n v="47"/>
    <n v="370"/>
    <m/>
    <n v="1"/>
    <m/>
    <m/>
    <m/>
    <m/>
    <m/>
    <x v="0"/>
    <n v="93"/>
    <n v="3.2"/>
    <n v="150.4"/>
    <n v="219.6"/>
  </r>
  <r>
    <x v="39"/>
    <s v="Octagonal fountain (2)"/>
    <x v="4"/>
    <n v="47"/>
    <n v="370"/>
    <n v="1"/>
    <m/>
    <m/>
    <m/>
    <m/>
    <m/>
    <m/>
    <x v="0"/>
    <n v="99"/>
    <n v="3.2"/>
    <n v="150.4"/>
    <n v="219.6"/>
  </r>
  <r>
    <x v="40"/>
    <s v="Octagonal fountain (3)"/>
    <x v="0"/>
    <n v="55"/>
    <n v="450"/>
    <n v="7"/>
    <n v="2"/>
    <n v="3"/>
    <n v="1"/>
    <n v="8"/>
    <m/>
    <m/>
    <x v="0"/>
    <n v="95"/>
    <n v="2.8"/>
    <n v="154"/>
    <n v="296"/>
  </r>
  <r>
    <x v="40"/>
    <s v="Octagonal fountain (3)"/>
    <x v="1"/>
    <n v="55"/>
    <n v="470"/>
    <n v="2"/>
    <m/>
    <m/>
    <m/>
    <m/>
    <m/>
    <m/>
    <x v="0"/>
    <n v="96"/>
    <n v="3"/>
    <n v="165"/>
    <n v="305"/>
  </r>
  <r>
    <x v="40"/>
    <s v="Octagonal fountain (3)"/>
    <x v="11"/>
    <n v="55"/>
    <n v="500"/>
    <m/>
    <n v="1"/>
    <m/>
    <m/>
    <m/>
    <m/>
    <m/>
    <x v="0"/>
    <n v="93"/>
    <n v="3.2"/>
    <n v="176"/>
    <n v="324"/>
  </r>
  <r>
    <x v="40"/>
    <s v="Octagonal fountain (3)"/>
    <x v="4"/>
    <n v="55"/>
    <n v="500"/>
    <n v="1"/>
    <m/>
    <m/>
    <m/>
    <m/>
    <m/>
    <m/>
    <x v="0"/>
    <n v="100"/>
    <n v="3.2"/>
    <n v="176"/>
    <n v="324"/>
  </r>
  <r>
    <x v="41"/>
    <s v="Cylinder"/>
    <x v="14"/>
    <n v="14"/>
    <n v="35"/>
    <n v="134"/>
    <n v="1"/>
    <m/>
    <m/>
    <m/>
    <m/>
    <m/>
    <x v="1"/>
    <n v="96"/>
    <n v="3"/>
    <n v="42"/>
    <n v="-7"/>
  </r>
  <r>
    <x v="42"/>
    <s v="Cylinder"/>
    <x v="0"/>
    <n v="14"/>
    <n v="30"/>
    <m/>
    <m/>
    <m/>
    <m/>
    <m/>
    <m/>
    <m/>
    <x v="1"/>
    <n v="93"/>
    <n v="2.8"/>
    <n v="39.199999999999996"/>
    <n v="-9.1999999999999957"/>
  </r>
  <r>
    <x v="43"/>
    <s v="Cylinder"/>
    <x v="14"/>
    <n v="17"/>
    <n v="40"/>
    <n v="60"/>
    <n v="5"/>
    <n v="1"/>
    <m/>
    <m/>
    <m/>
    <m/>
    <x v="1"/>
    <n v="99"/>
    <n v="3"/>
    <n v="51"/>
    <n v="-11"/>
  </r>
  <r>
    <x v="44"/>
    <s v="Cylinder"/>
    <x v="0"/>
    <n v="17"/>
    <n v="38"/>
    <m/>
    <m/>
    <m/>
    <m/>
    <m/>
    <m/>
    <m/>
    <x v="1"/>
    <n v="99"/>
    <n v="2.8"/>
    <n v="47.599999999999994"/>
    <n v="-9.5999999999999943"/>
  </r>
  <r>
    <x v="45"/>
    <s v="Cylinder"/>
    <x v="11"/>
    <n v="17"/>
    <n v="45"/>
    <m/>
    <m/>
    <m/>
    <m/>
    <m/>
    <m/>
    <m/>
    <x v="1"/>
    <n v="97"/>
    <n v="3.2"/>
    <n v="54.400000000000006"/>
    <n v="-9.4000000000000057"/>
  </r>
  <r>
    <x v="46"/>
    <s v="Cylinder"/>
    <x v="14"/>
    <n v="20"/>
    <n v="60"/>
    <n v="55"/>
    <n v="35"/>
    <n v="7"/>
    <m/>
    <m/>
    <m/>
    <m/>
    <x v="1"/>
    <n v="100"/>
    <n v="3"/>
    <n v="60"/>
    <n v="0"/>
  </r>
  <r>
    <x v="47"/>
    <s v="Egg pot square"/>
    <x v="14"/>
    <n v="11"/>
    <n v="75"/>
    <n v="130"/>
    <n v="77"/>
    <n v="12"/>
    <m/>
    <m/>
    <m/>
    <m/>
    <x v="1"/>
    <n v="90"/>
    <n v="3"/>
    <n v="33"/>
    <n v="42"/>
  </r>
  <r>
    <x v="47"/>
    <s v="Egg pot square"/>
    <x v="11"/>
    <n v="11"/>
    <n v="85"/>
    <m/>
    <m/>
    <m/>
    <m/>
    <m/>
    <m/>
    <m/>
    <x v="1"/>
    <n v="98"/>
    <n v="3.2"/>
    <n v="35.200000000000003"/>
    <n v="49.8"/>
  </r>
  <r>
    <x v="48"/>
    <s v="Egg pot square"/>
    <x v="14"/>
    <n v="15"/>
    <n v="60"/>
    <n v="135"/>
    <n v="65"/>
    <n v="7"/>
    <m/>
    <m/>
    <m/>
    <m/>
    <x v="1"/>
    <n v="91"/>
    <n v="3"/>
    <n v="45"/>
    <n v="15"/>
  </r>
  <r>
    <x v="49"/>
    <s v="Egg pot square"/>
    <x v="14"/>
    <n v="20"/>
    <n v="85"/>
    <n v="208"/>
    <n v="83"/>
    <n v="20"/>
    <m/>
    <m/>
    <m/>
    <m/>
    <x v="1"/>
    <n v="94"/>
    <n v="3"/>
    <n v="60"/>
    <n v="25"/>
  </r>
  <r>
    <x v="50"/>
    <s v="Egg pot vase"/>
    <x v="14"/>
    <n v="5"/>
    <n v="45"/>
    <n v="122"/>
    <n v="91"/>
    <n v="3"/>
    <m/>
    <m/>
    <m/>
    <m/>
    <x v="1"/>
    <n v="97"/>
    <n v="3"/>
    <n v="15"/>
    <n v="30"/>
  </r>
  <r>
    <x v="51"/>
    <s v="Egg pot vase"/>
    <x v="14"/>
    <n v="10"/>
    <n v="59"/>
    <n v="194"/>
    <n v="102"/>
    <n v="2"/>
    <m/>
    <m/>
    <m/>
    <m/>
    <x v="1"/>
    <n v="96"/>
    <n v="3"/>
    <n v="30"/>
    <n v="29"/>
  </r>
  <r>
    <x v="52"/>
    <s v="Egg pot vase"/>
    <x v="14"/>
    <n v="13"/>
    <n v="75"/>
    <n v="147"/>
    <n v="110"/>
    <n v="17"/>
    <m/>
    <m/>
    <m/>
    <m/>
    <x v="1"/>
    <n v="91"/>
    <n v="3"/>
    <n v="39"/>
    <n v="36"/>
  </r>
  <r>
    <x v="53"/>
    <s v="Egg pot vase"/>
    <x v="14"/>
    <n v="17"/>
    <n v="90"/>
    <n v="133"/>
    <n v="93"/>
    <n v="8"/>
    <m/>
    <m/>
    <m/>
    <m/>
    <x v="1"/>
    <n v="95"/>
    <n v="3"/>
    <n v="51"/>
    <n v="39"/>
  </r>
  <r>
    <x v="54"/>
    <s v="Rectangular container"/>
    <x v="14"/>
    <n v="8"/>
    <n v="45"/>
    <n v="173"/>
    <n v="91"/>
    <n v="75"/>
    <m/>
    <m/>
    <m/>
    <m/>
    <x v="1"/>
    <n v="91"/>
    <n v="3"/>
    <n v="24"/>
    <n v="21"/>
  </r>
  <r>
    <x v="55"/>
    <s v="Rectangular container"/>
    <x v="14"/>
    <n v="10"/>
    <n v="60"/>
    <n v="430"/>
    <n v="223"/>
    <n v="157"/>
    <m/>
    <m/>
    <m/>
    <m/>
    <x v="1"/>
    <n v="95"/>
    <n v="3"/>
    <n v="30"/>
    <n v="30"/>
  </r>
  <r>
    <x v="56"/>
    <s v="Rectangular container"/>
    <x v="14"/>
    <n v="15"/>
    <n v="77"/>
    <n v="109"/>
    <n v="102"/>
    <n v="32"/>
    <m/>
    <m/>
    <m/>
    <m/>
    <x v="1"/>
    <n v="98"/>
    <n v="3"/>
    <n v="45"/>
    <n v="32"/>
  </r>
  <r>
    <x v="57"/>
    <s v="Rectangular container"/>
    <x v="14"/>
    <n v="5"/>
    <n v="45"/>
    <n v="79"/>
    <n v="29"/>
    <m/>
    <m/>
    <m/>
    <m/>
    <m/>
    <x v="1"/>
    <n v="95"/>
    <n v="3"/>
    <n v="15"/>
    <n v="30"/>
  </r>
  <r>
    <x v="58"/>
    <s v="Square"/>
    <x v="14"/>
    <n v="5"/>
    <n v="32"/>
    <n v="82"/>
    <n v="33"/>
    <n v="20"/>
    <m/>
    <m/>
    <m/>
    <m/>
    <x v="1"/>
    <n v="92"/>
    <n v="3"/>
    <n v="15"/>
    <n v="17"/>
  </r>
  <r>
    <x v="59"/>
    <s v="Square"/>
    <x v="14"/>
    <n v="7"/>
    <n v="45"/>
    <n v="153"/>
    <n v="93"/>
    <n v="50"/>
    <m/>
    <m/>
    <m/>
    <m/>
    <x v="1"/>
    <n v="93"/>
    <n v="3"/>
    <n v="21"/>
    <n v="24"/>
  </r>
  <r>
    <x v="60"/>
    <s v="Square"/>
    <x v="14"/>
    <n v="8"/>
    <n v="51"/>
    <n v="90"/>
    <n v="35"/>
    <n v="15"/>
    <m/>
    <m/>
    <m/>
    <m/>
    <x v="1"/>
    <n v="100"/>
    <n v="3"/>
    <n v="24"/>
    <n v="27"/>
  </r>
  <r>
    <x v="61"/>
    <s v="Square"/>
    <x v="14"/>
    <n v="11"/>
    <n v="60"/>
    <n v="24"/>
    <n v="21"/>
    <n v="3"/>
    <m/>
    <m/>
    <m/>
    <m/>
    <x v="1"/>
    <n v="94"/>
    <n v="3"/>
    <n v="33"/>
    <n v="27"/>
  </r>
  <r>
    <x v="62"/>
    <s v="Tall square"/>
    <x v="14"/>
    <n v="15"/>
    <n v="45"/>
    <n v="103"/>
    <n v="77"/>
    <n v="4"/>
    <m/>
    <m/>
    <m/>
    <m/>
    <x v="1"/>
    <n v="94"/>
    <n v="3"/>
    <n v="45"/>
    <n v="0"/>
  </r>
  <r>
    <x v="63"/>
    <s v="Tall square"/>
    <x v="14"/>
    <n v="15"/>
    <n v="48"/>
    <n v="54"/>
    <n v="0"/>
    <n v="0"/>
    <m/>
    <m/>
    <m/>
    <m/>
    <x v="1"/>
    <n v="100"/>
    <n v="3"/>
    <n v="45"/>
    <n v="3"/>
  </r>
  <r>
    <x v="64"/>
    <s v="Tall square"/>
    <x v="14"/>
    <n v="15"/>
    <n v="50"/>
    <n v="35"/>
    <n v="85"/>
    <n v="5"/>
    <m/>
    <m/>
    <m/>
    <m/>
    <x v="1"/>
    <n v="93"/>
    <n v="3"/>
    <n v="45"/>
    <n v="5"/>
  </r>
  <r>
    <x v="65"/>
    <s v="Tall square"/>
    <x v="14"/>
    <n v="15"/>
    <n v="50"/>
    <n v="235"/>
    <n v="55"/>
    <n v="39"/>
    <m/>
    <m/>
    <m/>
    <m/>
    <x v="1"/>
    <n v="90"/>
    <n v="3"/>
    <n v="45"/>
    <n v="5"/>
  </r>
  <r>
    <x v="66"/>
    <s v="Tall vase"/>
    <x v="14"/>
    <n v="10"/>
    <n v="73"/>
    <n v="70"/>
    <n v="7"/>
    <m/>
    <m/>
    <m/>
    <m/>
    <m/>
    <x v="1"/>
    <n v="90"/>
    <n v="3"/>
    <n v="30"/>
    <n v="43"/>
  </r>
  <r>
    <x v="67"/>
    <s v="Tall vase"/>
    <x v="14"/>
    <n v="12"/>
    <n v="79"/>
    <n v="35"/>
    <n v="35"/>
    <n v="5"/>
    <m/>
    <m/>
    <m/>
    <m/>
    <x v="1"/>
    <n v="92"/>
    <n v="3"/>
    <n v="36"/>
    <n v="43"/>
  </r>
  <r>
    <x v="68"/>
    <s v="Plain vase"/>
    <x v="14"/>
    <n v="15"/>
    <n v="85"/>
    <n v="150"/>
    <n v="50"/>
    <n v="4"/>
    <m/>
    <m/>
    <m/>
    <m/>
    <x v="1"/>
    <n v="95"/>
    <n v="3"/>
    <n v="45"/>
    <n v="40"/>
  </r>
  <r>
    <x v="69"/>
    <s v="Plain vase"/>
    <x v="14"/>
    <n v="5"/>
    <n v="30"/>
    <n v="235"/>
    <n v="160"/>
    <n v="23"/>
    <m/>
    <m/>
    <m/>
    <m/>
    <x v="1"/>
    <n v="99"/>
    <n v="3"/>
    <n v="15"/>
    <n v="15"/>
  </r>
  <r>
    <x v="70"/>
    <s v="Plain vase"/>
    <x v="14"/>
    <n v="7"/>
    <n v="35"/>
    <n v="210"/>
    <n v="172"/>
    <n v="25"/>
    <n v="0"/>
    <n v="0"/>
    <m/>
    <m/>
    <x v="1"/>
    <n v="94"/>
    <n v="3"/>
    <n v="21"/>
    <n v="14"/>
  </r>
  <r>
    <x v="71"/>
    <s v="Plain vase"/>
    <x v="14"/>
    <n v="9"/>
    <n v="45"/>
    <n v="312"/>
    <n v="108"/>
    <n v="30"/>
    <n v="0"/>
    <n v="0"/>
    <m/>
    <m/>
    <x v="1"/>
    <n v="99"/>
    <n v="3"/>
    <n v="27"/>
    <n v="18"/>
  </r>
  <r>
    <x v="72"/>
    <s v="Plain vase"/>
    <x v="14"/>
    <n v="10.5"/>
    <n v="55"/>
    <n v="289"/>
    <n v="193"/>
    <n v="205"/>
    <n v="0"/>
    <n v="0"/>
    <m/>
    <m/>
    <x v="1"/>
    <n v="91"/>
    <n v="3"/>
    <n v="31.5"/>
    <n v="23.5"/>
  </r>
  <r>
    <x v="73"/>
    <s v="Plain vase"/>
    <x v="14"/>
    <n v="12"/>
    <n v="65"/>
    <n v="240"/>
    <n v="170"/>
    <n v="15"/>
    <n v="0"/>
    <n v="0"/>
    <m/>
    <m/>
    <x v="1"/>
    <n v="97"/>
    <n v="3"/>
    <n v="36"/>
    <n v="29"/>
  </r>
  <r>
    <x v="74"/>
    <s v="Garlanded vase"/>
    <x v="14"/>
    <n v="13"/>
    <n v="75"/>
    <n v="13"/>
    <n v="0"/>
    <n v="0"/>
    <n v="0"/>
    <n v="0"/>
    <m/>
    <m/>
    <x v="1"/>
    <n v="99"/>
    <n v="3"/>
    <n v="39"/>
    <n v="36"/>
  </r>
  <r>
    <x v="75"/>
    <s v="Garlanded vase"/>
    <x v="14"/>
    <n v="15"/>
    <n v="88"/>
    <n v="18"/>
    <n v="0"/>
    <n v="0"/>
    <n v="0"/>
    <n v="0"/>
    <m/>
    <m/>
    <x v="1"/>
    <n v="90"/>
    <n v="3"/>
    <n v="45"/>
    <n v="43"/>
  </r>
  <r>
    <x v="76"/>
    <s v="Window Box"/>
    <x v="14"/>
    <n v="9"/>
    <n v="64"/>
    <n v="7"/>
    <n v="25"/>
    <n v="25"/>
    <n v="0"/>
    <n v="0"/>
    <m/>
    <m/>
    <x v="1"/>
    <n v="99"/>
    <n v="3"/>
    <n v="27"/>
    <n v="37"/>
  </r>
  <r>
    <x v="77"/>
    <s v="Olympic dual bin"/>
    <x v="0"/>
    <n v="40"/>
    <n v="450"/>
    <n v="487"/>
    <n v="450"/>
    <n v="954"/>
    <n v="25"/>
    <n v="0"/>
    <n v="0"/>
    <n v="0"/>
    <x v="2"/>
    <n v="90"/>
    <n v="2.8"/>
    <n v="112"/>
    <n v="338"/>
  </r>
  <r>
    <x v="78"/>
    <s v="Ample bin"/>
    <x v="0"/>
    <n v="20"/>
    <n v="150"/>
    <n v="230"/>
    <n v="215"/>
    <n v="150"/>
    <n v="20"/>
    <n v="80"/>
    <n v="40"/>
    <n v="50"/>
    <x v="2"/>
    <n v="97"/>
    <n v="2.8"/>
    <n v="56"/>
    <n v="94"/>
  </r>
  <r>
    <x v="79"/>
    <s v="Stipple bin"/>
    <x v="0"/>
    <n v="10"/>
    <n v="55"/>
    <n v="200"/>
    <n v="233"/>
    <n v="150"/>
    <n v="200"/>
    <n v="148"/>
    <n v="150"/>
    <n v="170"/>
    <x v="2"/>
    <n v="96"/>
    <n v="2.8"/>
    <n v="28"/>
    <n v="27"/>
  </r>
  <r>
    <x v="80"/>
    <s v="West min bin"/>
    <x v="0"/>
    <n v="12"/>
    <n v="75"/>
    <n v="315"/>
    <n v="467"/>
    <n v="580"/>
    <n v="443"/>
    <n v="521"/>
    <n v="342"/>
    <n v="155"/>
    <x v="2"/>
    <n v="96"/>
    <n v="2.8"/>
    <n v="33.599999999999994"/>
    <n v="41.400000000000006"/>
  </r>
  <r>
    <x v="81"/>
    <s v="Penguin bin"/>
    <x v="0"/>
    <n v="30"/>
    <n v="250"/>
    <n v="70"/>
    <n v="55"/>
    <n v="30"/>
    <n v="55"/>
    <n v="168"/>
    <n v="213"/>
    <n v="230"/>
    <x v="2"/>
    <n v="90"/>
    <n v="2.8"/>
    <n v="84"/>
    <n v="166"/>
  </r>
  <r>
    <x v="82"/>
    <s v="Square hood bin"/>
    <x v="0"/>
    <n v="25"/>
    <n v="180"/>
    <n v="40"/>
    <n v="30"/>
    <m/>
    <m/>
    <m/>
    <m/>
    <m/>
    <x v="2"/>
    <n v="91"/>
    <n v="2.8"/>
    <n v="70"/>
    <n v="110"/>
  </r>
  <r>
    <x v="83"/>
    <s v="West min liner"/>
    <x v="0"/>
    <n v="4"/>
    <n v="50"/>
    <n v="332"/>
    <n v="280"/>
    <n v="309"/>
    <n v="280"/>
    <n v="255"/>
    <n v="244"/>
    <n v="158"/>
    <x v="2"/>
    <n v="94"/>
    <n v="2.8"/>
    <n v="11.2"/>
    <n v="38.799999999999997"/>
  </r>
  <r>
    <x v="84"/>
    <s v="Tapered hood bin"/>
    <x v="0"/>
    <n v="35"/>
    <n v="300"/>
    <n v="19"/>
    <n v="41"/>
    <n v="40"/>
    <n v="23"/>
    <n v="70"/>
    <n v="22"/>
    <n v="25"/>
    <x v="2"/>
    <n v="97"/>
    <n v="2.8"/>
    <n v="98"/>
    <n v="202"/>
  </r>
  <r>
    <x v="85"/>
    <s v="Robin bin"/>
    <x v="0"/>
    <n v="30"/>
    <n v="250"/>
    <n v="15"/>
    <n v="10"/>
    <n v="8"/>
    <n v="10"/>
    <n v="25"/>
    <n v="10"/>
    <n v="3"/>
    <x v="2"/>
    <n v="96"/>
    <n v="2.8"/>
    <n v="84"/>
    <n v="166"/>
  </r>
  <r>
    <x v="86"/>
    <s v="Enviro can recycle - post"/>
    <x v="0"/>
    <n v="8"/>
    <n v="125"/>
    <n v="45"/>
    <n v="50"/>
    <n v="80"/>
    <n v="50"/>
    <n v="120"/>
    <n v="103"/>
    <n v="69"/>
    <x v="2"/>
    <n v="100"/>
    <n v="2.8"/>
    <n v="22.4"/>
    <n v="102.6"/>
  </r>
  <r>
    <x v="87"/>
    <s v="Eco bin"/>
    <x v="0"/>
    <n v="30"/>
    <n v="200"/>
    <n v="20"/>
    <n v="25"/>
    <n v="60"/>
    <n v="45"/>
    <n v="55"/>
    <n v="130"/>
    <n v="0"/>
    <x v="2"/>
    <n v="91"/>
    <n v="2.8"/>
    <n v="84"/>
    <n v="116"/>
  </r>
  <r>
    <x v="88"/>
    <s v="Parot bin "/>
    <x v="0"/>
    <n v="30"/>
    <n v="280"/>
    <n v="12"/>
    <n v="12"/>
    <n v="9"/>
    <n v="10"/>
    <n v="13"/>
    <n v="13"/>
    <n v="15"/>
    <x v="2"/>
    <n v="93"/>
    <n v="2.8"/>
    <n v="84"/>
    <n v="196"/>
  </r>
  <r>
    <x v="89"/>
    <s v="Bear bin"/>
    <x v="0"/>
    <n v="45"/>
    <n v="300"/>
    <n v="23"/>
    <n v="20"/>
    <n v="15"/>
    <n v="10"/>
    <n v="13"/>
    <n v="20"/>
    <n v="15"/>
    <x v="2"/>
    <n v="98"/>
    <n v="2.8"/>
    <n v="125.99999999999999"/>
    <n v="174"/>
  </r>
  <r>
    <x v="90"/>
    <s v="Screwball post bin"/>
    <x v="0"/>
    <n v="6"/>
    <n v="130"/>
    <n v="85"/>
    <n v="34"/>
    <n v="33"/>
    <n v="10"/>
    <n v="0"/>
    <n v="0"/>
    <n v="0"/>
    <x v="2"/>
    <n v="92"/>
    <n v="2.8"/>
    <n v="16.799999999999997"/>
    <n v="113.2"/>
  </r>
  <r>
    <x v="91"/>
    <s v="Slim bin"/>
    <x v="0"/>
    <n v="25"/>
    <n v="99"/>
    <n v="65"/>
    <n v="50"/>
    <n v="95"/>
    <n v="89"/>
    <n v="66"/>
    <n v="30"/>
    <n v="0"/>
    <x v="2"/>
    <n v="93"/>
    <n v="2.8"/>
    <n v="70"/>
    <n v="29"/>
  </r>
  <r>
    <x v="92"/>
    <s v="Chick bin"/>
    <x v="0"/>
    <n v="30"/>
    <n v="250"/>
    <n v="15"/>
    <n v="17"/>
    <n v="15"/>
    <n v="20"/>
    <n v="35"/>
    <n v="24"/>
    <n v="15"/>
    <x v="2"/>
    <n v="90"/>
    <n v="2.8"/>
    <n v="84"/>
    <n v="166"/>
  </r>
  <r>
    <x v="93"/>
    <s v="Westmin recycle"/>
    <x v="0"/>
    <n v="30"/>
    <n v="300"/>
    <n v="25"/>
    <n v="30"/>
    <n v="10"/>
    <n v="20"/>
    <n v="43"/>
    <n v="55"/>
    <n v="10"/>
    <x v="2"/>
    <n v="98"/>
    <n v="2.8"/>
    <n v="84"/>
    <n v="216"/>
  </r>
  <r>
    <x v="94"/>
    <s v="Eviro bin - floor"/>
    <x v="0"/>
    <n v="30"/>
    <n v="280"/>
    <n v="35"/>
    <n v="55"/>
    <n v="2"/>
    <n v="10"/>
    <n v="62"/>
    <n v="57"/>
    <n v="315"/>
    <x v="2"/>
    <n v="92"/>
    <n v="2.8"/>
    <n v="84"/>
    <n v="196"/>
  </r>
  <r>
    <x v="95"/>
    <s v="Poo bin"/>
    <x v="0"/>
    <n v="7"/>
    <n v="120"/>
    <n v="10"/>
    <m/>
    <m/>
    <m/>
    <m/>
    <m/>
    <m/>
    <x v="2"/>
    <n v="98"/>
    <n v="2.8"/>
    <n v="19.599999999999998"/>
    <n v="100.4"/>
  </r>
  <r>
    <x v="96"/>
    <s v="Screwball post bin"/>
    <x v="0"/>
    <n v="5"/>
    <n v="100"/>
    <n v="5"/>
    <n v="7"/>
    <n v="3"/>
    <n v="8"/>
    <n v="0"/>
    <n v="0"/>
    <n v="0"/>
    <x v="2"/>
    <n v="91"/>
    <n v="2.8"/>
    <n v="14"/>
    <n v="8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</r>
  <r>
    <x v="1"/>
    <x v="1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2"/>
  </r>
  <r>
    <x v="11"/>
    <x v="2"/>
  </r>
  <r>
    <x v="12"/>
    <x v="0"/>
  </r>
  <r>
    <x v="13"/>
    <x v="2"/>
  </r>
  <r>
    <x v="14"/>
    <x v="2"/>
  </r>
  <r>
    <x v="15"/>
    <x v="2"/>
  </r>
  <r>
    <x v="16"/>
    <x v="2"/>
  </r>
  <r>
    <x v="17"/>
    <x v="2"/>
  </r>
  <r>
    <x v="18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CAS 0P"/>
    <x v="0"/>
    <s v="Black"/>
    <n v="10.400000000000002"/>
    <n v="63372"/>
    <n v="37652.800000000003"/>
    <n v="28204.800000000003"/>
    <n v="18460.000000000007"/>
    <n v="23940.800000000003"/>
    <n v="23400.000000000007"/>
    <n v="26332.800000000003"/>
    <s v="Self-Watering"/>
  </r>
  <r>
    <s v="BBU 1P"/>
    <x v="1"/>
    <s v="Black"/>
    <n v="23.200000000000003"/>
    <n v="15528"/>
    <n v="14556"/>
    <n v="22898.400000000001"/>
    <n v="44474.400000000009"/>
    <n v="24290.400000000001"/>
    <n v="7563.2000000000007"/>
    <n v="19882.400000000001"/>
    <s v="Self-Watering"/>
  </r>
  <r>
    <s v="OCT 0P"/>
    <x v="2"/>
    <s v="Black"/>
    <n v="87"/>
    <n v="2590"/>
    <n v="7154"/>
    <n v="8004"/>
    <n v="20445"/>
    <n v="15312"/>
    <n v="7656"/>
    <n v="2436"/>
    <s v="Self-Watering"/>
  </r>
  <r>
    <s v="CNS 1P"/>
    <x v="3"/>
    <s v="Black"/>
    <n v="25.400000000000002"/>
    <n v="46998"/>
    <n v="31030.600000000002"/>
    <n v="50266.600000000006"/>
    <n v="73685.400000000009"/>
    <n v="61823.600000000006"/>
    <n v="43002.200000000004"/>
    <n v="33299.4"/>
    <s v="Self-Watering"/>
  </r>
  <r>
    <s v="BHV 5P"/>
    <x v="4"/>
    <s v="Black"/>
    <n v="376"/>
    <n v="-50880"/>
    <n v="30818"/>
    <n v="14664"/>
    <n v="6016"/>
    <n v="7896"/>
    <n v="22560"/>
    <n v="24064"/>
    <s v="Self-Watering"/>
  </r>
  <r>
    <s v="BHV 6P"/>
    <x v="5"/>
    <s v="Black"/>
    <n v="402"/>
    <n v="-76504"/>
    <n v="36270"/>
    <n v="77586"/>
    <n v="0"/>
    <n v="0"/>
    <n v="0"/>
    <n v="0"/>
    <s v="Self-Watering"/>
  </r>
  <r>
    <s v="UTP 2P"/>
    <x v="6"/>
    <s v="Black"/>
    <n v="51"/>
    <n v="46410"/>
    <n v="46423"/>
    <n v="46563"/>
    <n v="91800"/>
    <n v="67065"/>
    <n v="29427"/>
    <n v="29223"/>
    <s v="Self-Watering"/>
  </r>
  <r>
    <s v="CAS 1P"/>
    <x v="7"/>
    <s v="Black"/>
    <n v="31"/>
    <n v="34785"/>
    <n v="10492"/>
    <n v="38285"/>
    <n v="44950"/>
    <n v="53568"/>
    <n v="36642"/>
    <n v="30969"/>
    <s v="Self-Watering"/>
  </r>
  <r>
    <s v="MSP 0P"/>
    <x v="8"/>
    <s v="Black"/>
    <n v="37"/>
    <n v="2430"/>
    <n v="10772"/>
    <n v="11803"/>
    <n v="9287"/>
    <n v="7659"/>
    <n v="6734"/>
    <n v="1998"/>
    <s v="Self-Watering"/>
  </r>
  <r>
    <s v="UTP 1P"/>
    <x v="6"/>
    <s v="Black"/>
    <n v="33.799999999999997"/>
    <n v="42786"/>
    <n v="55150.6"/>
    <n v="45089.2"/>
    <n v="80545.399999999994"/>
    <n v="51545"/>
    <n v="53471.600000000006"/>
    <n v="52018.2"/>
    <s v="Self-Watering"/>
  </r>
  <r>
    <s v="BBU 1PL"/>
    <x v="9"/>
    <s v="Black"/>
    <n v="15.200000000000001"/>
    <n v="14855"/>
    <n v="2555.8000000000011"/>
    <n v="12965.6"/>
    <n v="35431.199999999997"/>
    <n v="15944.800000000001"/>
    <n v="4955.2000000000007"/>
    <n v="10761.6"/>
    <s v="Self-Watering"/>
  </r>
  <r>
    <s v="CHB 1P"/>
    <x v="10"/>
    <s v="Black"/>
    <n v="21"/>
    <n v="17955"/>
    <n v="-273"/>
    <n v="8295"/>
    <n v="10479"/>
    <n v="19215"/>
    <n v="4830"/>
    <n v="11172"/>
    <s v="Self-Watering"/>
  </r>
  <r>
    <s v="MSP 3P"/>
    <x v="11"/>
    <s v="Black"/>
    <n v="221"/>
    <n v="-44250"/>
    <n v="9456"/>
    <n v="9945"/>
    <n v="31161"/>
    <n v="34476"/>
    <n v="16133"/>
    <n v="8619"/>
    <s v="Self-Watering"/>
  </r>
  <r>
    <s v="FF 2P"/>
    <x v="12"/>
    <s v="Black"/>
    <n v="247"/>
    <n v="-25489"/>
    <n v="33462"/>
    <n v="20007"/>
    <n v="53105"/>
    <n v="62985"/>
    <n v="17784"/>
    <n v="5187"/>
    <s v="Self-Watering"/>
  </r>
  <r>
    <s v="HBB 2P"/>
    <x v="13"/>
    <s v="Black"/>
    <n v="19.8"/>
    <n v="2466"/>
    <n v="1179"/>
    <n v="3960"/>
    <n v="2257.2000000000003"/>
    <n v="4158"/>
    <n v="2296.8000000000002"/>
    <n v="8078.4"/>
    <s v="Self-Watering"/>
  </r>
  <r>
    <s v="BBU 0P"/>
    <x v="14"/>
    <s v="Black"/>
    <n v="37"/>
    <n v="4234"/>
    <n v="6030"/>
    <n v="4588"/>
    <n v="2664"/>
    <n v="370"/>
    <n v="0"/>
    <n v="0"/>
    <s v="Self-Watering"/>
  </r>
  <r>
    <s v="WBX 1PL"/>
    <x v="15"/>
    <s v="Black"/>
    <n v="25.200000000000003"/>
    <n v="1827"/>
    <n v="652.40000000000009"/>
    <n v="1159.2"/>
    <n v="856.8"/>
    <n v="25.200000000000003"/>
    <n v="25.200000000000003"/>
    <n v="100.80000000000001"/>
    <s v="Self-Watering"/>
  </r>
  <r>
    <s v="WBX 3PL"/>
    <x v="15"/>
    <s v="Black"/>
    <n v="59.6"/>
    <n v="2220"/>
    <n v="-467.99999999999989"/>
    <n v="596"/>
    <n v="1251.5999999999999"/>
    <n v="59.6"/>
    <n v="2384"/>
    <n v="2443.6"/>
    <s v="Self-Watering"/>
  </r>
  <r>
    <s v="UTP 2PL"/>
    <x v="16"/>
    <s v="Black"/>
    <n v="18.200000000000003"/>
    <n v="8097.6"/>
    <n v="-606.19999999999982"/>
    <n v="3203.2000000000003"/>
    <n v="7280"/>
    <n v="7771.4000000000005"/>
    <n v="8353.7999999999993"/>
    <n v="6715.8"/>
    <s v="Self-Watering"/>
  </r>
  <r>
    <s v="WBX 1P"/>
    <x v="15"/>
    <s v="Black"/>
    <n v="42.6"/>
    <n v="9139"/>
    <n v="-1506.1999999999998"/>
    <n v="2896.8"/>
    <n v="1363.2"/>
    <n v="5878.8"/>
    <n v="16443.599999999999"/>
    <n v="9925.7999999999993"/>
    <s v="Self-Watering"/>
  </r>
  <r>
    <s v="UTP 1PL"/>
    <x v="16"/>
    <s v="Black"/>
    <n v="15.200000000000001"/>
    <n v="9305"/>
    <n v="6881.4000000000005"/>
    <n v="4909.6000000000004"/>
    <n v="3617.6000000000004"/>
    <n v="7356.8"/>
    <n v="5988.8000000000011"/>
    <n v="3237.6000000000004"/>
    <s v="Self-Watering"/>
  </r>
  <r>
    <s v="WBX 3P"/>
    <x v="15"/>
    <s v="Black"/>
    <n v="102"/>
    <n v="1300"/>
    <n v="1016"/>
    <n v="3672"/>
    <n v="8058"/>
    <n v="2346"/>
    <n v="7956"/>
    <n v="12648"/>
    <s v="Self-Watering"/>
  </r>
  <r>
    <s v="HBB 2PL"/>
    <x v="13"/>
    <s v="Black"/>
    <n v="27.4"/>
    <n v="1136"/>
    <n v="2203.4"/>
    <n v="5014.2000000000007"/>
    <n v="2000.2"/>
    <n v="2164.6"/>
    <n v="8603.6"/>
    <n v="4274.3999999999996"/>
    <s v="Self-Watering"/>
  </r>
  <r>
    <s v="CNS 1PL"/>
    <x v="17"/>
    <s v="Black"/>
    <n v="71"/>
    <n v="21590"/>
    <n v="17753"/>
    <n v="12638"/>
    <n v="25560"/>
    <n v="57936"/>
    <n v="29110"/>
    <n v="21371"/>
    <s v="Self-Watering"/>
  </r>
  <r>
    <s v="HBB 1PL"/>
    <x v="13"/>
    <s v="Black"/>
    <n v="25.200000000000003"/>
    <n v="3997"/>
    <n v="-1075.1999999999998"/>
    <n v="3200.4"/>
    <n v="882"/>
    <n v="957.6"/>
    <n v="302.39999999999998"/>
    <n v="0"/>
    <s v="Self-Watering"/>
  </r>
  <r>
    <s v="CHB 2P"/>
    <x v="10"/>
    <s v="Black"/>
    <n v="42"/>
    <n v="2632"/>
    <n v="4578"/>
    <n v="1218"/>
    <n v="3822"/>
    <n v="2604"/>
    <n v="17598"/>
    <n v="1554"/>
    <s v="Self-Watering"/>
  </r>
  <r>
    <s v="HBB 1P"/>
    <x v="13"/>
    <s v="Black"/>
    <n v="42.6"/>
    <n v="2444"/>
    <n v="3076"/>
    <n v="13419"/>
    <n v="2385.6000000000004"/>
    <n v="5623.2000000000007"/>
    <n v="6816"/>
    <n v="7156.8"/>
    <s v="Self-Watering"/>
  </r>
  <r>
    <s v="CUH 2P"/>
    <x v="18"/>
    <s v="Black"/>
    <n v="49.400000000000006"/>
    <n v="855.60000000000014"/>
    <n v="752.80000000000007"/>
    <n v="1185.5999999999999"/>
    <n v="2420.6000000000004"/>
    <n v="1976"/>
    <n v="3408.6000000000004"/>
    <n v="2914.6000000000004"/>
    <s v="Self-Watering"/>
  </r>
  <r>
    <s v="CUH 1P"/>
    <x v="18"/>
    <s v="Black"/>
    <n v="25"/>
    <n v="858"/>
    <n v="1407"/>
    <n v="950"/>
    <n v="1725"/>
    <n v="975"/>
    <n v="1150"/>
    <n v="200"/>
    <s v="Self-Watering"/>
  </r>
  <r>
    <s v="WBX 0P"/>
    <x v="15"/>
    <s v="Black"/>
    <n v="43.2"/>
    <n v="-407.99999999999977"/>
    <n v="432"/>
    <n v="518.40000000000009"/>
    <n v="561.6"/>
    <n v="1555.2"/>
    <n v="1468.8000000000002"/>
    <n v="0"/>
    <s v="Self-Watering"/>
  </r>
  <r>
    <s v="HBB 3P"/>
    <x v="13"/>
    <s v="Black"/>
    <n v="102"/>
    <n v="-1690"/>
    <n v="1530"/>
    <n v="0"/>
    <n v="0"/>
    <n v="0"/>
    <n v="0"/>
    <n v="0"/>
    <s v="Self-Watering"/>
  </r>
  <r>
    <s v="HBB 3PL"/>
    <x v="19"/>
    <s v="Black"/>
    <n v="59.6"/>
    <n v="-30"/>
    <n v="894"/>
    <n v="417.20000000000005"/>
    <n v="476.8"/>
    <n v="1609.2"/>
    <n v="715.2"/>
    <n v="10549.2"/>
    <s v="Self-Watering"/>
  </r>
  <r>
    <s v="MSP 1P"/>
    <x v="20"/>
    <s v="Black"/>
    <n v="108"/>
    <n v="-24640"/>
    <n v="220"/>
    <n v="0"/>
    <n v="108"/>
    <n v="4104"/>
    <n v="0"/>
    <n v="0"/>
    <s v="Self-Watering"/>
  </r>
  <r>
    <s v="MSP 2P"/>
    <x v="21"/>
    <s v="Black"/>
    <n v="208.4"/>
    <n v="-44064"/>
    <n v="11296.8"/>
    <n v="7502.4000000000005"/>
    <n v="416.8"/>
    <n v="0"/>
    <n v="0"/>
    <n v="0"/>
    <s v="Self-Watering"/>
  </r>
  <r>
    <s v="MSP 4P"/>
    <x v="22"/>
    <s v="Black"/>
    <n v="411"/>
    <n v="-97272"/>
    <n v="0"/>
    <n v="0"/>
    <n v="0"/>
    <n v="4932"/>
    <n v="0"/>
    <n v="0"/>
    <s v="Self-Watering"/>
  </r>
  <r>
    <s v="OCT 1P"/>
    <x v="23"/>
    <s v="Black"/>
    <n v="138"/>
    <n v="-26750"/>
    <n v="-560"/>
    <n v="0"/>
    <n v="276"/>
    <n v="7176"/>
    <n v="0"/>
    <n v="0"/>
    <s v="Self-Watering"/>
  </r>
  <r>
    <s v="OCT 2P"/>
    <x v="24"/>
    <s v="Black"/>
    <n v="183.4"/>
    <n v="-41454"/>
    <n v="0"/>
    <n v="0"/>
    <n v="183.4"/>
    <n v="0"/>
    <n v="0"/>
    <n v="0"/>
    <s v="Self-Watering"/>
  </r>
  <r>
    <s v="OCT 3P"/>
    <x v="25"/>
    <s v="Black"/>
    <n v="296"/>
    <n v="-66150"/>
    <n v="-178"/>
    <n v="888"/>
    <n v="296"/>
    <n v="2368"/>
    <n v="0"/>
    <n v="0"/>
    <s v="Self-Watering"/>
  </r>
  <r>
    <s v="J-C41"/>
    <x v="26"/>
    <s v="Black"/>
    <n v="-9.1999999999999957"/>
    <n v="-1175.9999999999998"/>
    <n v="0"/>
    <n v="0"/>
    <n v="0"/>
    <n v="0"/>
    <n v="0"/>
    <n v="0"/>
    <s v="Planterware"/>
  </r>
  <r>
    <s v="J-C45-T3"/>
    <x v="26"/>
    <s v="Black"/>
    <n v="-9.5999999999999943"/>
    <n v="-1808.7999999999997"/>
    <n v="0"/>
    <n v="0"/>
    <n v="0"/>
    <n v="0"/>
    <n v="0"/>
    <n v="0"/>
    <s v="Planterware"/>
  </r>
  <r>
    <s v="OLY 1P"/>
    <x v="27"/>
    <s v="Black"/>
    <n v="338"/>
    <n v="168750"/>
    <n v="147956"/>
    <n v="322452"/>
    <n v="8450"/>
    <n v="0"/>
    <n v="0"/>
    <n v="0"/>
    <s v="Bins"/>
  </r>
  <r>
    <s v="AMP 1P"/>
    <x v="28"/>
    <s v="Black"/>
    <n v="94"/>
    <n v="26100"/>
    <n v="19370"/>
    <n v="14100"/>
    <n v="1880"/>
    <n v="7520"/>
    <n v="3760"/>
    <n v="4700"/>
    <s v="Bins"/>
  </r>
  <r>
    <s v="ST 1P"/>
    <x v="29"/>
    <s v="Black"/>
    <n v="27"/>
    <n v="9460"/>
    <n v="7215"/>
    <n v="4050"/>
    <n v="5400"/>
    <n v="3996"/>
    <n v="4050"/>
    <n v="4590"/>
    <s v="Bins"/>
  </r>
  <r>
    <s v="WLB 1P"/>
    <x v="30"/>
    <s v="Black"/>
    <n v="41.400000000000006"/>
    <n v="21105"/>
    <n v="24441"/>
    <n v="24012.000000000004"/>
    <n v="18340.200000000004"/>
    <n v="21569.4"/>
    <n v="14158.800000000001"/>
    <n v="6417.0000000000009"/>
    <s v="Bins"/>
  </r>
  <r>
    <s v="PEN 1P"/>
    <x v="31"/>
    <s v="Black"/>
    <n v="166"/>
    <n v="-3500"/>
    <n v="7870"/>
    <n v="4980"/>
    <n v="9130"/>
    <n v="27888"/>
    <n v="35358"/>
    <n v="38180"/>
    <s v="Bins"/>
  </r>
  <r>
    <s v="SQD 0P"/>
    <x v="32"/>
    <s v="Black"/>
    <n v="110"/>
    <n v="-5400"/>
    <n v="2600"/>
    <n v="0"/>
    <n v="0"/>
    <n v="0"/>
    <n v="0"/>
    <n v="0"/>
    <s v="Bins"/>
  </r>
  <r>
    <s v="WLB 1PL"/>
    <x v="33"/>
    <s v="Black"/>
    <n v="38.799999999999997"/>
    <n v="16040"/>
    <n v="10281.6"/>
    <n v="11989.2"/>
    <n v="10864"/>
    <n v="9894"/>
    <n v="9467.2000000000007"/>
    <n v="6130.4"/>
    <s v="Bins"/>
  </r>
  <r>
    <s v="TAR 1P"/>
    <x v="34"/>
    <s v="Black"/>
    <n v="202"/>
    <n v="-23700"/>
    <n v="10438"/>
    <n v="8080"/>
    <n v="4646"/>
    <n v="14140"/>
    <n v="4444"/>
    <n v="5050"/>
    <s v="Bins"/>
  </r>
  <r>
    <s v="ROB 1P"/>
    <x v="35"/>
    <s v="Black"/>
    <n v="166"/>
    <n v="-17250"/>
    <n v="1240"/>
    <n v="1328"/>
    <n v="1660"/>
    <n v="4150"/>
    <n v="1660"/>
    <n v="498"/>
    <s v="Bins"/>
  </r>
  <r>
    <s v="ACT 1P"/>
    <x v="36"/>
    <s v="Black"/>
    <n v="102.6"/>
    <n v="2825"/>
    <n v="5242"/>
    <n v="8208"/>
    <n v="5130"/>
    <n v="12312"/>
    <n v="10567.8"/>
    <n v="7079.4"/>
    <s v="Bins"/>
  </r>
  <r>
    <s v="ECO 1P"/>
    <x v="37"/>
    <s v="Black"/>
    <n v="116"/>
    <n v="-12800"/>
    <n v="3320"/>
    <n v="6960"/>
    <n v="5220"/>
    <n v="6380"/>
    <n v="15080"/>
    <n v="0"/>
    <s v="Bins"/>
  </r>
  <r>
    <s v="PAR 1P"/>
    <x v="38"/>
    <s v="Black"/>
    <n v="196"/>
    <n v="-20160"/>
    <n v="2352"/>
    <n v="1764"/>
    <n v="1960"/>
    <n v="2548"/>
    <n v="2548"/>
    <n v="2940"/>
    <s v="Bins"/>
  </r>
  <r>
    <s v="AMB 1P"/>
    <x v="39"/>
    <s v="Black"/>
    <n v="174"/>
    <n v="-30899.999999999993"/>
    <n v="3102.0000000000005"/>
    <n v="2610"/>
    <n v="1740.0000000000002"/>
    <n v="2262"/>
    <n v="3480.0000000000005"/>
    <n v="2610"/>
    <s v="Bins"/>
  </r>
  <r>
    <s v="SCW TP"/>
    <x v="40"/>
    <s v="Black"/>
    <n v="113.2"/>
    <n v="8866"/>
    <n v="2992"/>
    <n v="3735.6000000000004"/>
    <n v="1132"/>
    <n v="0"/>
    <n v="0"/>
    <n v="0"/>
    <s v="Bins"/>
  </r>
  <r>
    <s v="SLM 0P"/>
    <x v="41"/>
    <s v="Black"/>
    <n v="29"/>
    <n v="-495"/>
    <n v="400"/>
    <n v="2755"/>
    <n v="2581"/>
    <n v="1914"/>
    <n v="870"/>
    <n v="0"/>
    <s v="Bins"/>
  </r>
  <r>
    <s v="CHK 1P"/>
    <x v="42"/>
    <s v="Black"/>
    <n v="166"/>
    <n v="-17250"/>
    <n v="2990"/>
    <n v="2490"/>
    <n v="3320"/>
    <n v="5810"/>
    <n v="3984"/>
    <n v="2490"/>
    <s v="Bins"/>
  </r>
  <r>
    <s v="RCY 1P"/>
    <x v="43"/>
    <s v="Black"/>
    <n v="216"/>
    <n v="-17700"/>
    <n v="6900"/>
    <n v="2160"/>
    <n v="4320"/>
    <n v="9288"/>
    <n v="11880"/>
    <n v="2160"/>
    <s v="Bins"/>
  </r>
  <r>
    <s v="ENV 0P"/>
    <x v="44"/>
    <s v="Black"/>
    <n v="196"/>
    <n v="-13720"/>
    <n v="12460"/>
    <n v="392"/>
    <n v="1960"/>
    <n v="12152"/>
    <n v="11172"/>
    <n v="61740"/>
    <s v="Bins"/>
  </r>
  <r>
    <s v="POOP 0P"/>
    <x v="45"/>
    <s v="Black"/>
    <n v="100.4"/>
    <n v="-1151.9999999999995"/>
    <n v="-195.99999999999997"/>
    <n v="0"/>
    <n v="0"/>
    <n v="0"/>
    <n v="0"/>
    <n v="0"/>
    <s v="Bins"/>
  </r>
  <r>
    <s v="SCW 0P"/>
    <x v="40"/>
    <s v="Black"/>
    <n v="86"/>
    <n v="-900"/>
    <n v="630"/>
    <n v="258"/>
    <n v="688"/>
    <n v="0"/>
    <n v="0"/>
    <n v="0"/>
    <s v="Bins"/>
  </r>
  <r>
    <s v="BRL 0P"/>
    <x v="46"/>
    <s v="Brown"/>
    <n v="30"/>
    <n v="33825"/>
    <n v="19455"/>
    <n v="0"/>
    <n v="0"/>
    <n v="0"/>
    <n v="0"/>
    <n v="0"/>
    <s v="Self-Watering"/>
  </r>
  <r>
    <s v="UTP 1P"/>
    <x v="6"/>
    <s v="Cherry"/>
    <n v="43"/>
    <n v="-660"/>
    <n v="275"/>
    <n v="0"/>
    <n v="0"/>
    <n v="0"/>
    <n v="0"/>
    <n v="0"/>
    <s v="Self-Watering"/>
  </r>
  <r>
    <s v="CHB 1P"/>
    <x v="10"/>
    <s v="Cherry"/>
    <n v="30"/>
    <n v="585"/>
    <n v="-195"/>
    <n v="0"/>
    <n v="0"/>
    <n v="0"/>
    <n v="0"/>
    <n v="0"/>
    <s v="Self-Watering"/>
  </r>
  <r>
    <s v="OVL 0P"/>
    <x v="47"/>
    <s v="Cherry"/>
    <n v="30"/>
    <n v="-9840"/>
    <n v="-720"/>
    <n v="0"/>
    <n v="0"/>
    <n v="0"/>
    <n v="0"/>
    <n v="0"/>
    <s v="Self-Watering"/>
  </r>
  <r>
    <s v="BBU 0P"/>
    <x v="14"/>
    <s v="Cherry"/>
    <n v="47.5"/>
    <n v="-1225"/>
    <n v="-112.5"/>
    <n v="0"/>
    <n v="0"/>
    <n v="0"/>
    <n v="0"/>
    <n v="0"/>
    <s v="Self-Watering"/>
  </r>
  <r>
    <s v="UTP 2PL"/>
    <x v="16"/>
    <s v="Cherry"/>
    <n v="24.5"/>
    <n v="-367.5"/>
    <n v="455"/>
    <n v="0"/>
    <n v="0"/>
    <n v="0"/>
    <n v="0"/>
    <n v="0"/>
    <s v="Self-Watering"/>
  </r>
  <r>
    <s v="CHB 2P"/>
    <x v="10"/>
    <s v="Cherry"/>
    <n v="51"/>
    <n v="-990"/>
    <n v="330"/>
    <n v="0"/>
    <n v="0"/>
    <n v="0"/>
    <n v="0"/>
    <n v="0"/>
    <s v="Self-Watering"/>
  </r>
  <r>
    <s v="CUH 2P"/>
    <x v="18"/>
    <s v="Cherry"/>
    <n v="58"/>
    <n v="-1659"/>
    <n v="237"/>
    <n v="0"/>
    <n v="0"/>
    <n v="0"/>
    <n v="0"/>
    <n v="0"/>
    <s v="Self-Watering"/>
  </r>
  <r>
    <s v="CUH 1P"/>
    <x v="18"/>
    <s v="Cherry"/>
    <n v="34"/>
    <n v="-686"/>
    <n v="-15"/>
    <n v="0"/>
    <n v="0"/>
    <n v="0"/>
    <n v="0"/>
    <n v="0"/>
    <s v="Self-Watering"/>
  </r>
  <r>
    <s v="WBX 0P"/>
    <x v="15"/>
    <s v="Cherry"/>
    <n v="52"/>
    <n v="-1260"/>
    <n v="210"/>
    <n v="0"/>
    <n v="0"/>
    <n v="0"/>
    <n v="0"/>
    <n v="0"/>
    <s v="Self-Watering"/>
  </r>
  <r>
    <s v="HBB 3P"/>
    <x v="13"/>
    <s v="Cherry"/>
    <n v="115"/>
    <n v="-4060"/>
    <n v="-60"/>
    <n v="0"/>
    <n v="0"/>
    <n v="0"/>
    <n v="0"/>
    <n v="0"/>
    <s v="Self-Watering"/>
  </r>
  <r>
    <s v="HBB 3PL"/>
    <x v="19"/>
    <s v="Cherry"/>
    <n v="82.5"/>
    <n v="-1435.5"/>
    <n v="-33"/>
    <n v="0"/>
    <n v="0"/>
    <n v="0"/>
    <n v="0"/>
    <n v="0"/>
    <s v="Self-Watering"/>
  </r>
  <r>
    <s v="MSP 1P"/>
    <x v="20"/>
    <s v="Cherry"/>
    <n v="130"/>
    <n v="-30000"/>
    <n v="1250"/>
    <n v="0"/>
    <n v="0"/>
    <n v="0"/>
    <n v="0"/>
    <n v="0"/>
    <s v="Self-Watering"/>
  </r>
  <r>
    <s v="MSP 2P"/>
    <x v="21"/>
    <s v="Cherry"/>
    <n v="229"/>
    <n v="-51430"/>
    <n v="-282"/>
    <n v="0"/>
    <n v="0"/>
    <n v="0"/>
    <n v="0"/>
    <n v="0"/>
    <s v="Self-Watering"/>
  </r>
  <r>
    <s v="OCT 0P"/>
    <x v="2"/>
    <s v="Dark Sandstone"/>
    <n v="138"/>
    <n v="-21500"/>
    <n v="338"/>
    <n v="0"/>
    <n v="0"/>
    <n v="0"/>
    <n v="0"/>
    <n v="0"/>
    <s v="Self-Watering"/>
  </r>
  <r>
    <s v="OCT 0P"/>
    <x v="2"/>
    <s v="Guerney Granite"/>
    <n v="138"/>
    <n v="5750"/>
    <n v="4380"/>
    <n v="0"/>
    <n v="0"/>
    <n v="0"/>
    <n v="0"/>
    <n v="0"/>
    <s v="Self-Watering"/>
  </r>
  <r>
    <s v="BHV 5P"/>
    <x v="4"/>
    <s v="Guerney Granite"/>
    <n v="439"/>
    <n v="-73185"/>
    <n v="11493"/>
    <n v="0"/>
    <n v="0"/>
    <n v="0"/>
    <n v="0"/>
    <n v="0"/>
    <s v="Self-Watering"/>
  </r>
  <r>
    <s v="BHV 6P"/>
    <x v="5"/>
    <s v="Guerney Granite"/>
    <n v="492"/>
    <n v="-142100"/>
    <n v="-1040"/>
    <n v="0"/>
    <n v="0"/>
    <n v="0"/>
    <n v="0"/>
    <n v="0"/>
    <s v="Self-Watering"/>
  </r>
  <r>
    <s v="MSP 3P"/>
    <x v="11"/>
    <s v="Guerney Granite"/>
    <n v="334"/>
    <n v="-62730"/>
    <n v="1382"/>
    <n v="0"/>
    <n v="0"/>
    <n v="0"/>
    <n v="0"/>
    <n v="0"/>
    <s v="Self-Watering"/>
  </r>
  <r>
    <s v="FF 2P"/>
    <x v="12"/>
    <s v="Guerney Granite"/>
    <n v="271"/>
    <n v="-39102"/>
    <n v="-3840"/>
    <n v="0"/>
    <n v="0"/>
    <n v="0"/>
    <n v="0"/>
    <n v="0"/>
    <s v="Self-Watering"/>
  </r>
  <r>
    <s v="OVL 0P"/>
    <x v="47"/>
    <s v="Guerney Granite"/>
    <n v="54"/>
    <n v="-10500"/>
    <n v="1254"/>
    <n v="0"/>
    <n v="0"/>
    <n v="0"/>
    <n v="0"/>
    <n v="0"/>
    <s v="Self-Watering"/>
  </r>
  <r>
    <s v="OCT 1P"/>
    <x v="23"/>
    <s v="Guerney Granite"/>
    <n v="162"/>
    <n v="-37120"/>
    <n v="290"/>
    <n v="0"/>
    <n v="0"/>
    <n v="0"/>
    <n v="0"/>
    <n v="0"/>
    <s v="Self-Watering"/>
  </r>
  <r>
    <s v="CNS 1P"/>
    <x v="3"/>
    <s v="Light Green"/>
    <n v="34"/>
    <n v="110"/>
    <n v="342"/>
    <n v="0"/>
    <n v="0"/>
    <n v="0"/>
    <n v="0"/>
    <n v="0"/>
    <s v="Self-Watering"/>
  </r>
  <r>
    <s v="BHV 6P"/>
    <x v="5"/>
    <s v="Light Green"/>
    <n v="455"/>
    <n v="-124800"/>
    <n v="-585"/>
    <n v="0"/>
    <n v="0"/>
    <n v="0"/>
    <n v="0"/>
    <n v="0"/>
    <s v="Self-Watering"/>
  </r>
  <r>
    <s v="UTP 2P"/>
    <x v="6"/>
    <s v="Light Green"/>
    <n v="55"/>
    <n v="0"/>
    <n v="-225"/>
    <n v="0"/>
    <n v="0"/>
    <n v="0"/>
    <n v="0"/>
    <n v="0"/>
    <s v="Self-Watering"/>
  </r>
  <r>
    <s v="WBX 1PL"/>
    <x v="15"/>
    <s v="Light Green"/>
    <n v="39.5"/>
    <n v="-375"/>
    <n v="-31.5"/>
    <n v="0"/>
    <n v="0"/>
    <n v="0"/>
    <n v="0"/>
    <n v="0"/>
    <s v="Self-Watering"/>
  </r>
  <r>
    <s v="CAS 1P"/>
    <x v="7"/>
    <s v="Light Sandstone"/>
    <n v="44"/>
    <n v="420"/>
    <n v="1732"/>
    <n v="0"/>
    <n v="0"/>
    <n v="0"/>
    <n v="0"/>
    <n v="0"/>
    <s v="Self-Watering"/>
  </r>
  <r>
    <s v="MSP 0P"/>
    <x v="8"/>
    <s v="Light Sandstone"/>
    <n v="68"/>
    <n v="-19260"/>
    <n v="-560"/>
    <n v="0"/>
    <n v="0"/>
    <n v="0"/>
    <n v="0"/>
    <n v="0"/>
    <s v="Self-Watering"/>
  </r>
  <r>
    <s v="MSP 1P"/>
    <x v="20"/>
    <s v="Light Sandstone"/>
    <n v="172"/>
    <n v="-38400"/>
    <n v="1500"/>
    <n v="0"/>
    <n v="0"/>
    <n v="0"/>
    <n v="0"/>
    <n v="0"/>
    <s v="Self-Watering"/>
  </r>
  <r>
    <s v="MSP 2P"/>
    <x v="21"/>
    <s v="Light Sandstone"/>
    <n v="249.6"/>
    <n v="-60160"/>
    <n v="400"/>
    <n v="0"/>
    <n v="0"/>
    <n v="0"/>
    <n v="0"/>
    <n v="0"/>
    <s v="Self-Watering"/>
  </r>
  <r>
    <s v="MSP 4P"/>
    <x v="22"/>
    <s v="Light Sandstone"/>
    <n v="458"/>
    <n v="-121550"/>
    <n v="-960"/>
    <n v="0"/>
    <n v="0"/>
    <n v="0"/>
    <n v="0"/>
    <n v="0"/>
    <s v="Self-Watering"/>
  </r>
  <r>
    <s v="OCT 1P"/>
    <x v="23"/>
    <s v="Light Sandstone"/>
    <n v="162"/>
    <n v="-35670"/>
    <n v="-640"/>
    <n v="0"/>
    <n v="0"/>
    <n v="0"/>
    <n v="0"/>
    <n v="0"/>
    <s v="Self-Watering"/>
  </r>
  <r>
    <s v="OCT 2P"/>
    <x v="24"/>
    <s v="Light Sandstone"/>
    <n v="219.6"/>
    <n v="-55648"/>
    <n v="370"/>
    <n v="0"/>
    <n v="0"/>
    <n v="0"/>
    <n v="0"/>
    <n v="0"/>
    <s v="Self-Watering"/>
  </r>
  <r>
    <s v="OCT 3P"/>
    <x v="25"/>
    <s v="Light Sandstone"/>
    <n v="324"/>
    <n v="-88000"/>
    <n v="500"/>
    <n v="0"/>
    <n v="0"/>
    <n v="0"/>
    <n v="0"/>
    <n v="0"/>
    <s v="Self-Watering"/>
  </r>
  <r>
    <s v="J-C45-T4"/>
    <x v="26"/>
    <s v="Light Sandstone"/>
    <n v="-9.4000000000000057"/>
    <n v="-2448.0000000000005"/>
    <n v="0"/>
    <n v="0"/>
    <n v="0"/>
    <n v="0"/>
    <n v="0"/>
    <n v="0"/>
    <s v="Planterware"/>
  </r>
  <r>
    <s v="J-EPS40-DG"/>
    <x v="48"/>
    <s v="Light Sandstone"/>
    <n v="49.8"/>
    <n v="-2992.0000000000005"/>
    <n v="0"/>
    <n v="0"/>
    <n v="0"/>
    <n v="0"/>
    <n v="0"/>
    <n v="0"/>
    <s v="Planterware"/>
  </r>
  <r>
    <s v="OCT 0P"/>
    <x v="2"/>
    <s v="Millstone Gritt"/>
    <n v="138"/>
    <n v="-24250"/>
    <n v="320"/>
    <n v="0"/>
    <n v="0"/>
    <n v="0"/>
    <n v="0"/>
    <n v="0"/>
    <s v="Self-Watering"/>
  </r>
  <r>
    <s v="BHV 6P"/>
    <x v="5"/>
    <s v="Moss Stone"/>
    <n v="492"/>
    <n v="-145600"/>
    <n v="3500"/>
    <n v="0"/>
    <n v="0"/>
    <n v="0"/>
    <n v="0"/>
    <n v="0"/>
    <s v="Self-Watering"/>
  </r>
  <r>
    <s v="CAS 0P"/>
    <x v="0"/>
    <s v="Orange"/>
    <n v="19"/>
    <n v="-600"/>
    <n v="474"/>
    <n v="0"/>
    <n v="0"/>
    <n v="0"/>
    <n v="0"/>
    <n v="0"/>
    <s v="Self-Watering"/>
  </r>
  <r>
    <s v="UTP 1P"/>
    <x v="6"/>
    <s v="Orange"/>
    <n v="43"/>
    <n v="-660"/>
    <n v="275"/>
    <n v="0"/>
    <n v="0"/>
    <n v="0"/>
    <n v="0"/>
    <n v="0"/>
    <s v="Self-Watering"/>
  </r>
  <r>
    <s v="CHB 2P"/>
    <x v="10"/>
    <s v="Orange"/>
    <n v="51"/>
    <n v="-924"/>
    <n v="-15"/>
    <n v="0"/>
    <n v="0"/>
    <n v="0"/>
    <n v="0"/>
    <n v="0"/>
    <s v="Self-Watering"/>
  </r>
  <r>
    <s v="BBU 1P"/>
    <x v="1"/>
    <s v="Pink Granite"/>
    <n v="35.799999999999997"/>
    <n v="28094"/>
    <n v="-2751.0000000000018"/>
    <n v="0"/>
    <n v="0"/>
    <n v="0"/>
    <n v="0"/>
    <n v="0"/>
    <s v="Self-Watering"/>
  </r>
  <r>
    <s v="OCT 0P"/>
    <x v="2"/>
    <s v="Pink Granite"/>
    <n v="138"/>
    <n v="-9000"/>
    <n v="5238"/>
    <n v="0"/>
    <n v="0"/>
    <n v="0"/>
    <n v="0"/>
    <n v="0"/>
    <s v="Self-Watering"/>
  </r>
  <r>
    <s v="BHV 5P"/>
    <x v="4"/>
    <s v="Pink Granite"/>
    <n v="424"/>
    <n v="-84600"/>
    <n v="2240"/>
    <n v="0"/>
    <n v="0"/>
    <n v="0"/>
    <n v="0"/>
    <n v="0"/>
    <s v="Self-Watering"/>
  </r>
  <r>
    <s v="BHV 6P"/>
    <x v="5"/>
    <s v="Pink Granite"/>
    <n v="492"/>
    <n v="-108500"/>
    <n v="8576"/>
    <n v="0"/>
    <n v="0"/>
    <n v="0"/>
    <n v="0"/>
    <n v="0"/>
    <s v="Self-Watering"/>
  </r>
  <r>
    <s v="MSP 0P"/>
    <x v="8"/>
    <s v="Pink Granite"/>
    <n v="68"/>
    <n v="-20160"/>
    <n v="16020"/>
    <n v="0"/>
    <n v="0"/>
    <n v="0"/>
    <n v="0"/>
    <n v="0"/>
    <s v="Self-Watering"/>
  </r>
  <r>
    <s v="MSP 3P"/>
    <x v="11"/>
    <s v="Pink Granite"/>
    <n v="334"/>
    <n v="-72930"/>
    <n v="1842"/>
    <n v="0"/>
    <n v="0"/>
    <n v="0"/>
    <n v="0"/>
    <n v="0"/>
    <s v="Self-Watering"/>
  </r>
  <r>
    <s v="FF 2P"/>
    <x v="12"/>
    <s v="Pink Granite"/>
    <n v="271"/>
    <n v="-29127"/>
    <n v="10915"/>
    <n v="0"/>
    <n v="0"/>
    <n v="0"/>
    <n v="0"/>
    <n v="0"/>
    <s v="Self-Watering"/>
  </r>
  <r>
    <s v="OVL 0P"/>
    <x v="47"/>
    <s v="Pink Granite"/>
    <n v="24"/>
    <n v="-6480"/>
    <n v="1608"/>
    <n v="288"/>
    <n v="168"/>
    <n v="1704"/>
    <n v="696"/>
    <n v="744"/>
    <s v="Self-Watering"/>
  </r>
  <r>
    <s v="WBX 1PL"/>
    <x v="15"/>
    <s v="Pink Granite"/>
    <n v="53.8"/>
    <n v="1547"/>
    <n v="-392.00000000000006"/>
    <n v="0"/>
    <n v="0"/>
    <n v="0"/>
    <n v="0"/>
    <n v="0"/>
    <s v="Self-Watering"/>
  </r>
  <r>
    <s v="WBX 3PL"/>
    <x v="15"/>
    <s v="Pink Granite"/>
    <n v="77.400000000000006"/>
    <n v="1652.9999999999998"/>
    <n v="-616"/>
    <n v="0"/>
    <n v="0"/>
    <n v="0"/>
    <n v="0"/>
    <n v="0"/>
    <s v="Self-Watering"/>
  </r>
  <r>
    <s v="WBX 1P"/>
    <x v="15"/>
    <s v="Pink Granite"/>
    <n v="54.4"/>
    <n v="752"/>
    <n v="944"/>
    <n v="0"/>
    <n v="0"/>
    <n v="0"/>
    <n v="0"/>
    <n v="0"/>
    <s v="Self-Watering"/>
  </r>
  <r>
    <s v="WBX 3P"/>
    <x v="15"/>
    <s v="Pink Granite"/>
    <n v="128"/>
    <n v="3680"/>
    <n v="-1760"/>
    <n v="0"/>
    <n v="0"/>
    <n v="0"/>
    <n v="0"/>
    <n v="0"/>
    <s v="Self-Watering"/>
  </r>
  <r>
    <s v="HBB 2PL"/>
    <x v="13"/>
    <s v="Pink Granite"/>
    <n v="50.6"/>
    <n v="-611"/>
    <n v="-72"/>
    <n v="0"/>
    <n v="0"/>
    <n v="0"/>
    <n v="0"/>
    <n v="0"/>
    <s v="Self-Watering"/>
  </r>
  <r>
    <s v="HBB 1PL"/>
    <x v="13"/>
    <s v="Pink Granite"/>
    <n v="48.8"/>
    <n v="-492.00000000000011"/>
    <n v="-33.6"/>
    <n v="0"/>
    <n v="0"/>
    <n v="0"/>
    <n v="0"/>
    <n v="0"/>
    <s v="Self-Watering"/>
  </r>
  <r>
    <s v="HBB 1P"/>
    <x v="13"/>
    <s v="Pink Granite"/>
    <n v="59.4"/>
    <n v="-1751"/>
    <n v="-128"/>
    <n v="0"/>
    <n v="0"/>
    <n v="0"/>
    <n v="0"/>
    <n v="0"/>
    <s v="Self-Watering"/>
  </r>
  <r>
    <s v="CUH 2P"/>
    <x v="18"/>
    <s v="Pink Granite"/>
    <n v="67.599999999999994"/>
    <n v="233.99999999999977"/>
    <n v="-560"/>
    <n v="0"/>
    <n v="0"/>
    <n v="0"/>
    <n v="0"/>
    <n v="0"/>
    <s v="Self-Watering"/>
  </r>
  <r>
    <s v="HBB 3P"/>
    <x v="13"/>
    <s v="Pink Granite"/>
    <n v="113"/>
    <n v="-2755"/>
    <n v="1034"/>
    <n v="0"/>
    <n v="0"/>
    <n v="0"/>
    <n v="0"/>
    <n v="0"/>
    <s v="Self-Watering"/>
  </r>
  <r>
    <s v="HBB 3PL"/>
    <x v="19"/>
    <s v="Pink Granite"/>
    <n v="81.400000000000006"/>
    <n v="-455.40000000000009"/>
    <n v="761.2"/>
    <n v="0"/>
    <n v="0"/>
    <n v="0"/>
    <n v="0"/>
    <n v="0"/>
    <s v="Self-Watering"/>
  </r>
  <r>
    <s v="MSP 1P"/>
    <x v="20"/>
    <s v="Pink Granite"/>
    <n v="172"/>
    <n v="-38400"/>
    <n v="1500"/>
    <n v="0"/>
    <n v="0"/>
    <n v="0"/>
    <n v="0"/>
    <n v="0"/>
    <s v="Self-Watering"/>
  </r>
  <r>
    <s v="MSP 2P"/>
    <x v="21"/>
    <s v="Pink Granite"/>
    <n v="249.6"/>
    <n v="-58160"/>
    <n v="-752"/>
    <n v="0"/>
    <n v="0"/>
    <n v="0"/>
    <n v="0"/>
    <n v="0"/>
    <s v="Self-Watering"/>
  </r>
  <r>
    <s v="MSP 4P"/>
    <x v="22"/>
    <s v="Pink Granite"/>
    <n v="458"/>
    <n v="-122850"/>
    <n v="-576"/>
    <n v="0"/>
    <n v="0"/>
    <n v="0"/>
    <n v="0"/>
    <n v="0"/>
    <s v="Self-Watering"/>
  </r>
  <r>
    <s v="OCT 1P"/>
    <x v="23"/>
    <s v="Pink Granite"/>
    <n v="162"/>
    <n v="-35670"/>
    <n v="-640"/>
    <n v="0"/>
    <n v="0"/>
    <n v="0"/>
    <n v="0"/>
    <n v="0"/>
    <s v="Self-Watering"/>
  </r>
  <r>
    <s v="OCT 2P"/>
    <x v="24"/>
    <s v="Pink Granite"/>
    <n v="219.6"/>
    <n v="-55278"/>
    <n v="-150.4"/>
    <n v="0"/>
    <n v="0"/>
    <n v="0"/>
    <n v="0"/>
    <n v="0"/>
    <s v="Self-Watering"/>
  </r>
  <r>
    <s v="OCT 3P"/>
    <x v="25"/>
    <s v="Pink Granite"/>
    <n v="324"/>
    <n v="-87500"/>
    <n v="-176"/>
    <n v="0"/>
    <n v="0"/>
    <n v="0"/>
    <n v="0"/>
    <n v="0"/>
    <s v="Self-Watering"/>
  </r>
  <r>
    <s v="CAS 0P"/>
    <x v="0"/>
    <s v="Sky Blue"/>
    <n v="19"/>
    <n v="4560"/>
    <n v="-995"/>
    <n v="0"/>
    <n v="0"/>
    <n v="0"/>
    <n v="0"/>
    <n v="0"/>
    <s v="Self-Watering"/>
  </r>
  <r>
    <s v="UTP 2P"/>
    <x v="6"/>
    <s v="Sky Blue"/>
    <n v="55"/>
    <n v="560"/>
    <n v="5"/>
    <n v="0"/>
    <n v="0"/>
    <n v="0"/>
    <n v="0"/>
    <n v="0"/>
    <s v="Self-Watering"/>
  </r>
  <r>
    <s v="UTP 1P"/>
    <x v="6"/>
    <s v="Sky Blue"/>
    <n v="43"/>
    <n v="-385"/>
    <n v="-60"/>
    <n v="0"/>
    <n v="0"/>
    <n v="0"/>
    <n v="0"/>
    <n v="0"/>
    <s v="Self-Watering"/>
  </r>
  <r>
    <s v="OVL 0P"/>
    <x v="47"/>
    <s v="Sky Blue"/>
    <n v="30"/>
    <n v="-10200"/>
    <n v="-450"/>
    <n v="0"/>
    <n v="0"/>
    <n v="0"/>
    <n v="0"/>
    <n v="0"/>
    <s v="Self-Watering"/>
  </r>
  <r>
    <s v="CUH 1P"/>
    <x v="18"/>
    <s v="Sky Blue"/>
    <n v="34"/>
    <n v="-686"/>
    <n v="-15"/>
    <n v="0"/>
    <n v="0"/>
    <n v="0"/>
    <n v="0"/>
    <n v="0"/>
    <s v="Self-Watering"/>
  </r>
  <r>
    <s v="MSP 1P"/>
    <x v="20"/>
    <s v="Sky Blue"/>
    <n v="130"/>
    <n v="-30000"/>
    <n v="1250"/>
    <n v="0"/>
    <n v="0"/>
    <n v="0"/>
    <n v="0"/>
    <n v="0"/>
    <s v="Self-Watering"/>
  </r>
  <r>
    <s v="OCT 1P"/>
    <x v="23"/>
    <s v="Sky Blue"/>
    <n v="140"/>
    <n v="-30940"/>
    <n v="-120"/>
    <n v="0"/>
    <n v="0"/>
    <n v="0"/>
    <n v="0"/>
    <n v="0"/>
    <s v="Self-Watering"/>
  </r>
  <r>
    <s v="CAS 0P"/>
    <x v="49"/>
    <s v="Standard Green"/>
    <n v="19"/>
    <n v="51160"/>
    <n v="22700"/>
    <n v="15200"/>
    <n v="14250"/>
    <n v="22800"/>
    <n v="38950"/>
    <n v="37620"/>
    <s v="Self-Watering"/>
  </r>
  <r>
    <s v="BBU 1P"/>
    <x v="1"/>
    <s v="Standard Green"/>
    <n v="32"/>
    <n v="21600"/>
    <n v="6900"/>
    <n v="7360"/>
    <n v="6400"/>
    <n v="7200"/>
    <n v="22560"/>
    <n v="21760"/>
    <s v="Self-Watering"/>
  </r>
  <r>
    <s v="OCT 0P"/>
    <x v="2"/>
    <s v="Standard Green"/>
    <n v="145"/>
    <n v="31250"/>
    <n v="22600"/>
    <n v="19575"/>
    <n v="12615"/>
    <n v="7685"/>
    <n v="34075"/>
    <n v="29000"/>
    <s v="Self-Watering"/>
  </r>
  <r>
    <s v="CNS 1P"/>
    <x v="3"/>
    <s v="Standard Green"/>
    <n v="34"/>
    <n v="85635"/>
    <n v="46612"/>
    <n v="38590"/>
    <n v="32538"/>
    <n v="78200"/>
    <n v="94520"/>
    <n v="95200"/>
    <s v="Self-Watering"/>
  </r>
  <r>
    <s v="BHV 5P"/>
    <x v="4"/>
    <s v="Standard Green"/>
    <n v="435"/>
    <n v="-59400"/>
    <n v="10110"/>
    <n v="5220"/>
    <n v="6525"/>
    <n v="14355"/>
    <n v="21750"/>
    <n v="19575"/>
    <s v="Self-Watering"/>
  </r>
  <r>
    <s v="BHV 6P"/>
    <x v="5"/>
    <s v="Standard Green"/>
    <n v="455"/>
    <n v="-24050"/>
    <n v="42640"/>
    <n v="113750"/>
    <n v="0"/>
    <n v="0"/>
    <n v="0"/>
    <n v="0"/>
    <s v="Self-Watering"/>
  </r>
  <r>
    <s v="UTP 2P"/>
    <x v="6"/>
    <s v="Standard Green"/>
    <n v="55"/>
    <n v="61250"/>
    <n v="40200"/>
    <n v="28655"/>
    <n v="12100"/>
    <n v="19195"/>
    <n v="76175"/>
    <n v="70950"/>
    <s v="Self-Watering"/>
  </r>
  <r>
    <s v="CAS 1P"/>
    <x v="7"/>
    <s v="Standard Green"/>
    <n v="35"/>
    <n v="42250"/>
    <n v="24300"/>
    <n v="12005"/>
    <n v="11200"/>
    <n v="10045"/>
    <n v="23800"/>
    <n v="21805"/>
    <s v="Self-Watering"/>
  </r>
  <r>
    <s v="UTP 1P"/>
    <x v="6"/>
    <s v="Standard Green"/>
    <n v="43"/>
    <n v="79090"/>
    <n v="28470"/>
    <n v="26660"/>
    <n v="14964"/>
    <n v="39990"/>
    <n v="37410"/>
    <n v="36550"/>
    <s v="Self-Watering"/>
  </r>
  <r>
    <s v="BBU 1PL"/>
    <x v="9"/>
    <s v="Standard Green"/>
    <n v="24.5"/>
    <n v="46882.5"/>
    <n v="27825"/>
    <n v="13891.5"/>
    <n v="4900"/>
    <n v="13230"/>
    <n v="30625"/>
    <n v="21805"/>
    <s v="Self-Watering"/>
  </r>
  <r>
    <s v="CHB 1P"/>
    <x v="10"/>
    <s v="Standard Green"/>
    <n v="30"/>
    <n v="14715"/>
    <n v="7470"/>
    <n v="3990"/>
    <n v="6000"/>
    <n v="5610"/>
    <n v="25500"/>
    <n v="10350"/>
    <s v="Self-Watering"/>
  </r>
  <r>
    <s v="MSP 3P"/>
    <x v="11"/>
    <s v="Standard Green"/>
    <n v="235"/>
    <n v="-56000"/>
    <n v="7875"/>
    <n v="5405"/>
    <n v="5170"/>
    <n v="8225"/>
    <n v="31725"/>
    <n v="33370"/>
    <s v="Self-Watering"/>
  </r>
  <r>
    <s v="HBB 2P"/>
    <x v="13"/>
    <s v="Standard Green"/>
    <n v="28"/>
    <n v="11165"/>
    <n v="3965"/>
    <n v="2072"/>
    <n v="1876"/>
    <n v="1540"/>
    <n v="2240"/>
    <n v="7000"/>
    <s v="Self-Watering"/>
  </r>
  <r>
    <s v="BBU 0P"/>
    <x v="14"/>
    <s v="Standard Green"/>
    <n v="47.5"/>
    <n v="23625"/>
    <n v="9050"/>
    <n v="6317.5"/>
    <n v="4180"/>
    <n v="475"/>
    <n v="0"/>
    <n v="0"/>
    <s v="Self-Watering"/>
  </r>
  <r>
    <s v="WBX 1PL"/>
    <x v="15"/>
    <s v="Standard Green"/>
    <n v="39.5"/>
    <n v="-275"/>
    <n v="-52.5"/>
    <n v="0"/>
    <n v="0"/>
    <n v="0"/>
    <n v="0"/>
    <n v="0"/>
    <s v="Self-Watering"/>
  </r>
  <r>
    <s v="WBX 3PL"/>
    <x v="15"/>
    <s v="Standard Green"/>
    <n v="63.5"/>
    <n v="14680"/>
    <n v="300"/>
    <n v="317.5"/>
    <n v="0"/>
    <n v="0"/>
    <n v="0"/>
    <n v="0"/>
    <s v="Self-Watering"/>
  </r>
  <r>
    <s v="UTP 2PL"/>
    <x v="16"/>
    <s v="Standard Green"/>
    <n v="24.5"/>
    <n v="14787.5"/>
    <n v="7703.5"/>
    <n v="5757.5"/>
    <n v="4165"/>
    <n v="1347.5"/>
    <n v="3307.5"/>
    <n v="2940"/>
    <s v="Self-Watering"/>
  </r>
  <r>
    <s v="WBX 1P"/>
    <x v="15"/>
    <s v="Standard Green"/>
    <n v="56"/>
    <n v="13200"/>
    <n v="6984"/>
    <n v="3584"/>
    <n v="0"/>
    <n v="4872"/>
    <n v="8568"/>
    <n v="8120"/>
    <s v="Self-Watering"/>
  </r>
  <r>
    <s v="UTP 1PL"/>
    <x v="16"/>
    <s v="Standard Green"/>
    <n v="24.5"/>
    <n v="18182.5"/>
    <n v="11235"/>
    <n v="6296.5"/>
    <n v="4900"/>
    <n v="5635"/>
    <n v="14210"/>
    <n v="14161"/>
    <s v="Self-Watering"/>
  </r>
  <r>
    <s v="WBX 3P"/>
    <x v="15"/>
    <s v="Standard Green"/>
    <n v="115"/>
    <n v="2175"/>
    <n v="3725"/>
    <n v="3450"/>
    <n v="2300"/>
    <n v="1725"/>
    <n v="5750"/>
    <n v="5175"/>
    <s v="Self-Watering"/>
  </r>
  <r>
    <s v="HBB 2PL"/>
    <x v="13"/>
    <s v="Standard Green"/>
    <n v="36.5"/>
    <n v="1325"/>
    <n v="1110"/>
    <n v="1642.5"/>
    <n v="730"/>
    <n v="547.5"/>
    <n v="2007.5"/>
    <n v="1679"/>
    <s v="Self-Watering"/>
  </r>
  <r>
    <s v="CNS 1PL"/>
    <x v="17"/>
    <s v="Standard Green"/>
    <n v="70"/>
    <n v="14025"/>
    <n v="-2700"/>
    <n v="0"/>
    <n v="0"/>
    <n v="0"/>
    <n v="0"/>
    <n v="0"/>
    <s v="Self-Watering"/>
  </r>
  <r>
    <s v="HBB 1PL"/>
    <x v="13"/>
    <s v="Standard Green"/>
    <n v="34.5"/>
    <n v="607.5"/>
    <n v="-252"/>
    <n v="0"/>
    <n v="0"/>
    <n v="0"/>
    <n v="0"/>
    <n v="0"/>
    <s v="Self-Watering"/>
  </r>
  <r>
    <s v="CHB 2P"/>
    <x v="10"/>
    <s v="Standard Green"/>
    <n v="51"/>
    <n v="4752"/>
    <n v="2985"/>
    <n v="2550"/>
    <n v="3417"/>
    <n v="2550"/>
    <n v="1785"/>
    <n v="2805"/>
    <s v="Self-Watering"/>
  </r>
  <r>
    <s v="HBB 1P"/>
    <x v="13"/>
    <s v="Standard Green"/>
    <n v="51"/>
    <n v="8325"/>
    <n v="4260"/>
    <n v="4437"/>
    <n v="765"/>
    <n v="2907"/>
    <n v="9180"/>
    <n v="8517"/>
    <s v="Self-Watering"/>
  </r>
  <r>
    <s v="CUH 2P"/>
    <x v="18"/>
    <s v="Standard Green"/>
    <n v="58"/>
    <n v="1501"/>
    <n v="1688"/>
    <n v="2610"/>
    <n v="754"/>
    <n v="1450"/>
    <n v="3828"/>
    <n v="2610"/>
    <s v="Self-Watering"/>
  </r>
  <r>
    <s v="CUH 1P"/>
    <x v="18"/>
    <s v="Standard Green"/>
    <n v="34"/>
    <n v="2597"/>
    <n v="1675"/>
    <n v="680"/>
    <n v="850"/>
    <n v="1020"/>
    <n v="1496"/>
    <n v="340"/>
    <s v="Self-Watering"/>
  </r>
  <r>
    <s v="WBX 0P"/>
    <x v="15"/>
    <s v="Standard Green"/>
    <n v="52"/>
    <n v="-1050"/>
    <n v="-54"/>
    <n v="0"/>
    <n v="0"/>
    <n v="0"/>
    <n v="0"/>
    <n v="0"/>
    <s v="Self-Watering"/>
  </r>
  <r>
    <s v="HBB 3P"/>
    <x v="13"/>
    <s v="Standard Green"/>
    <n v="115"/>
    <n v="-2900"/>
    <n v="-300"/>
    <n v="0"/>
    <n v="0"/>
    <n v="0"/>
    <n v="0"/>
    <n v="0"/>
    <s v="Self-Watering"/>
  </r>
  <r>
    <s v="HBB 3PL"/>
    <x v="19"/>
    <s v="Standard Green"/>
    <n v="68.5"/>
    <n v="-552.5"/>
    <n v="-165"/>
    <n v="0"/>
    <n v="0"/>
    <n v="0"/>
    <n v="0"/>
    <n v="0"/>
    <s v="Self-Watering"/>
  </r>
  <r>
    <s v="TES 0P"/>
    <x v="50"/>
    <s v="Standard Green"/>
    <n v="42"/>
    <n v="25560"/>
    <n v="9648"/>
    <n v="7560"/>
    <n v="9324"/>
    <n v="20706"/>
    <n v="18900"/>
    <n v="0"/>
    <s v="Self-Watering"/>
  </r>
  <r>
    <s v="MSP 1P"/>
    <x v="20"/>
    <s v="Standard Green"/>
    <n v="130"/>
    <n v="-29750"/>
    <n v="-120"/>
    <n v="0"/>
    <n v="0"/>
    <n v="0"/>
    <n v="0"/>
    <n v="0"/>
    <s v="Self-Watering"/>
  </r>
  <r>
    <s v="MSP 2P"/>
    <x v="21"/>
    <s v="Standard Green"/>
    <n v="229"/>
    <n v="-51060"/>
    <n v="-423"/>
    <n v="0"/>
    <n v="0"/>
    <n v="0"/>
    <n v="0"/>
    <n v="0"/>
    <s v="Self-Watering"/>
  </r>
  <r>
    <s v="MSP 4P"/>
    <x v="22"/>
    <s v="Standard Green"/>
    <n v="409"/>
    <n v="-100130"/>
    <n v="-1800"/>
    <n v="0"/>
    <n v="0"/>
    <n v="0"/>
    <n v="0"/>
    <n v="0"/>
    <s v="Self-Watering"/>
  </r>
  <r>
    <s v="OCT 2P"/>
    <x v="24"/>
    <s v="Standard Green"/>
    <n v="199"/>
    <n v="-47600"/>
    <n v="-141"/>
    <n v="0"/>
    <n v="0"/>
    <n v="0"/>
    <n v="0"/>
    <n v="0"/>
    <s v="Self-Watering"/>
  </r>
  <r>
    <s v="OCT 3P"/>
    <x v="25"/>
    <s v="Standard Green"/>
    <n v="305"/>
    <n v="-76610"/>
    <n v="-330"/>
    <n v="0"/>
    <n v="0"/>
    <n v="0"/>
    <n v="0"/>
    <n v="0"/>
    <s v="Self-Watering"/>
  </r>
  <r>
    <s v="J-C40"/>
    <x v="26"/>
    <s v="Terracotta"/>
    <n v="-7"/>
    <n v="3220"/>
    <n v="-5593"/>
    <n v="0"/>
    <n v="0"/>
    <n v="0"/>
    <n v="0"/>
    <n v="0"/>
    <s v="Planterware"/>
  </r>
  <r>
    <s v="J-C45-T2"/>
    <x v="26"/>
    <s v="Terracotta"/>
    <n v="-11"/>
    <n v="360"/>
    <n v="-2860"/>
    <n v="-11"/>
    <n v="0"/>
    <n v="0"/>
    <n v="0"/>
    <n v="0"/>
    <s v="Planterware"/>
  </r>
  <r>
    <s v="J-C65"/>
    <x v="26"/>
    <s v="Terracotta"/>
    <n v="0"/>
    <n v="-300"/>
    <n v="-1200"/>
    <n v="0"/>
    <n v="0"/>
    <n v="0"/>
    <n v="0"/>
    <n v="0"/>
    <s v="Planterware"/>
  </r>
  <r>
    <s v="J-EPS40-DG"/>
    <x v="48"/>
    <s v="Terracotta"/>
    <n v="42"/>
    <n v="7275"/>
    <n v="1485"/>
    <n v="504"/>
    <n v="0"/>
    <n v="0"/>
    <n v="0"/>
    <n v="0"/>
    <s v="Planterware"/>
  </r>
  <r>
    <s v="J-EPS50"/>
    <x v="48"/>
    <s v="Terracotta"/>
    <n v="15"/>
    <n v="5400"/>
    <n v="-2175"/>
    <n v="105"/>
    <n v="0"/>
    <n v="0"/>
    <n v="0"/>
    <n v="0"/>
    <s v="Planterware"/>
  </r>
  <r>
    <s v="J-EPS60-AT"/>
    <x v="48"/>
    <s v="Terracotta"/>
    <n v="25"/>
    <n v="12580"/>
    <n v="-5425"/>
    <n v="500"/>
    <n v="0"/>
    <n v="0"/>
    <n v="0"/>
    <n v="0"/>
    <s v="Planterware"/>
  </r>
  <r>
    <s v="J-EPV40-DG"/>
    <x v="51"/>
    <s v="Terracotta"/>
    <n v="30"/>
    <n v="4815"/>
    <n v="2265"/>
    <n v="90"/>
    <n v="0"/>
    <n v="0"/>
    <n v="0"/>
    <n v="0"/>
    <s v="Planterware"/>
  </r>
  <r>
    <s v="J-EPV50-T2"/>
    <x v="51"/>
    <s v="Terracotta"/>
    <n v="29"/>
    <n v="9676"/>
    <n v="198"/>
    <n v="58"/>
    <n v="0"/>
    <n v="0"/>
    <n v="0"/>
    <n v="0"/>
    <s v="Planterware"/>
  </r>
  <r>
    <s v="J-EPV60"/>
    <x v="51"/>
    <s v="Terracotta"/>
    <n v="36"/>
    <n v="8100"/>
    <n v="2517"/>
    <n v="612"/>
    <n v="0"/>
    <n v="0"/>
    <n v="0"/>
    <n v="0"/>
    <s v="Planterware"/>
  </r>
  <r>
    <s v="J-EPV75"/>
    <x v="51"/>
    <s v="Terracotta"/>
    <n v="39"/>
    <n v="7380"/>
    <n v="1587"/>
    <n v="312"/>
    <n v="0"/>
    <n v="0"/>
    <n v="0"/>
    <n v="0"/>
    <s v="Planterware"/>
  </r>
  <r>
    <s v="J-R100"/>
    <x v="52"/>
    <s v="Terracotta"/>
    <n v="21"/>
    <n v="6705"/>
    <n v="-57"/>
    <n v="1575"/>
    <n v="0"/>
    <n v="0"/>
    <n v="0"/>
    <n v="0"/>
    <s v="Planterware"/>
  </r>
  <r>
    <s v="J-R100/40"/>
    <x v="52"/>
    <s v="Terracotta"/>
    <n v="30"/>
    <n v="24000"/>
    <n v="480"/>
    <n v="4710"/>
    <n v="0"/>
    <n v="0"/>
    <n v="0"/>
    <n v="0"/>
    <s v="Planterware"/>
  </r>
  <r>
    <s v="J-R120"/>
    <x v="52"/>
    <s v="Terracotta"/>
    <n v="32"/>
    <n v="4928"/>
    <n v="2949"/>
    <n v="1024"/>
    <n v="0"/>
    <n v="0"/>
    <n v="0"/>
    <n v="0"/>
    <s v="Planterware"/>
  </r>
  <r>
    <s v="J-R65"/>
    <x v="52"/>
    <s v="Terracotta"/>
    <n v="30"/>
    <n v="2880"/>
    <n v="120"/>
    <n v="0"/>
    <n v="0"/>
    <n v="0"/>
    <n v="0"/>
    <n v="0"/>
    <s v="Planterware"/>
  </r>
  <r>
    <s v="J-S40"/>
    <x v="53"/>
    <s v="Terracotta"/>
    <n v="17"/>
    <n v="2144"/>
    <n v="-174"/>
    <n v="340"/>
    <n v="0"/>
    <n v="0"/>
    <n v="0"/>
    <n v="0"/>
    <s v="Planterware"/>
  </r>
  <r>
    <s v="J-S50"/>
    <x v="53"/>
    <s v="Terracotta"/>
    <n v="24"/>
    <n v="5940"/>
    <n v="972"/>
    <n v="1200"/>
    <n v="0"/>
    <n v="0"/>
    <n v="0"/>
    <n v="0"/>
    <s v="Planterware"/>
  </r>
  <r>
    <s v="J-S60"/>
    <x v="53"/>
    <s v="Terracotta"/>
    <n v="27"/>
    <n v="3366"/>
    <n v="-375"/>
    <n v="405"/>
    <n v="0"/>
    <n v="0"/>
    <n v="0"/>
    <n v="0"/>
    <s v="Planterware"/>
  </r>
  <r>
    <s v="J-S75-AG"/>
    <x v="53"/>
    <s v="Terracotta"/>
    <n v="27"/>
    <n v="-540"/>
    <n v="468"/>
    <n v="81"/>
    <n v="0"/>
    <n v="0"/>
    <n v="0"/>
    <n v="0"/>
    <s v="Planterware"/>
  </r>
  <r>
    <s v="J-TS3550"/>
    <x v="54"/>
    <s v="Terracotta"/>
    <n v="0"/>
    <n v="2610"/>
    <n v="-1170"/>
    <n v="0"/>
    <n v="0"/>
    <n v="0"/>
    <n v="0"/>
    <n v="0"/>
    <s v="Planterware"/>
  </r>
  <r>
    <s v="J-TS4056"/>
    <x v="54"/>
    <s v="Terracotta"/>
    <n v="3"/>
    <n v="432"/>
    <n v="-2430"/>
    <n v="0"/>
    <n v="0"/>
    <n v="0"/>
    <n v="0"/>
    <n v="0"/>
    <s v="Planterware"/>
  </r>
  <r>
    <s v="J-TS4070"/>
    <x v="54"/>
    <s v="Terracotta"/>
    <n v="5"/>
    <n v="-500"/>
    <n v="2675"/>
    <n v="25"/>
    <n v="0"/>
    <n v="0"/>
    <n v="0"/>
    <n v="0"/>
    <s v="Planterware"/>
  </r>
  <r>
    <s v="J-TS4590"/>
    <x v="54"/>
    <s v="Terracotta"/>
    <n v="5"/>
    <n v="9500"/>
    <n v="-7825"/>
    <n v="195"/>
    <n v="0"/>
    <n v="0"/>
    <n v="0"/>
    <n v="0"/>
    <s v="Planterware"/>
  </r>
  <r>
    <s v="J-TV5070"/>
    <x v="55"/>
    <s v="Terracotta"/>
    <n v="43"/>
    <n v="2920"/>
    <n v="-1589"/>
    <n v="0"/>
    <n v="0"/>
    <n v="0"/>
    <n v="0"/>
    <n v="0"/>
    <s v="Planterware"/>
  </r>
  <r>
    <s v="J-TV6084-RBL"/>
    <x v="55"/>
    <s v="Terracotta"/>
    <n v="43"/>
    <n v="-79"/>
    <n v="1505"/>
    <n v="215"/>
    <n v="0"/>
    <n v="0"/>
    <n v="0"/>
    <n v="0"/>
    <s v="Planterware"/>
  </r>
  <r>
    <s v="J-V110-T2"/>
    <x v="56"/>
    <s v="Terracotta"/>
    <n v="40"/>
    <n v="8925"/>
    <n v="-2500"/>
    <n v="160"/>
    <n v="0"/>
    <n v="0"/>
    <n v="0"/>
    <n v="0"/>
    <s v="Planterware"/>
  </r>
  <r>
    <s v="J-V40-PR"/>
    <x v="56"/>
    <s v="Terracotta"/>
    <n v="15"/>
    <n v="6600"/>
    <n v="1275"/>
    <n v="345"/>
    <n v="0"/>
    <n v="0"/>
    <n v="0"/>
    <n v="0"/>
    <s v="Planterware"/>
  </r>
  <r>
    <s v="J-V50"/>
    <x v="56"/>
    <s v="Terracotta"/>
    <n v="14"/>
    <n v="6615"/>
    <n v="1610"/>
    <n v="350"/>
    <n v="0"/>
    <n v="0"/>
    <n v="0"/>
    <n v="0"/>
    <s v="Planterware"/>
  </r>
  <r>
    <s v="J-V60"/>
    <x v="56"/>
    <s v="Terracotta"/>
    <n v="18"/>
    <n v="12825"/>
    <n v="-3564"/>
    <n v="540"/>
    <n v="0"/>
    <n v="0"/>
    <n v="0"/>
    <n v="0"/>
    <s v="Planterware"/>
  </r>
  <r>
    <s v="J-V70-PR"/>
    <x v="56"/>
    <s v="Terracotta"/>
    <n v="23.5"/>
    <n v="14162.5"/>
    <n v="1511.5"/>
    <n v="4817.5"/>
    <n v="0"/>
    <n v="0"/>
    <n v="0"/>
    <n v="0"/>
    <s v="Planterware"/>
  </r>
  <r>
    <s v="J-V85-PR"/>
    <x v="56"/>
    <s v="Terracotta"/>
    <n v="29"/>
    <n v="13260"/>
    <n v="2410"/>
    <n v="435"/>
    <n v="0"/>
    <n v="0"/>
    <n v="0"/>
    <n v="0"/>
    <s v="Planterware"/>
  </r>
  <r>
    <s v="J-VG40"/>
    <x v="57"/>
    <s v="Terracotta"/>
    <n v="36"/>
    <n v="-1950"/>
    <n v="-507"/>
    <n v="0"/>
    <n v="0"/>
    <n v="0"/>
    <n v="0"/>
    <n v="0"/>
    <s v="Planterware"/>
  </r>
  <r>
    <s v="J-VG50"/>
    <x v="57"/>
    <s v="Terracotta"/>
    <n v="43"/>
    <n v="-2376"/>
    <n v="-810"/>
    <n v="0"/>
    <n v="0"/>
    <n v="0"/>
    <n v="0"/>
    <n v="0"/>
    <s v="Planterware"/>
  </r>
  <r>
    <s v="J-WINBOX-LG"/>
    <x v="58"/>
    <s v="Terracotta"/>
    <n v="37"/>
    <n v="-1280"/>
    <n v="1411"/>
    <n v="925"/>
    <n v="0"/>
    <n v="0"/>
    <n v="0"/>
    <n v="0"/>
    <s v="Planterware"/>
  </r>
  <r>
    <s v="MSP 0P"/>
    <x v="8"/>
    <s v="White Marble"/>
    <n v="68"/>
    <n v="-19260"/>
    <n v="-560"/>
    <n v="0"/>
    <n v="0"/>
    <n v="0"/>
    <n v="0"/>
    <n v="0"/>
    <s v="Self-Water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"/>
    <n v="10"/>
  </r>
  <r>
    <x v="1"/>
    <n v="8"/>
    <n v="11"/>
  </r>
  <r>
    <x v="2"/>
    <n v="13"/>
    <n v="8"/>
  </r>
  <r>
    <x v="3"/>
    <n v="18"/>
    <n v="4"/>
  </r>
  <r>
    <x v="4"/>
    <n v="18"/>
    <n v="2"/>
  </r>
  <r>
    <x v="5"/>
    <n v="15"/>
    <n v="3"/>
  </r>
  <r>
    <x v="6"/>
    <n v="10"/>
    <n v="7"/>
  </r>
  <r>
    <x v="7"/>
    <n v="8"/>
    <n v="7"/>
  </r>
  <r>
    <x v="8"/>
    <n v="3"/>
    <n v="8"/>
  </r>
  <r>
    <x v="9"/>
    <n v="2"/>
    <n v="13"/>
  </r>
  <r>
    <x v="10"/>
    <n v="1"/>
    <n v="15"/>
  </r>
  <r>
    <x v="11"/>
    <n v="1"/>
    <n v="1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Meter sq planter (1)"/>
    <x v="0"/>
    <n v="40"/>
    <n v="112"/>
    <n v="220"/>
    <n v="108"/>
    <n v="0"/>
    <n v="0"/>
    <n v="1"/>
    <n v="220"/>
    <n v="0"/>
    <n v="0"/>
    <n v="1"/>
    <n v="108"/>
    <n v="38"/>
    <n v="4104"/>
    <n v="0"/>
    <n v="0"/>
    <n v="0"/>
    <n v="0"/>
    <n v="40"/>
    <s v="Self-Watering"/>
    <n v="98"/>
  </r>
  <r>
    <x v="1"/>
    <s v="Meter sq planter (4)"/>
    <x v="0"/>
    <n v="60"/>
    <n v="168"/>
    <n v="579"/>
    <n v="411"/>
    <n v="0"/>
    <n v="0"/>
    <n v="0"/>
    <n v="0"/>
    <n v="0"/>
    <n v="0"/>
    <n v="0"/>
    <n v="0"/>
    <n v="12"/>
    <n v="4932"/>
    <n v="0"/>
    <n v="0"/>
    <n v="0"/>
    <n v="0"/>
    <n v="12"/>
    <s v="Self-Watering"/>
    <n v="96"/>
  </r>
  <r>
    <x v="2"/>
    <s v="Octagonal fountain (2)"/>
    <x v="0"/>
    <n v="47"/>
    <n v="131.6"/>
    <n v="315"/>
    <n v="183.4"/>
    <n v="0"/>
    <n v="0"/>
    <n v="0"/>
    <n v="0"/>
    <n v="0"/>
    <n v="0"/>
    <n v="1"/>
    <n v="183.4"/>
    <n v="0"/>
    <n v="0"/>
    <n v="0"/>
    <n v="0"/>
    <n v="0"/>
    <n v="0"/>
    <n v="1"/>
    <s v="Self-Watering"/>
    <n v="93"/>
  </r>
  <r>
    <x v="3"/>
    <s v="Cylinder"/>
    <x v="0"/>
    <n v="14"/>
    <n v="39.199999999999996"/>
    <n v="30"/>
    <n v="-9.1999999999999957"/>
    <n v="0"/>
    <n v="0"/>
    <n v="0"/>
    <n v="0"/>
    <n v="0"/>
    <n v="0"/>
    <n v="0"/>
    <n v="0"/>
    <n v="0"/>
    <n v="0"/>
    <n v="0"/>
    <n v="0"/>
    <n v="0"/>
    <n v="0"/>
    <n v="0"/>
    <s v="Planterware"/>
    <n v="93"/>
  </r>
  <r>
    <x v="4"/>
    <s v="Cylinder"/>
    <x v="0"/>
    <n v="17"/>
    <n v="47.599999999999994"/>
    <n v="38"/>
    <n v="-9.5999999999999943"/>
    <n v="0"/>
    <n v="0"/>
    <n v="0"/>
    <n v="0"/>
    <n v="0"/>
    <n v="0"/>
    <n v="0"/>
    <n v="0"/>
    <n v="0"/>
    <n v="0"/>
    <n v="0"/>
    <n v="0"/>
    <n v="0"/>
    <n v="0"/>
    <n v="0"/>
    <s v="Planterware"/>
    <n v="99"/>
  </r>
  <r>
    <x v="5"/>
    <s v="Meter sq planter (2)"/>
    <x v="0"/>
    <n v="47"/>
    <n v="131.6"/>
    <n v="340"/>
    <n v="208.4"/>
    <n v="2"/>
    <n v="416.8"/>
    <n v="34"/>
    <n v="11296.8"/>
    <n v="36"/>
    <n v="7502.4000000000005"/>
    <n v="2"/>
    <n v="416.8"/>
    <n v="0"/>
    <n v="0"/>
    <n v="0"/>
    <n v="0"/>
    <n v="0"/>
    <n v="0"/>
    <n v="74"/>
    <s v="Self-Watering"/>
    <n v="92"/>
  </r>
  <r>
    <x v="6"/>
    <s v="Octagonal fountain (1)"/>
    <x v="0"/>
    <n v="40"/>
    <n v="112"/>
    <n v="250"/>
    <n v="138"/>
    <n v="5"/>
    <n v="690"/>
    <n v="0"/>
    <n v="-560"/>
    <n v="0"/>
    <n v="0"/>
    <n v="2"/>
    <n v="276"/>
    <n v="52"/>
    <n v="7176"/>
    <n v="0"/>
    <n v="0"/>
    <n v="0"/>
    <n v="0"/>
    <n v="59"/>
    <s v="Self-Watering"/>
    <n v="95"/>
  </r>
  <r>
    <x v="7"/>
    <s v="Screwball post bin"/>
    <x v="0"/>
    <n v="5"/>
    <n v="14"/>
    <n v="100"/>
    <n v="86"/>
    <n v="5"/>
    <n v="430"/>
    <n v="7"/>
    <n v="630"/>
    <n v="3"/>
    <n v="258"/>
    <n v="8"/>
    <n v="688"/>
    <n v="0"/>
    <n v="0"/>
    <n v="0"/>
    <n v="0"/>
    <n v="0"/>
    <n v="0"/>
    <n v="23"/>
    <s v="Bins"/>
    <n v="91"/>
  </r>
  <r>
    <x v="8"/>
    <s v="Octagonal fountain (3)"/>
    <x v="0"/>
    <n v="55"/>
    <n v="154"/>
    <n v="450"/>
    <n v="296"/>
    <n v="7"/>
    <n v="2072"/>
    <n v="2"/>
    <n v="-178"/>
    <n v="3"/>
    <n v="888"/>
    <n v="1"/>
    <n v="296"/>
    <n v="8"/>
    <n v="2368"/>
    <n v="0"/>
    <n v="0"/>
    <n v="0"/>
    <n v="0"/>
    <n v="21"/>
    <s v="Self-Watering"/>
    <n v="95"/>
  </r>
  <r>
    <x v="9"/>
    <s v="Wall and window box"/>
    <x v="0"/>
    <n v="6"/>
    <n v="16.799999999999997"/>
    <n v="60"/>
    <n v="43.2"/>
    <n v="10"/>
    <n v="432"/>
    <n v="10"/>
    <n v="432"/>
    <n v="12"/>
    <n v="518.40000000000009"/>
    <n v="13"/>
    <n v="561.6"/>
    <n v="36"/>
    <n v="1555.2"/>
    <n v="34"/>
    <n v="1468.8000000000002"/>
    <n v="0"/>
    <n v="0"/>
    <n v="115"/>
    <s v="Self-Watering"/>
    <n v="98"/>
  </r>
  <r>
    <x v="10"/>
    <s v="Poo bin"/>
    <x v="0"/>
    <n v="7"/>
    <n v="19.599999999999998"/>
    <n v="120"/>
    <n v="100.4"/>
    <n v="10"/>
    <n v="1004"/>
    <n v="0"/>
    <n v="-195.99999999999997"/>
    <n v="0"/>
    <n v="0"/>
    <n v="0"/>
    <n v="0"/>
    <n v="0"/>
    <n v="0"/>
    <n v="0"/>
    <n v="0"/>
    <n v="0"/>
    <n v="0"/>
    <n v="10"/>
    <s v="Bins"/>
    <n v="98"/>
  </r>
  <r>
    <x v="11"/>
    <s v="Parot bin "/>
    <x v="0"/>
    <n v="30"/>
    <n v="84"/>
    <n v="280"/>
    <n v="196"/>
    <n v="12"/>
    <n v="2352"/>
    <n v="12"/>
    <n v="2352"/>
    <n v="9"/>
    <n v="1764"/>
    <n v="10"/>
    <n v="1960"/>
    <n v="13"/>
    <n v="2548"/>
    <n v="13"/>
    <n v="2548"/>
    <n v="15"/>
    <n v="2940"/>
    <n v="69"/>
    <s v="Bins"/>
    <n v="93"/>
  </r>
  <r>
    <x v="12"/>
    <s v="Half barrier basket"/>
    <x v="0"/>
    <n v="10"/>
    <n v="28"/>
    <n v="130"/>
    <n v="102"/>
    <n v="15"/>
    <n v="1530"/>
    <n v="15"/>
    <n v="1530"/>
    <n v="0"/>
    <n v="0"/>
    <n v="0"/>
    <n v="0"/>
    <n v="0"/>
    <n v="0"/>
    <n v="0"/>
    <n v="0"/>
    <n v="0"/>
    <n v="0"/>
    <n v="30"/>
    <s v="Self-Watering"/>
    <n v="94"/>
  </r>
  <r>
    <x v="13"/>
    <s v="Half barrier basket liner"/>
    <x v="0"/>
    <n v="5.5"/>
    <n v="15.399999999999999"/>
    <n v="75"/>
    <n v="59.6"/>
    <n v="15"/>
    <n v="894"/>
    <n v="15"/>
    <n v="894"/>
    <n v="7"/>
    <n v="417.20000000000005"/>
    <n v="8"/>
    <n v="476.8"/>
    <n v="27"/>
    <n v="1609.2"/>
    <n v="12"/>
    <n v="715.2"/>
    <n v="177"/>
    <n v="10549.2"/>
    <n v="84"/>
    <s v="Self-Watering"/>
    <n v="97"/>
  </r>
  <r>
    <x v="14"/>
    <s v="Robin bin"/>
    <x v="0"/>
    <n v="30"/>
    <n v="84"/>
    <n v="250"/>
    <n v="166"/>
    <n v="15"/>
    <n v="2490"/>
    <n v="10"/>
    <n v="1240"/>
    <n v="8"/>
    <n v="1328"/>
    <n v="10"/>
    <n v="1660"/>
    <n v="25"/>
    <n v="4150"/>
    <n v="10"/>
    <n v="1660"/>
    <n v="3"/>
    <n v="498"/>
    <n v="78"/>
    <s v="Bins"/>
    <n v="96"/>
  </r>
  <r>
    <x v="15"/>
    <s v="Chick bin"/>
    <x v="0"/>
    <n v="30"/>
    <n v="84"/>
    <n v="250"/>
    <n v="166"/>
    <n v="15"/>
    <n v="2490"/>
    <n v="17"/>
    <n v="2990"/>
    <n v="15"/>
    <n v="2490"/>
    <n v="20"/>
    <n v="3320"/>
    <n v="35"/>
    <n v="5810"/>
    <n v="24"/>
    <n v="3984"/>
    <n v="15"/>
    <n v="2490"/>
    <n v="126"/>
    <s v="Bins"/>
    <n v="90"/>
  </r>
  <r>
    <x v="16"/>
    <s v="Tapered hood bin"/>
    <x v="0"/>
    <n v="35"/>
    <n v="98"/>
    <n v="300"/>
    <n v="202"/>
    <n v="19"/>
    <n v="3838"/>
    <n v="41"/>
    <n v="10438"/>
    <n v="40"/>
    <n v="8080"/>
    <n v="23"/>
    <n v="4646"/>
    <n v="70"/>
    <n v="14140"/>
    <n v="22"/>
    <n v="4444"/>
    <n v="25"/>
    <n v="5050"/>
    <n v="215"/>
    <s v="Bins"/>
    <n v="97"/>
  </r>
  <r>
    <x v="17"/>
    <s v="Eco bin"/>
    <x v="0"/>
    <n v="30"/>
    <n v="84"/>
    <n v="200"/>
    <n v="116"/>
    <n v="20"/>
    <n v="2320"/>
    <n v="25"/>
    <n v="3320"/>
    <n v="60"/>
    <n v="6960"/>
    <n v="45"/>
    <n v="5220"/>
    <n v="55"/>
    <n v="6380"/>
    <n v="130"/>
    <n v="15080"/>
    <n v="0"/>
    <n v="0"/>
    <n v="335"/>
    <s v="Bins"/>
    <n v="91"/>
  </r>
  <r>
    <x v="18"/>
    <s v="Bear bin"/>
    <x v="0"/>
    <n v="45"/>
    <n v="125.99999999999999"/>
    <n v="300"/>
    <n v="174"/>
    <n v="23"/>
    <n v="4002.0000000000005"/>
    <n v="20"/>
    <n v="3102.0000000000005"/>
    <n v="15"/>
    <n v="2610"/>
    <n v="10"/>
    <n v="1740.0000000000002"/>
    <n v="13"/>
    <n v="2262"/>
    <n v="20"/>
    <n v="3480.0000000000005"/>
    <n v="15"/>
    <n v="2610"/>
    <n v="101"/>
    <s v="Bins"/>
    <n v="98"/>
  </r>
  <r>
    <x v="19"/>
    <s v="Westmin recycle"/>
    <x v="0"/>
    <n v="30"/>
    <n v="84"/>
    <n v="300"/>
    <n v="216"/>
    <n v="25"/>
    <n v="5400"/>
    <n v="30"/>
    <n v="6900"/>
    <n v="10"/>
    <n v="2160"/>
    <n v="20"/>
    <n v="4320"/>
    <n v="43"/>
    <n v="9288"/>
    <n v="55"/>
    <n v="11880"/>
    <n v="10"/>
    <n v="2160"/>
    <n v="183"/>
    <s v="Bins"/>
    <n v="98"/>
  </r>
  <r>
    <x v="20"/>
    <s v="Up the pole basket"/>
    <x v="0"/>
    <n v="7"/>
    <n v="19.599999999999998"/>
    <n v="69"/>
    <n v="49.400000000000006"/>
    <n v="32"/>
    <n v="1580.8000000000002"/>
    <n v="20"/>
    <n v="752.80000000000007"/>
    <n v="24"/>
    <n v="1185.5999999999999"/>
    <n v="49"/>
    <n v="2420.6000000000004"/>
    <n v="40"/>
    <n v="1976"/>
    <n v="69"/>
    <n v="3408.6000000000004"/>
    <n v="59"/>
    <n v="2914.6000000000004"/>
    <n v="234"/>
    <s v="Self-Watering"/>
    <n v="94"/>
  </r>
  <r>
    <x v="21"/>
    <s v="Eviro bin - floor"/>
    <x v="0"/>
    <n v="30"/>
    <n v="84"/>
    <n v="280"/>
    <n v="196"/>
    <n v="35"/>
    <n v="6860"/>
    <n v="55"/>
    <n v="12460"/>
    <n v="2"/>
    <n v="392"/>
    <n v="10"/>
    <n v="1960"/>
    <n v="62"/>
    <n v="12152"/>
    <n v="57"/>
    <n v="11172"/>
    <n v="315"/>
    <n v="61740"/>
    <n v="221"/>
    <s v="Bins"/>
    <n v="92"/>
  </r>
  <r>
    <x v="22"/>
    <s v="Meter sq planter (3)"/>
    <x v="0"/>
    <n v="55"/>
    <n v="154"/>
    <n v="375"/>
    <n v="221"/>
    <n v="36"/>
    <n v="7956"/>
    <n v="40"/>
    <n v="9456"/>
    <n v="45"/>
    <n v="9945"/>
    <n v="141"/>
    <n v="31161"/>
    <n v="156"/>
    <n v="34476"/>
    <n v="73"/>
    <n v="16133"/>
    <n v="39"/>
    <n v="8619"/>
    <n v="491"/>
    <s v="Self-Watering"/>
    <n v="92"/>
  </r>
  <r>
    <x v="23"/>
    <s v="Up the pole basket"/>
    <x v="0"/>
    <n v="5"/>
    <n v="14"/>
    <n v="39"/>
    <n v="25"/>
    <n v="36"/>
    <n v="900"/>
    <n v="49"/>
    <n v="1407"/>
    <n v="38"/>
    <n v="950"/>
    <n v="69"/>
    <n v="1725"/>
    <n v="39"/>
    <n v="975"/>
    <n v="46"/>
    <n v="1150"/>
    <n v="8"/>
    <n v="200"/>
    <n v="277"/>
    <s v="Self-Watering"/>
    <n v="94"/>
  </r>
  <r>
    <x v="24"/>
    <s v="Wall and window box"/>
    <x v="0"/>
    <n v="10"/>
    <n v="28"/>
    <n v="130"/>
    <n v="102"/>
    <n v="38"/>
    <n v="3876"/>
    <n v="16"/>
    <n v="1016"/>
    <n v="36"/>
    <n v="3672"/>
    <n v="79"/>
    <n v="8058"/>
    <n v="23"/>
    <n v="2346"/>
    <n v="78"/>
    <n v="7956"/>
    <n v="124"/>
    <n v="12648"/>
    <n v="270"/>
    <s v="Self-Watering"/>
    <n v="97"/>
  </r>
  <r>
    <x v="25"/>
    <s v="Square hood bin"/>
    <x v="0"/>
    <n v="25"/>
    <n v="70"/>
    <n v="180"/>
    <n v="110"/>
    <n v="40"/>
    <n v="4400"/>
    <n v="30"/>
    <n v="2600"/>
    <n v="0"/>
    <n v="0"/>
    <n v="0"/>
    <n v="0"/>
    <n v="0"/>
    <n v="0"/>
    <n v="0"/>
    <n v="0"/>
    <n v="0"/>
    <n v="0"/>
    <n v="70"/>
    <s v="Bins"/>
    <n v="91"/>
  </r>
  <r>
    <x v="26"/>
    <s v="Floural fountain "/>
    <x v="0"/>
    <n v="40"/>
    <n v="112"/>
    <n v="359"/>
    <n v="247"/>
    <n v="41"/>
    <n v="10127"/>
    <n v="106"/>
    <n v="33462"/>
    <n v="81"/>
    <n v="20007"/>
    <n v="215"/>
    <n v="53105"/>
    <n v="255"/>
    <n v="62985"/>
    <n v="72"/>
    <n v="17784"/>
    <n v="21"/>
    <n v="5187"/>
    <n v="770"/>
    <s v="Self-Watering"/>
    <n v="93"/>
  </r>
  <r>
    <x v="27"/>
    <s v="Half barrier basket"/>
    <x v="0"/>
    <n v="4.5"/>
    <n v="12.6"/>
    <n v="40"/>
    <n v="27.4"/>
    <n v="41"/>
    <n v="1123.4000000000001"/>
    <n v="68"/>
    <n v="2203.4"/>
    <n v="183"/>
    <n v="5014.2000000000007"/>
    <n v="73"/>
    <n v="2000.2"/>
    <n v="79"/>
    <n v="2164.6"/>
    <n v="314"/>
    <n v="8603.6"/>
    <n v="156"/>
    <n v="4274.3999999999996"/>
    <n v="758"/>
    <s v="Self-Watering"/>
    <n v="97"/>
  </r>
  <r>
    <x v="28"/>
    <s v="Wall and window box"/>
    <x v="0"/>
    <n v="5.5"/>
    <n v="15.399999999999999"/>
    <n v="75"/>
    <n v="59.6"/>
    <n v="45"/>
    <n v="2682"/>
    <n v="3"/>
    <n v="-467.99999999999989"/>
    <n v="10"/>
    <n v="596"/>
    <n v="21"/>
    <n v="1251.5999999999999"/>
    <n v="1"/>
    <n v="59.6"/>
    <n v="40"/>
    <n v="2384"/>
    <n v="41"/>
    <n v="2443.6"/>
    <n v="120"/>
    <s v="Self-Watering"/>
    <n v="91"/>
  </r>
  <r>
    <x v="29"/>
    <s v="Enviro can recycle - post"/>
    <x v="0"/>
    <n v="8"/>
    <n v="22.4"/>
    <n v="125"/>
    <n v="102.6"/>
    <n v="45"/>
    <n v="4617"/>
    <n v="50"/>
    <n v="5242"/>
    <n v="80"/>
    <n v="8208"/>
    <n v="50"/>
    <n v="5130"/>
    <n v="120"/>
    <n v="12312"/>
    <n v="103"/>
    <n v="10567.8"/>
    <n v="69"/>
    <n v="7079.4"/>
    <n v="448"/>
    <s v="Bins"/>
    <n v="100"/>
  </r>
  <r>
    <x v="30"/>
    <s v="Bee hive fountain (6)"/>
    <x v="0"/>
    <n v="65"/>
    <n v="182"/>
    <n v="584"/>
    <n v="402"/>
    <n v="51"/>
    <n v="20502"/>
    <n v="78"/>
    <n v="36270"/>
    <n v="193"/>
    <n v="77586"/>
    <n v="0"/>
    <n v="0"/>
    <n v="0"/>
    <n v="0"/>
    <n v="0"/>
    <n v="0"/>
    <n v="0"/>
    <n v="0"/>
    <n v="322"/>
    <s v="Self-Watering"/>
    <n v="94"/>
  </r>
  <r>
    <x v="31"/>
    <s v="Bee hive fountain (5)"/>
    <x v="0"/>
    <n v="55"/>
    <n v="154"/>
    <n v="530"/>
    <n v="376"/>
    <n v="58"/>
    <n v="21808"/>
    <n v="75"/>
    <n v="30818"/>
    <n v="39"/>
    <n v="14664"/>
    <n v="16"/>
    <n v="6016"/>
    <n v="21"/>
    <n v="7896"/>
    <n v="60"/>
    <n v="22560"/>
    <n v="64"/>
    <n v="24064"/>
    <n v="269"/>
    <s v="Self-Watering"/>
    <n v="100"/>
  </r>
  <r>
    <x v="32"/>
    <s v="Half barrier basket"/>
    <x v="0"/>
    <n v="8"/>
    <n v="22.4"/>
    <n v="65"/>
    <n v="42.6"/>
    <n v="60"/>
    <n v="2556"/>
    <n v="68"/>
    <n v="3076"/>
    <n v="315"/>
    <n v="13419"/>
    <n v="56"/>
    <n v="2385.6000000000004"/>
    <n v="132"/>
    <n v="5623.2000000000007"/>
    <n v="160"/>
    <n v="6816"/>
    <n v="168"/>
    <n v="7156.8"/>
    <n v="791"/>
    <s v="Self-Watering"/>
    <n v="99"/>
  </r>
  <r>
    <x v="33"/>
    <s v="Conventional Hanging Basket"/>
    <x v="0"/>
    <n v="5"/>
    <n v="14"/>
    <n v="56"/>
    <n v="42"/>
    <n v="61"/>
    <n v="2562"/>
    <n v="97"/>
    <n v="4578"/>
    <n v="29"/>
    <n v="1218"/>
    <n v="91"/>
    <n v="3822"/>
    <n v="62"/>
    <n v="2604"/>
    <n v="419"/>
    <n v="17598"/>
    <n v="37"/>
    <n v="1554"/>
    <n v="759"/>
    <s v="Self-Watering"/>
    <n v="96"/>
  </r>
  <r>
    <x v="34"/>
    <s v="Wall and window box"/>
    <x v="0"/>
    <n v="3.5"/>
    <n v="9.7999999999999989"/>
    <n v="35"/>
    <n v="25.200000000000003"/>
    <n v="62"/>
    <n v="1562.4"/>
    <n v="36"/>
    <n v="652.40000000000009"/>
    <n v="46"/>
    <n v="1159.2"/>
    <n v="34"/>
    <n v="856.8"/>
    <n v="1"/>
    <n v="25.200000000000003"/>
    <n v="1"/>
    <n v="25.200000000000003"/>
    <n v="4"/>
    <n v="100.80000000000001"/>
    <n v="180"/>
    <s v="Self-Watering"/>
    <n v="100"/>
  </r>
  <r>
    <x v="35"/>
    <s v="Slim bin"/>
    <x v="0"/>
    <n v="25"/>
    <n v="70"/>
    <n v="99"/>
    <n v="29"/>
    <n v="65"/>
    <n v="1885"/>
    <n v="50"/>
    <n v="400"/>
    <n v="95"/>
    <n v="2755"/>
    <n v="89"/>
    <n v="2581"/>
    <n v="66"/>
    <n v="1914"/>
    <n v="30"/>
    <n v="870"/>
    <n v="0"/>
    <n v="0"/>
    <n v="395"/>
    <s v="Bins"/>
    <n v="93"/>
  </r>
  <r>
    <x v="36"/>
    <s v="Penguin bin"/>
    <x v="0"/>
    <n v="30"/>
    <n v="84"/>
    <n v="250"/>
    <n v="166"/>
    <n v="70"/>
    <n v="11620"/>
    <n v="55"/>
    <n v="7870"/>
    <n v="30"/>
    <n v="4980"/>
    <n v="55"/>
    <n v="9130"/>
    <n v="168"/>
    <n v="27888"/>
    <n v="213"/>
    <n v="35358"/>
    <n v="230"/>
    <n v="38180"/>
    <n v="591"/>
    <s v="Bins"/>
    <n v="90"/>
  </r>
  <r>
    <x v="37"/>
    <s v="Half barrier basket"/>
    <x v="0"/>
    <n v="9"/>
    <n v="25.2"/>
    <n v="45"/>
    <n v="19.8"/>
    <n v="80"/>
    <n v="1584"/>
    <n v="71"/>
    <n v="1179"/>
    <n v="200"/>
    <n v="3960"/>
    <n v="114"/>
    <n v="2257.2000000000003"/>
    <n v="210"/>
    <n v="4158"/>
    <n v="116"/>
    <n v="2296.8000000000002"/>
    <n v="408"/>
    <n v="8078.4"/>
    <n v="791"/>
    <s v="Self-Watering"/>
    <n v="97"/>
  </r>
  <r>
    <x v="38"/>
    <s v="Screwball post bin"/>
    <x v="0"/>
    <n v="6"/>
    <n v="16.799999999999997"/>
    <n v="130"/>
    <n v="113.2"/>
    <n v="85"/>
    <n v="9622"/>
    <n v="34"/>
    <n v="2992"/>
    <n v="33"/>
    <n v="3735.6000000000004"/>
    <n v="10"/>
    <n v="1132"/>
    <n v="0"/>
    <n v="0"/>
    <n v="0"/>
    <n v="0"/>
    <n v="0"/>
    <n v="0"/>
    <n v="162"/>
    <s v="Bins"/>
    <n v="92"/>
  </r>
  <r>
    <x v="39"/>
    <s v="Full barrier basket"/>
    <x v="0"/>
    <n v="7.5"/>
    <n v="21"/>
    <n v="58"/>
    <n v="37"/>
    <n v="94"/>
    <n v="3478"/>
    <n v="138"/>
    <n v="6030"/>
    <n v="124"/>
    <n v="4588"/>
    <n v="72"/>
    <n v="2664"/>
    <n v="10"/>
    <n v="370"/>
    <n v="0"/>
    <n v="0"/>
    <n v="0"/>
    <n v="0"/>
    <n v="438"/>
    <s v="Self-Watering"/>
    <n v="99"/>
  </r>
  <r>
    <x v="40"/>
    <s v="Octagonal fountain"/>
    <x v="0"/>
    <n v="35"/>
    <n v="98"/>
    <n v="185"/>
    <n v="87"/>
    <n v="112"/>
    <n v="9744"/>
    <n v="98"/>
    <n v="7154"/>
    <n v="92"/>
    <n v="8004"/>
    <n v="235"/>
    <n v="20445"/>
    <n v="176"/>
    <n v="15312"/>
    <n v="88"/>
    <n v="7656"/>
    <n v="28"/>
    <n v="2436"/>
    <n v="801"/>
    <s v="Self-Watering"/>
    <n v="97"/>
  </r>
  <r>
    <x v="41"/>
    <s v="Meter sq planter"/>
    <x v="0"/>
    <n v="35"/>
    <n v="98"/>
    <n v="135"/>
    <n v="37"/>
    <n v="116"/>
    <n v="4292"/>
    <n v="164"/>
    <n v="10772"/>
    <n v="319"/>
    <n v="11803"/>
    <n v="251"/>
    <n v="9287"/>
    <n v="207"/>
    <n v="7659"/>
    <n v="182"/>
    <n v="6734"/>
    <n v="54"/>
    <n v="1998"/>
    <n v="1239"/>
    <s v="Self-Watering"/>
    <n v="96"/>
  </r>
  <r>
    <x v="42"/>
    <s v="Half barrier basket"/>
    <x v="0"/>
    <n v="3.5"/>
    <n v="9.7999999999999989"/>
    <n v="35"/>
    <n v="25.200000000000003"/>
    <n v="124"/>
    <n v="3124.8"/>
    <n v="4"/>
    <n v="-1075.1999999999998"/>
    <n v="127"/>
    <n v="3200.4"/>
    <n v="35"/>
    <n v="882"/>
    <n v="38"/>
    <n v="957.6"/>
    <n v="12"/>
    <n v="302.39999999999998"/>
    <n v="0"/>
    <n v="0"/>
    <n v="340"/>
    <s v="Self-Watering"/>
    <n v="97"/>
  </r>
  <r>
    <x v="43"/>
    <s v="Wall and window box"/>
    <x v="0"/>
    <n v="8"/>
    <n v="22.4"/>
    <n v="65"/>
    <n v="42.6"/>
    <n v="163"/>
    <n v="6943.8"/>
    <n v="33"/>
    <n v="-1506.1999999999998"/>
    <n v="68"/>
    <n v="2896.8"/>
    <n v="32"/>
    <n v="1363.2"/>
    <n v="138"/>
    <n v="5878.8"/>
    <n v="386"/>
    <n v="16443.599999999999"/>
    <n v="233"/>
    <n v="9925.7999999999993"/>
    <n v="820"/>
    <s v="Self-Watering"/>
    <n v="91"/>
  </r>
  <r>
    <x v="44"/>
    <s v="Stipple bin"/>
    <x v="0"/>
    <n v="10"/>
    <n v="28"/>
    <n v="55"/>
    <n v="27"/>
    <n v="200"/>
    <n v="5400"/>
    <n v="233"/>
    <n v="7215"/>
    <n v="150"/>
    <n v="4050"/>
    <n v="200"/>
    <n v="5400"/>
    <n v="148"/>
    <n v="3996"/>
    <n v="150"/>
    <n v="4050"/>
    <n v="170"/>
    <n v="4590"/>
    <n v="1081"/>
    <s v="Bins"/>
    <n v="96"/>
  </r>
  <r>
    <x v="45"/>
    <s v="Ample bin"/>
    <x v="0"/>
    <n v="20"/>
    <n v="56"/>
    <n v="150"/>
    <n v="94"/>
    <n v="230"/>
    <n v="21620"/>
    <n v="215"/>
    <n v="19370"/>
    <n v="150"/>
    <n v="14100"/>
    <n v="20"/>
    <n v="1880"/>
    <n v="80"/>
    <n v="7520"/>
    <n v="40"/>
    <n v="3760"/>
    <n v="50"/>
    <n v="4700"/>
    <n v="735"/>
    <s v="Bins"/>
    <n v="97"/>
  </r>
  <r>
    <x v="46"/>
    <s v="half cup and saucer up the pole"/>
    <x v="0"/>
    <n v="5"/>
    <n v="14"/>
    <n v="85"/>
    <n v="71"/>
    <n v="268"/>
    <n v="19028"/>
    <n v="253"/>
    <n v="17753"/>
    <n v="178"/>
    <n v="12638"/>
    <n v="360"/>
    <n v="25560"/>
    <n v="816"/>
    <n v="57936"/>
    <n v="410"/>
    <n v="29110"/>
    <n v="301"/>
    <n v="21371"/>
    <n v="2285"/>
    <s v="Self-Watering"/>
    <n v="93"/>
  </r>
  <r>
    <x v="47"/>
    <s v="Half pole basket"/>
    <x v="0"/>
    <n v="3.5"/>
    <n v="9.7999999999999989"/>
    <n v="28"/>
    <n v="18.200000000000003"/>
    <n v="299"/>
    <n v="5441.8"/>
    <n v="83"/>
    <n v="-606.19999999999982"/>
    <n v="176"/>
    <n v="3203.2000000000003"/>
    <n v="400"/>
    <n v="7280"/>
    <n v="427"/>
    <n v="7771.4000000000005"/>
    <n v="459"/>
    <n v="8353.7999999999993"/>
    <n v="369"/>
    <n v="6715.8"/>
    <n v="1844"/>
    <s v="Self-Watering"/>
    <n v="99"/>
  </r>
  <r>
    <x v="48"/>
    <s v="West min bin"/>
    <x v="0"/>
    <n v="12"/>
    <n v="33.599999999999994"/>
    <n v="75"/>
    <n v="41.400000000000006"/>
    <n v="315"/>
    <n v="13041.000000000002"/>
    <n v="467"/>
    <n v="24441"/>
    <n v="580"/>
    <n v="24012.000000000004"/>
    <n v="443"/>
    <n v="18340.200000000004"/>
    <n v="521"/>
    <n v="21569.4"/>
    <n v="342"/>
    <n v="14158.800000000001"/>
    <n v="155"/>
    <n v="6417.0000000000009"/>
    <n v="2668"/>
    <s v="Bins"/>
    <n v="96"/>
  </r>
  <r>
    <x v="49"/>
    <s v="West min liner"/>
    <x v="0"/>
    <n v="4"/>
    <n v="11.2"/>
    <n v="50"/>
    <n v="38.799999999999997"/>
    <n v="332"/>
    <n v="12881.6"/>
    <n v="280"/>
    <n v="10281.6"/>
    <n v="309"/>
    <n v="11989.2"/>
    <n v="280"/>
    <n v="10864"/>
    <n v="255"/>
    <n v="9894"/>
    <n v="244"/>
    <n v="9467.2000000000007"/>
    <n v="158"/>
    <n v="6130.4"/>
    <n v="1700"/>
    <s v="Bins"/>
    <n v="94"/>
  </r>
  <r>
    <x v="50"/>
    <s v="Half pole basket"/>
    <x v="0"/>
    <n v="3.5"/>
    <n v="9.7999999999999989"/>
    <n v="25"/>
    <n v="15.200000000000001"/>
    <n v="382"/>
    <n v="5806.4000000000005"/>
    <n v="425"/>
    <n v="6881.4000000000005"/>
    <n v="323"/>
    <n v="4909.6000000000004"/>
    <n v="238"/>
    <n v="3617.6000000000004"/>
    <n v="484"/>
    <n v="7356.8"/>
    <n v="394"/>
    <n v="5988.8000000000011"/>
    <n v="213"/>
    <n v="3237.6000000000004"/>
    <n v="2246"/>
    <s v="Self-Watering"/>
    <n v="97"/>
  </r>
  <r>
    <x v="51"/>
    <s v="Barrier Basket"/>
    <x v="0"/>
    <n v="6"/>
    <n v="16.799999999999997"/>
    <n v="40"/>
    <n v="23.200000000000003"/>
    <n v="405"/>
    <n v="9396"/>
    <n v="534"/>
    <n v="14556"/>
    <n v="987"/>
    <n v="22898.400000000001"/>
    <n v="1917"/>
    <n v="44474.400000000009"/>
    <n v="1047"/>
    <n v="24290.400000000001"/>
    <n v="326"/>
    <n v="7563.2000000000007"/>
    <n v="857"/>
    <n v="19882.400000000001"/>
    <n v="5216"/>
    <s v="Self-Watering"/>
    <n v="92"/>
  </r>
  <r>
    <x v="52"/>
    <s v="Olympic dual bin"/>
    <x v="0"/>
    <n v="40"/>
    <n v="112"/>
    <n v="450"/>
    <n v="338"/>
    <n v="487"/>
    <n v="164606"/>
    <n v="450"/>
    <n v="147956"/>
    <n v="954"/>
    <n v="322452"/>
    <n v="25"/>
    <n v="8450"/>
    <n v="0"/>
    <n v="0"/>
    <n v="0"/>
    <n v="0"/>
    <n v="0"/>
    <n v="0"/>
    <n v="1916"/>
    <s v="Bins"/>
    <n v="90"/>
  </r>
  <r>
    <x v="53"/>
    <s v="Conventional Hanging Basket"/>
    <x v="0"/>
    <n v="5"/>
    <n v="14"/>
    <n v="35"/>
    <n v="21"/>
    <n v="527"/>
    <n v="11067"/>
    <n v="203"/>
    <n v="-273"/>
    <n v="395"/>
    <n v="8295"/>
    <n v="499"/>
    <n v="10479"/>
    <n v="915"/>
    <n v="19215"/>
    <n v="230"/>
    <n v="4830"/>
    <n v="532"/>
    <n v="11172"/>
    <n v="2769"/>
    <s v="Self-Watering"/>
    <n v="91"/>
  </r>
  <r>
    <x v="54"/>
    <s v="Barrier Basket Liner"/>
    <x v="0"/>
    <n v="3.5"/>
    <n v="9.7999999999999989"/>
    <n v="25"/>
    <n v="15.200000000000001"/>
    <n v="604"/>
    <n v="9180.8000000000011"/>
    <n v="339"/>
    <n v="2555.8000000000011"/>
    <n v="853"/>
    <n v="12965.6"/>
    <n v="2331"/>
    <n v="35431.199999999997"/>
    <n v="1049"/>
    <n v="15944.800000000001"/>
    <n v="326"/>
    <n v="4955.2000000000007"/>
    <n v="708"/>
    <n v="10761.6"/>
    <n v="5502"/>
    <s v="Self-Watering"/>
    <n v="99"/>
  </r>
  <r>
    <x v="55"/>
    <s v="Half basket up the pole"/>
    <x v="0"/>
    <n v="5"/>
    <n v="14"/>
    <n v="65"/>
    <n v="51"/>
    <n v="728"/>
    <n v="37128"/>
    <n v="871"/>
    <n v="46423"/>
    <n v="913"/>
    <n v="46563"/>
    <n v="1800"/>
    <n v="91800"/>
    <n v="1315"/>
    <n v="67065"/>
    <n v="577"/>
    <n v="29427"/>
    <n v="573"/>
    <n v="29223"/>
    <n v="6204"/>
    <s v="Self-Watering"/>
    <n v="93"/>
  </r>
  <r>
    <x v="56"/>
    <s v="Cup and Saucer (HB)"/>
    <x v="0"/>
    <n v="5"/>
    <n v="14"/>
    <n v="45"/>
    <n v="31"/>
    <n v="787"/>
    <n v="24397"/>
    <n v="478"/>
    <n v="10492"/>
    <n v="1235"/>
    <n v="38285"/>
    <n v="1450"/>
    <n v="44950"/>
    <n v="1728"/>
    <n v="53568"/>
    <n v="1182"/>
    <n v="36642"/>
    <n v="999"/>
    <n v="30969"/>
    <n v="6860"/>
    <s v="Self-Watering"/>
    <n v="97"/>
  </r>
  <r>
    <x v="57"/>
    <s v="Half basket up the pole"/>
    <x v="0"/>
    <n v="4"/>
    <n v="11.2"/>
    <n v="45"/>
    <n v="33.799999999999997"/>
    <n v="962"/>
    <n v="32515.599999999999"/>
    <n v="1465"/>
    <n v="55150.6"/>
    <n v="1334"/>
    <n v="45089.2"/>
    <n v="2383"/>
    <n v="80545.399999999994"/>
    <n v="1525"/>
    <n v="51545"/>
    <n v="1582"/>
    <n v="53471.600000000006"/>
    <n v="1539"/>
    <n v="52018.2"/>
    <n v="9251"/>
    <s v="Self-Watering"/>
    <n v="100"/>
  </r>
  <r>
    <x v="58"/>
    <s v="Cup and Saucer on pole"/>
    <x v="0"/>
    <n v="7"/>
    <n v="19.599999999999998"/>
    <n v="45"/>
    <n v="25.400000000000002"/>
    <n v="1064"/>
    <n v="27025.600000000002"/>
    <n v="1153"/>
    <n v="31030.600000000002"/>
    <n v="1979"/>
    <n v="50266.600000000006"/>
    <n v="2901"/>
    <n v="73685.400000000009"/>
    <n v="2434"/>
    <n v="61823.600000000006"/>
    <n v="1693"/>
    <n v="43002.200000000004"/>
    <n v="1311"/>
    <n v="33299.4"/>
    <n v="11224"/>
    <s v="Self-Watering"/>
    <n v="94"/>
  </r>
  <r>
    <x v="59"/>
    <s v="Cup and Saucer"/>
    <x v="0"/>
    <n v="7"/>
    <n v="19.599999999999998"/>
    <n v="30"/>
    <n v="10.400000000000002"/>
    <n v="2132"/>
    <n v="22172.800000000003"/>
    <n v="2648"/>
    <n v="37652.800000000003"/>
    <n v="2712"/>
    <n v="28204.800000000003"/>
    <n v="1775"/>
    <n v="18460.000000000007"/>
    <n v="2302"/>
    <n v="23940.800000000003"/>
    <n v="2250"/>
    <n v="23400.000000000007"/>
    <n v="2532"/>
    <n v="26332.800000000003"/>
    <n v="13819"/>
    <s v="Self-Watering"/>
    <n v="91"/>
  </r>
  <r>
    <x v="60"/>
    <s v="Barrel"/>
    <x v="1"/>
    <n v="15"/>
    <n v="45"/>
    <n v="75"/>
    <n v="30"/>
    <n v="496"/>
    <n v="14880"/>
    <n v="557"/>
    <n v="19455"/>
    <n v="0"/>
    <n v="0"/>
    <n v="0"/>
    <n v="0"/>
    <n v="0"/>
    <n v="0"/>
    <n v="0"/>
    <n v="0"/>
    <n v="0"/>
    <n v="0"/>
    <n v="1053"/>
    <s v="Self-Watering"/>
    <n v="91"/>
  </r>
  <r>
    <x v="57"/>
    <s v="Half basket up the pole"/>
    <x v="2"/>
    <n v="4"/>
    <n v="12"/>
    <n v="55"/>
    <n v="43"/>
    <n v="0"/>
    <n v="0"/>
    <n v="5"/>
    <n v="275"/>
    <n v="0"/>
    <n v="0"/>
    <n v="0"/>
    <n v="0"/>
    <n v="0"/>
    <n v="0"/>
    <n v="0"/>
    <n v="0"/>
    <n v="0"/>
    <n v="0"/>
    <n v="5"/>
    <s v="Self-Watering"/>
    <n v="100"/>
  </r>
  <r>
    <x v="47"/>
    <s v="Half pole basket"/>
    <x v="2"/>
    <n v="3.5"/>
    <n v="10.5"/>
    <n v="35"/>
    <n v="24.5"/>
    <n v="0"/>
    <n v="0"/>
    <n v="13"/>
    <n v="455"/>
    <n v="0"/>
    <n v="0"/>
    <n v="0"/>
    <n v="0"/>
    <n v="0"/>
    <n v="0"/>
    <n v="0"/>
    <n v="0"/>
    <n v="0"/>
    <n v="0"/>
    <n v="13"/>
    <s v="Self-Watering"/>
    <n v="100"/>
  </r>
  <r>
    <x v="33"/>
    <s v="Conventional Hanging Basket"/>
    <x v="2"/>
    <n v="5"/>
    <n v="15"/>
    <n v="66"/>
    <n v="51"/>
    <n v="0"/>
    <n v="0"/>
    <n v="5"/>
    <n v="330"/>
    <n v="0"/>
    <n v="0"/>
    <n v="0"/>
    <n v="0"/>
    <n v="0"/>
    <n v="0"/>
    <n v="0"/>
    <n v="0"/>
    <n v="0"/>
    <n v="0"/>
    <n v="5"/>
    <s v="Self-Watering"/>
    <n v="91"/>
  </r>
  <r>
    <x v="20"/>
    <s v="Up the pole basket"/>
    <x v="2"/>
    <n v="7"/>
    <n v="21"/>
    <n v="79"/>
    <n v="58"/>
    <n v="0"/>
    <n v="0"/>
    <n v="3"/>
    <n v="237"/>
    <n v="0"/>
    <n v="0"/>
    <n v="0"/>
    <n v="0"/>
    <n v="0"/>
    <n v="0"/>
    <n v="0"/>
    <n v="0"/>
    <n v="0"/>
    <n v="0"/>
    <n v="3"/>
    <s v="Self-Watering"/>
    <n v="93"/>
  </r>
  <r>
    <x v="9"/>
    <s v="Wall and window box"/>
    <x v="2"/>
    <n v="6"/>
    <n v="18"/>
    <n v="70"/>
    <n v="52"/>
    <n v="0"/>
    <n v="0"/>
    <n v="3"/>
    <n v="210"/>
    <n v="0"/>
    <n v="0"/>
    <n v="0"/>
    <n v="0"/>
    <n v="0"/>
    <n v="0"/>
    <n v="0"/>
    <n v="0"/>
    <n v="0"/>
    <n v="0"/>
    <n v="3"/>
    <s v="Self-Watering"/>
    <n v="90"/>
  </r>
  <r>
    <x v="0"/>
    <s v="Meter sq planter (1)"/>
    <x v="2"/>
    <n v="40"/>
    <n v="120"/>
    <n v="250"/>
    <n v="130"/>
    <n v="0"/>
    <n v="0"/>
    <n v="5"/>
    <n v="1250"/>
    <n v="0"/>
    <n v="0"/>
    <n v="0"/>
    <n v="0"/>
    <n v="0"/>
    <n v="0"/>
    <n v="0"/>
    <n v="0"/>
    <n v="0"/>
    <n v="0"/>
    <n v="5"/>
    <s v="Self-Watering"/>
    <n v="98"/>
  </r>
  <r>
    <x v="23"/>
    <s v="up the pole basket"/>
    <x v="2"/>
    <n v="5"/>
    <n v="15"/>
    <n v="49"/>
    <n v="34"/>
    <n v="1"/>
    <n v="34"/>
    <n v="0"/>
    <n v="-15"/>
    <n v="0"/>
    <n v="0"/>
    <n v="0"/>
    <n v="0"/>
    <n v="0"/>
    <n v="0"/>
    <n v="0"/>
    <n v="0"/>
    <n v="0"/>
    <n v="0"/>
    <n v="1"/>
    <s v="Self-Watering"/>
    <n v="100"/>
  </r>
  <r>
    <x v="12"/>
    <s v="Half barrier basket"/>
    <x v="2"/>
    <n v="10"/>
    <n v="30"/>
    <n v="145"/>
    <n v="115"/>
    <n v="2"/>
    <n v="230"/>
    <n v="0"/>
    <n v="-60"/>
    <n v="0"/>
    <n v="0"/>
    <n v="0"/>
    <n v="0"/>
    <n v="0"/>
    <n v="0"/>
    <n v="0"/>
    <n v="0"/>
    <n v="0"/>
    <n v="0"/>
    <n v="2"/>
    <s v="Self-Watering"/>
    <n v="100"/>
  </r>
  <r>
    <x v="13"/>
    <s v="Half barrier basket liner"/>
    <x v="2"/>
    <n v="5.5"/>
    <n v="16.5"/>
    <n v="99"/>
    <n v="82.5"/>
    <n v="2"/>
    <n v="165"/>
    <n v="0"/>
    <n v="-33"/>
    <n v="0"/>
    <n v="0"/>
    <n v="0"/>
    <n v="0"/>
    <n v="0"/>
    <n v="0"/>
    <n v="0"/>
    <n v="0"/>
    <n v="0"/>
    <n v="0"/>
    <n v="2"/>
    <s v="Self-Watering"/>
    <n v="90"/>
  </r>
  <r>
    <x v="5"/>
    <s v="Meter sq planter (2)"/>
    <x v="2"/>
    <n v="47"/>
    <n v="141"/>
    <n v="370"/>
    <n v="229"/>
    <n v="2"/>
    <n v="458"/>
    <n v="0"/>
    <n v="-282"/>
    <n v="0"/>
    <n v="0"/>
    <n v="0"/>
    <n v="0"/>
    <n v="0"/>
    <n v="0"/>
    <n v="0"/>
    <n v="0"/>
    <n v="0"/>
    <n v="0"/>
    <n v="2"/>
    <s v="Self-Watering"/>
    <n v="99"/>
  </r>
  <r>
    <x v="39"/>
    <s v="Full barrier basket"/>
    <x v="2"/>
    <n v="7.5"/>
    <n v="22.5"/>
    <n v="70"/>
    <n v="47.5"/>
    <n v="5"/>
    <n v="237.5"/>
    <n v="0"/>
    <n v="-112.5"/>
    <n v="0"/>
    <n v="0"/>
    <n v="0"/>
    <n v="0"/>
    <n v="0"/>
    <n v="0"/>
    <n v="0"/>
    <n v="0"/>
    <n v="0"/>
    <n v="0"/>
    <n v="5"/>
    <s v="Self-Watering"/>
    <n v="96"/>
  </r>
  <r>
    <x v="61"/>
    <s v="Floor standing oval planter"/>
    <x v="2"/>
    <n v="30"/>
    <n v="90"/>
    <n v="120"/>
    <n v="30"/>
    <n v="8"/>
    <n v="240"/>
    <n v="0"/>
    <n v="-720"/>
    <n v="0"/>
    <n v="0"/>
    <n v="0"/>
    <n v="0"/>
    <n v="0"/>
    <n v="0"/>
    <n v="0"/>
    <n v="0"/>
    <n v="0"/>
    <n v="0"/>
    <n v="8"/>
    <s v="Self-Watering"/>
    <n v="97"/>
  </r>
  <r>
    <x v="53"/>
    <s v="Conventional Hanging Basket"/>
    <x v="2"/>
    <n v="5"/>
    <n v="15"/>
    <n v="45"/>
    <n v="30"/>
    <n v="28"/>
    <n v="840"/>
    <n v="5"/>
    <n v="-195"/>
    <n v="0"/>
    <n v="0"/>
    <n v="0"/>
    <n v="0"/>
    <n v="0"/>
    <n v="0"/>
    <n v="0"/>
    <n v="0"/>
    <n v="0"/>
    <n v="0"/>
    <n v="33"/>
    <s v="Self-Watering"/>
    <n v="90"/>
  </r>
  <r>
    <x v="40"/>
    <s v="Octagonal fountain"/>
    <x v="3"/>
    <n v="35"/>
    <n v="112"/>
    <n v="250"/>
    <n v="138"/>
    <n v="26"/>
    <n v="3588"/>
    <n v="13"/>
    <n v="338"/>
    <n v="0"/>
    <n v="0"/>
    <n v="0"/>
    <n v="0"/>
    <n v="0"/>
    <n v="0"/>
    <n v="0"/>
    <n v="0"/>
    <n v="0"/>
    <n v="0"/>
    <n v="39"/>
    <s v="Self-Watering"/>
    <n v="95"/>
  </r>
  <r>
    <x v="6"/>
    <s v="Octagonal fountain (1)"/>
    <x v="4"/>
    <n v="40"/>
    <n v="128"/>
    <n v="290"/>
    <n v="162"/>
    <n v="0"/>
    <n v="0"/>
    <n v="1"/>
    <n v="290"/>
    <n v="0"/>
    <n v="0"/>
    <n v="0"/>
    <n v="0"/>
    <n v="0"/>
    <n v="0"/>
    <n v="0"/>
    <n v="0"/>
    <n v="0"/>
    <n v="0"/>
    <n v="1"/>
    <s v="Self-Watering"/>
    <n v="90"/>
  </r>
  <r>
    <x v="30"/>
    <s v="Bee hive fountain (6)"/>
    <x v="4"/>
    <n v="65"/>
    <n v="208"/>
    <n v="700"/>
    <n v="492"/>
    <n v="5"/>
    <n v="2460"/>
    <n v="0"/>
    <n v="-1040"/>
    <n v="0"/>
    <n v="0"/>
    <n v="0"/>
    <n v="0"/>
    <n v="0"/>
    <n v="0"/>
    <n v="0"/>
    <n v="0"/>
    <n v="0"/>
    <n v="0"/>
    <n v="5"/>
    <s v="Self-Watering"/>
    <n v="99"/>
  </r>
  <r>
    <x v="61"/>
    <s v="Floor standing oval planter"/>
    <x v="4"/>
    <n v="30"/>
    <n v="96"/>
    <n v="150"/>
    <n v="54"/>
    <n v="26"/>
    <n v="1404"/>
    <n v="25"/>
    <n v="1254"/>
    <n v="0"/>
    <n v="0"/>
    <n v="0"/>
    <n v="0"/>
    <n v="0"/>
    <n v="0"/>
    <n v="0"/>
    <n v="0"/>
    <n v="0"/>
    <n v="0"/>
    <n v="51"/>
    <s v="Self-Watering"/>
    <n v="100"/>
  </r>
  <r>
    <x v="26"/>
    <s v="Floural fountain "/>
    <x v="4"/>
    <n v="40"/>
    <n v="128"/>
    <n v="399"/>
    <n v="271"/>
    <n v="30"/>
    <n v="8130"/>
    <n v="0"/>
    <n v="-3840"/>
    <n v="0"/>
    <n v="0"/>
    <n v="0"/>
    <n v="0"/>
    <n v="0"/>
    <n v="0"/>
    <n v="0"/>
    <n v="0"/>
    <n v="0"/>
    <n v="0"/>
    <n v="30"/>
    <s v="Self-Watering"/>
    <n v="99"/>
  </r>
  <r>
    <x v="22"/>
    <s v="Meter sq planter (3)"/>
    <x v="4"/>
    <n v="55"/>
    <n v="176"/>
    <n v="510"/>
    <n v="334"/>
    <n v="53"/>
    <n v="17702"/>
    <n v="21"/>
    <n v="1382"/>
    <n v="0"/>
    <n v="0"/>
    <n v="0"/>
    <n v="0"/>
    <n v="0"/>
    <n v="0"/>
    <n v="0"/>
    <n v="0"/>
    <n v="0"/>
    <n v="0"/>
    <n v="74"/>
    <s v="Self-Watering"/>
    <n v="99"/>
  </r>
  <r>
    <x v="31"/>
    <s v="Bee hive fountain (5)"/>
    <x v="4"/>
    <n v="55"/>
    <n v="176"/>
    <n v="615"/>
    <n v="439"/>
    <n v="57"/>
    <n v="25023"/>
    <n v="35"/>
    <n v="11493"/>
    <n v="0"/>
    <n v="0"/>
    <n v="0"/>
    <n v="0"/>
    <n v="0"/>
    <n v="0"/>
    <n v="0"/>
    <n v="0"/>
    <n v="0"/>
    <n v="0"/>
    <n v="92"/>
    <s v="Self-Watering"/>
    <n v="93"/>
  </r>
  <r>
    <x v="40"/>
    <s v="Octagonal fountain"/>
    <x v="4"/>
    <n v="35"/>
    <n v="112"/>
    <n v="250"/>
    <n v="138"/>
    <n v="135"/>
    <n v="18630"/>
    <n v="78"/>
    <n v="4380"/>
    <n v="0"/>
    <n v="0"/>
    <n v="0"/>
    <n v="0"/>
    <n v="0"/>
    <n v="0"/>
    <n v="0"/>
    <n v="0"/>
    <n v="0"/>
    <n v="0"/>
    <n v="213"/>
    <s v="Self-Watering"/>
    <n v="95"/>
  </r>
  <r>
    <x v="30"/>
    <s v="Bee hive fountain (6)"/>
    <x v="5"/>
    <n v="65"/>
    <n v="195"/>
    <n v="650"/>
    <n v="455"/>
    <n v="3"/>
    <n v="1365"/>
    <n v="0"/>
    <n v="-585"/>
    <n v="0"/>
    <n v="0"/>
    <n v="0"/>
    <n v="0"/>
    <n v="0"/>
    <n v="0"/>
    <n v="0"/>
    <n v="0"/>
    <n v="0"/>
    <n v="0"/>
    <n v="3"/>
    <s v="Self-Watering"/>
    <n v="98"/>
  </r>
  <r>
    <x v="34"/>
    <s v="Wall and window box"/>
    <x v="5"/>
    <n v="3.5"/>
    <n v="10.5"/>
    <n v="50"/>
    <n v="39.5"/>
    <n v="3"/>
    <n v="118.5"/>
    <n v="0"/>
    <n v="-31.5"/>
    <n v="0"/>
    <n v="0"/>
    <n v="0"/>
    <n v="0"/>
    <n v="0"/>
    <n v="0"/>
    <n v="0"/>
    <n v="0"/>
    <n v="0"/>
    <n v="0"/>
    <n v="3"/>
    <s v="Self-Watering"/>
    <n v="93"/>
  </r>
  <r>
    <x v="55"/>
    <s v="Half basket up the pole"/>
    <x v="5"/>
    <n v="5"/>
    <n v="15"/>
    <n v="70"/>
    <n v="55"/>
    <n v="15"/>
    <n v="825"/>
    <n v="0"/>
    <n v="-225"/>
    <n v="0"/>
    <n v="0"/>
    <n v="0"/>
    <n v="0"/>
    <n v="0"/>
    <n v="0"/>
    <n v="0"/>
    <n v="0"/>
    <n v="0"/>
    <n v="0"/>
    <n v="15"/>
    <s v="Self-Watering"/>
    <n v="99"/>
  </r>
  <r>
    <x v="58"/>
    <s v="Cup and Saucer on pole"/>
    <x v="5"/>
    <n v="7"/>
    <n v="21"/>
    <n v="55"/>
    <n v="34"/>
    <n v="23"/>
    <n v="782"/>
    <n v="15"/>
    <n v="342"/>
    <n v="0"/>
    <n v="0"/>
    <n v="0"/>
    <n v="0"/>
    <n v="0"/>
    <n v="0"/>
    <n v="0"/>
    <n v="0"/>
    <n v="0"/>
    <n v="0"/>
    <n v="38"/>
    <s v="Self-Watering"/>
    <n v="90"/>
  </r>
  <r>
    <x v="0"/>
    <s v="Meter sq planter (1)"/>
    <x v="6"/>
    <n v="40"/>
    <n v="128"/>
    <n v="300"/>
    <n v="172"/>
    <n v="0"/>
    <n v="0"/>
    <n v="5"/>
    <n v="1500"/>
    <n v="0"/>
    <n v="0"/>
    <n v="0"/>
    <n v="0"/>
    <n v="0"/>
    <n v="0"/>
    <n v="0"/>
    <n v="0"/>
    <n v="0"/>
    <n v="0"/>
    <n v="5"/>
    <s v="Self-Watering"/>
    <n v="99"/>
  </r>
  <r>
    <x v="5"/>
    <s v="Meter sq planter (2)"/>
    <x v="6"/>
    <n v="47"/>
    <n v="150.4"/>
    <n v="400"/>
    <n v="249.6"/>
    <n v="0"/>
    <n v="0"/>
    <n v="1"/>
    <n v="400"/>
    <n v="0"/>
    <n v="0"/>
    <n v="0"/>
    <n v="0"/>
    <n v="0"/>
    <n v="0"/>
    <n v="0"/>
    <n v="0"/>
    <n v="0"/>
    <n v="0"/>
    <n v="1"/>
    <s v="Self-Watering"/>
    <n v="90"/>
  </r>
  <r>
    <x v="2"/>
    <s v="Octagonal fountain (2)"/>
    <x v="6"/>
    <n v="47"/>
    <n v="150.4"/>
    <n v="370"/>
    <n v="219.6"/>
    <n v="0"/>
    <n v="0"/>
    <n v="1"/>
    <n v="370"/>
    <n v="0"/>
    <n v="0"/>
    <n v="0"/>
    <n v="0"/>
    <n v="0"/>
    <n v="0"/>
    <n v="0"/>
    <n v="0"/>
    <n v="0"/>
    <n v="0"/>
    <n v="1"/>
    <s v="Self-Watering"/>
    <n v="93"/>
  </r>
  <r>
    <x v="8"/>
    <s v="Octagonal fountain (3)"/>
    <x v="6"/>
    <n v="55"/>
    <n v="176"/>
    <n v="500"/>
    <n v="324"/>
    <n v="0"/>
    <n v="0"/>
    <n v="1"/>
    <n v="500"/>
    <n v="0"/>
    <n v="0"/>
    <n v="0"/>
    <n v="0"/>
    <n v="0"/>
    <n v="0"/>
    <n v="0"/>
    <n v="0"/>
    <n v="0"/>
    <n v="0"/>
    <n v="1"/>
    <s v="Self-Watering"/>
    <n v="93"/>
  </r>
  <r>
    <x v="62"/>
    <s v="Cylinder"/>
    <x v="6"/>
    <n v="17"/>
    <n v="54.400000000000006"/>
    <n v="45"/>
    <n v="-9.4000000000000057"/>
    <n v="0"/>
    <n v="0"/>
    <n v="0"/>
    <n v="0"/>
    <n v="0"/>
    <n v="0"/>
    <n v="0"/>
    <n v="0"/>
    <n v="0"/>
    <n v="0"/>
    <n v="0"/>
    <n v="0"/>
    <n v="0"/>
    <n v="0"/>
    <n v="0"/>
    <s v="Planterware"/>
    <n v="97"/>
  </r>
  <r>
    <x v="63"/>
    <s v="Egg pot square"/>
    <x v="6"/>
    <n v="11"/>
    <n v="35.200000000000003"/>
    <n v="85"/>
    <n v="49.8"/>
    <n v="0"/>
    <n v="0"/>
    <n v="0"/>
    <n v="0"/>
    <n v="0"/>
    <n v="0"/>
    <n v="0"/>
    <n v="0"/>
    <n v="0"/>
    <n v="0"/>
    <n v="0"/>
    <n v="0"/>
    <n v="0"/>
    <n v="0"/>
    <n v="0"/>
    <s v="Planterware"/>
    <n v="98"/>
  </r>
  <r>
    <x v="41"/>
    <s v="Meter sq planter"/>
    <x v="6"/>
    <n v="35"/>
    <n v="112"/>
    <n v="180"/>
    <n v="68"/>
    <n v="5"/>
    <n v="340"/>
    <n v="0"/>
    <n v="-560"/>
    <n v="0"/>
    <n v="0"/>
    <n v="0"/>
    <n v="0"/>
    <n v="0"/>
    <n v="0"/>
    <n v="0"/>
    <n v="0"/>
    <n v="0"/>
    <n v="0"/>
    <n v="5"/>
    <s v="Self-Watering"/>
    <n v="98"/>
  </r>
  <r>
    <x v="1"/>
    <s v="Meter sq planter (4)"/>
    <x v="6"/>
    <n v="60"/>
    <n v="192"/>
    <n v="650"/>
    <n v="458"/>
    <n v="5"/>
    <n v="2290"/>
    <n v="0"/>
    <n v="-960"/>
    <n v="0"/>
    <n v="0"/>
    <n v="0"/>
    <n v="0"/>
    <n v="0"/>
    <n v="0"/>
    <n v="0"/>
    <n v="0"/>
    <n v="0"/>
    <n v="0"/>
    <n v="5"/>
    <s v="Self-Watering"/>
    <n v="99"/>
  </r>
  <r>
    <x v="6"/>
    <s v="Octagonal fountain (1)"/>
    <x v="6"/>
    <n v="40"/>
    <n v="128"/>
    <n v="290"/>
    <n v="162"/>
    <n v="5"/>
    <n v="810"/>
    <n v="0"/>
    <n v="-640"/>
    <n v="0"/>
    <n v="0"/>
    <n v="0"/>
    <n v="0"/>
    <n v="0"/>
    <n v="0"/>
    <n v="0"/>
    <n v="0"/>
    <n v="0"/>
    <n v="0"/>
    <n v="5"/>
    <s v="Self-Watering"/>
    <n v="95"/>
  </r>
  <r>
    <x v="56"/>
    <s v="Cup and Saucer (HB)"/>
    <x v="6"/>
    <n v="5"/>
    <n v="16"/>
    <n v="60"/>
    <n v="44"/>
    <n v="23"/>
    <n v="1012"/>
    <n v="35"/>
    <n v="1732"/>
    <n v="0"/>
    <n v="0"/>
    <n v="0"/>
    <n v="0"/>
    <n v="0"/>
    <n v="0"/>
    <n v="0"/>
    <n v="0"/>
    <n v="0"/>
    <n v="0"/>
    <n v="58"/>
    <s v="Self-Watering"/>
    <n v="95"/>
  </r>
  <r>
    <x v="40"/>
    <s v="Octagonal fountain"/>
    <x v="7"/>
    <n v="35"/>
    <n v="112"/>
    <n v="250"/>
    <n v="138"/>
    <n v="15"/>
    <n v="2070"/>
    <n v="8"/>
    <n v="320"/>
    <n v="0"/>
    <n v="0"/>
    <n v="0"/>
    <n v="0"/>
    <n v="0"/>
    <n v="0"/>
    <n v="0"/>
    <n v="0"/>
    <n v="0"/>
    <n v="0"/>
    <n v="23"/>
    <s v="Self-Watering"/>
    <n v="97"/>
  </r>
  <r>
    <x v="30"/>
    <s v="Bee hive fountain (6)"/>
    <x v="8"/>
    <n v="65"/>
    <n v="208"/>
    <n v="700"/>
    <n v="492"/>
    <n v="0"/>
    <n v="0"/>
    <n v="5"/>
    <n v="3500"/>
    <n v="0"/>
    <n v="0"/>
    <n v="0"/>
    <n v="0"/>
    <n v="0"/>
    <n v="0"/>
    <n v="0"/>
    <n v="0"/>
    <n v="0"/>
    <n v="0"/>
    <n v="5"/>
    <s v="Self-Watering"/>
    <n v="98"/>
  </r>
  <r>
    <x v="57"/>
    <s v="Half basket up the pole"/>
    <x v="9"/>
    <n v="4"/>
    <n v="12"/>
    <n v="55"/>
    <n v="43"/>
    <n v="0"/>
    <n v="0"/>
    <n v="5"/>
    <n v="275"/>
    <n v="0"/>
    <n v="0"/>
    <n v="0"/>
    <n v="0"/>
    <n v="0"/>
    <n v="0"/>
    <n v="0"/>
    <n v="0"/>
    <n v="0"/>
    <n v="0"/>
    <n v="5"/>
    <s v="Self-Watering"/>
    <n v="100"/>
  </r>
  <r>
    <x v="33"/>
    <s v="Conventional Hanging Basket"/>
    <x v="9"/>
    <n v="5"/>
    <n v="15"/>
    <n v="66"/>
    <n v="51"/>
    <n v="1"/>
    <n v="51"/>
    <n v="0"/>
    <n v="-15"/>
    <n v="0"/>
    <n v="0"/>
    <n v="0"/>
    <n v="0"/>
    <n v="0"/>
    <n v="0"/>
    <n v="0"/>
    <n v="0"/>
    <n v="0"/>
    <n v="0"/>
    <n v="1"/>
    <s v="Self-Watering"/>
    <n v="98"/>
  </r>
  <r>
    <x v="59"/>
    <s v="Cup and Saucer"/>
    <x v="9"/>
    <n v="7"/>
    <n v="21"/>
    <n v="40"/>
    <n v="19"/>
    <n v="6"/>
    <n v="114"/>
    <n v="15"/>
    <n v="474"/>
    <n v="0"/>
    <n v="0"/>
    <n v="0"/>
    <n v="0"/>
    <n v="0"/>
    <n v="0"/>
    <n v="0"/>
    <n v="0"/>
    <n v="0"/>
    <n v="0"/>
    <n v="21"/>
    <s v="Self-Watering"/>
    <n v="94"/>
  </r>
  <r>
    <x v="41"/>
    <s v="Meter sq planter"/>
    <x v="10"/>
    <n v="35"/>
    <n v="112"/>
    <n v="180"/>
    <n v="68"/>
    <n v="0"/>
    <n v="0"/>
    <n v="89"/>
    <n v="16020"/>
    <n v="0"/>
    <n v="0"/>
    <n v="0"/>
    <n v="0"/>
    <n v="0"/>
    <n v="0"/>
    <n v="0"/>
    <n v="0"/>
    <n v="0"/>
    <n v="0"/>
    <n v="89"/>
    <s v="Self-Watering"/>
    <n v="92"/>
  </r>
  <r>
    <x v="0"/>
    <s v="Meter sq planter (1)"/>
    <x v="10"/>
    <n v="40"/>
    <n v="128"/>
    <n v="300"/>
    <n v="172"/>
    <n v="0"/>
    <n v="0"/>
    <n v="5"/>
    <n v="1500"/>
    <n v="0"/>
    <n v="0"/>
    <n v="0"/>
    <n v="0"/>
    <n v="0"/>
    <n v="0"/>
    <n v="0"/>
    <n v="0"/>
    <n v="0"/>
    <n v="0"/>
    <n v="5"/>
    <s v="Self-Watering"/>
    <n v="94"/>
  </r>
  <r>
    <x v="2"/>
    <s v="Octagonal fountain (2)"/>
    <x v="10"/>
    <n v="47"/>
    <n v="150.4"/>
    <n v="370"/>
    <n v="219.6"/>
    <n v="1"/>
    <n v="219.6"/>
    <n v="0"/>
    <n v="-150.4"/>
    <n v="0"/>
    <n v="0"/>
    <n v="0"/>
    <n v="0"/>
    <n v="0"/>
    <n v="0"/>
    <n v="0"/>
    <n v="0"/>
    <n v="0"/>
    <n v="0"/>
    <n v="1"/>
    <s v="Self-Watering"/>
    <n v="99"/>
  </r>
  <r>
    <x v="8"/>
    <s v="Octagonal fountain (3)"/>
    <x v="10"/>
    <n v="55"/>
    <n v="176"/>
    <n v="500"/>
    <n v="324"/>
    <n v="1"/>
    <n v="324"/>
    <n v="0"/>
    <n v="-176"/>
    <n v="0"/>
    <n v="0"/>
    <n v="0"/>
    <n v="0"/>
    <n v="0"/>
    <n v="0"/>
    <n v="0"/>
    <n v="0"/>
    <n v="0"/>
    <n v="0"/>
    <n v="1"/>
    <s v="Self-Watering"/>
    <n v="100"/>
  </r>
  <r>
    <x v="42"/>
    <s v="Half barrier basket"/>
    <x v="10"/>
    <n v="3.5"/>
    <n v="11.200000000000001"/>
    <n v="60"/>
    <n v="48.8"/>
    <n v="3"/>
    <n v="146.4"/>
    <n v="0"/>
    <n v="-33.6"/>
    <n v="0"/>
    <n v="0"/>
    <n v="0"/>
    <n v="0"/>
    <n v="0"/>
    <n v="0"/>
    <n v="0"/>
    <n v="0"/>
    <n v="0"/>
    <n v="0"/>
    <n v="3"/>
    <s v="Self-Watering"/>
    <n v="94"/>
  </r>
  <r>
    <x v="1"/>
    <s v="Meter sq planter (4)"/>
    <x v="10"/>
    <n v="60"/>
    <n v="192"/>
    <n v="650"/>
    <n v="458"/>
    <n v="3"/>
    <n v="1374"/>
    <n v="0"/>
    <n v="-576"/>
    <n v="0"/>
    <n v="0"/>
    <n v="0"/>
    <n v="0"/>
    <n v="0"/>
    <n v="0"/>
    <n v="0"/>
    <n v="0"/>
    <n v="0"/>
    <n v="0"/>
    <n v="3"/>
    <s v="Self-Watering"/>
    <n v="92"/>
  </r>
  <r>
    <x v="27"/>
    <s v="Half barrier basket"/>
    <x v="10"/>
    <n v="4.5"/>
    <n v="14.4"/>
    <n v="65"/>
    <n v="50.6"/>
    <n v="5"/>
    <n v="253"/>
    <n v="0"/>
    <n v="-72"/>
    <n v="0"/>
    <n v="0"/>
    <n v="0"/>
    <n v="0"/>
    <n v="0"/>
    <n v="0"/>
    <n v="0"/>
    <n v="0"/>
    <n v="0"/>
    <n v="0"/>
    <n v="5"/>
    <s v="Self-Watering"/>
    <n v="94"/>
  </r>
  <r>
    <x v="32"/>
    <s v="Half barrier basket"/>
    <x v="10"/>
    <n v="8"/>
    <n v="25.6"/>
    <n v="85"/>
    <n v="59.4"/>
    <n v="5"/>
    <n v="297"/>
    <n v="0"/>
    <n v="-128"/>
    <n v="0"/>
    <n v="0"/>
    <n v="0"/>
    <n v="0"/>
    <n v="0"/>
    <n v="0"/>
    <n v="0"/>
    <n v="0"/>
    <n v="0"/>
    <n v="0"/>
    <n v="5"/>
    <s v="Self-Watering"/>
    <n v="97"/>
  </r>
  <r>
    <x v="5"/>
    <s v="Meter sq planter (2)"/>
    <x v="10"/>
    <n v="47"/>
    <n v="150.4"/>
    <n v="400"/>
    <n v="249.6"/>
    <n v="5"/>
    <n v="1248"/>
    <n v="0"/>
    <n v="-752"/>
    <n v="0"/>
    <n v="0"/>
    <n v="0"/>
    <n v="0"/>
    <n v="0"/>
    <n v="0"/>
    <n v="0"/>
    <n v="0"/>
    <n v="0"/>
    <n v="0"/>
    <n v="5"/>
    <s v="Self-Watering"/>
    <n v="90"/>
  </r>
  <r>
    <x v="6"/>
    <s v="Octagonal fountain (1)"/>
    <x v="10"/>
    <n v="40"/>
    <n v="128"/>
    <n v="290"/>
    <n v="162"/>
    <n v="5"/>
    <n v="810"/>
    <n v="0"/>
    <n v="-640"/>
    <n v="0"/>
    <n v="0"/>
    <n v="0"/>
    <n v="0"/>
    <n v="0"/>
    <n v="0"/>
    <n v="0"/>
    <n v="0"/>
    <n v="0"/>
    <n v="0"/>
    <n v="5"/>
    <s v="Self-Watering"/>
    <n v="93"/>
  </r>
  <r>
    <x v="12"/>
    <s v="Half barrier basket"/>
    <x v="10"/>
    <n v="10"/>
    <n v="32"/>
    <n v="145"/>
    <n v="113"/>
    <n v="13"/>
    <n v="1469"/>
    <n v="10"/>
    <n v="1034"/>
    <n v="0"/>
    <n v="0"/>
    <n v="0"/>
    <n v="0"/>
    <n v="0"/>
    <n v="0"/>
    <n v="0"/>
    <n v="0"/>
    <n v="0"/>
    <n v="0"/>
    <n v="23"/>
    <s v="Self-Watering"/>
    <n v="96"/>
  </r>
  <r>
    <x v="13"/>
    <s v="Half barrier basket liner"/>
    <x v="10"/>
    <n v="5.5"/>
    <n v="17.600000000000001"/>
    <n v="99"/>
    <n v="81.400000000000006"/>
    <n v="13"/>
    <n v="1058.2"/>
    <n v="10"/>
    <n v="761.2"/>
    <n v="0"/>
    <n v="0"/>
    <n v="0"/>
    <n v="0"/>
    <n v="0"/>
    <n v="0"/>
    <n v="0"/>
    <n v="0"/>
    <n v="0"/>
    <n v="0"/>
    <n v="23"/>
    <s v="Self-Watering"/>
    <n v="93"/>
  </r>
  <r>
    <x v="20"/>
    <s v="Up the pole basket"/>
    <x v="10"/>
    <n v="7"/>
    <n v="22.400000000000002"/>
    <n v="90"/>
    <n v="67.599999999999994"/>
    <n v="25"/>
    <n v="1690"/>
    <n v="0"/>
    <n v="-560"/>
    <n v="0"/>
    <n v="0"/>
    <n v="0"/>
    <n v="0"/>
    <n v="0"/>
    <n v="0"/>
    <n v="0"/>
    <n v="0"/>
    <n v="0"/>
    <n v="0"/>
    <n v="25"/>
    <s v="Self-Watering"/>
    <n v="92"/>
  </r>
  <r>
    <x v="22"/>
    <s v="Meter sq planter (3)"/>
    <x v="10"/>
    <n v="55"/>
    <n v="176"/>
    <n v="510"/>
    <n v="334"/>
    <n v="33"/>
    <n v="11022"/>
    <n v="15"/>
    <n v="1842"/>
    <n v="0"/>
    <n v="0"/>
    <n v="0"/>
    <n v="0"/>
    <n v="0"/>
    <n v="0"/>
    <n v="0"/>
    <n v="0"/>
    <n v="0"/>
    <n v="0"/>
    <n v="48"/>
    <s v="Self-Watering"/>
    <n v="98"/>
  </r>
  <r>
    <x v="31"/>
    <s v="Bee hive fountain (5)"/>
    <x v="10"/>
    <n v="55"/>
    <n v="176"/>
    <n v="600"/>
    <n v="424"/>
    <n v="35"/>
    <n v="14840"/>
    <n v="14"/>
    <n v="2240"/>
    <n v="0"/>
    <n v="0"/>
    <n v="0"/>
    <n v="0"/>
    <n v="0"/>
    <n v="0"/>
    <n v="0"/>
    <n v="0"/>
    <n v="0"/>
    <n v="0"/>
    <n v="49"/>
    <s v="Self-Watering"/>
    <n v="90"/>
  </r>
  <r>
    <x v="34"/>
    <s v="Wall and window box"/>
    <x v="10"/>
    <n v="3.5"/>
    <n v="11.200000000000001"/>
    <n v="65"/>
    <n v="53.8"/>
    <n v="35"/>
    <n v="1883"/>
    <n v="0"/>
    <n v="-392.00000000000006"/>
    <n v="0"/>
    <n v="0"/>
    <n v="0"/>
    <n v="0"/>
    <n v="0"/>
    <n v="0"/>
    <n v="0"/>
    <n v="0"/>
    <n v="0"/>
    <n v="0"/>
    <n v="35"/>
    <s v="Self-Watering"/>
    <n v="96"/>
  </r>
  <r>
    <x v="28"/>
    <s v="Wall and window box"/>
    <x v="10"/>
    <n v="5.5"/>
    <n v="17.600000000000001"/>
    <n v="95"/>
    <n v="77.400000000000006"/>
    <n v="35"/>
    <n v="2709"/>
    <n v="0"/>
    <n v="-616"/>
    <n v="0"/>
    <n v="0"/>
    <n v="0"/>
    <n v="0"/>
    <n v="0"/>
    <n v="0"/>
    <n v="0"/>
    <n v="0"/>
    <n v="0"/>
    <n v="0"/>
    <n v="35"/>
    <s v="Self-Watering"/>
    <n v="96"/>
  </r>
  <r>
    <x v="43"/>
    <s v="Wall and window box"/>
    <x v="10"/>
    <n v="8"/>
    <n v="25.6"/>
    <n v="80"/>
    <n v="54.4"/>
    <n v="35"/>
    <n v="1904"/>
    <n v="23"/>
    <n v="944"/>
    <n v="0"/>
    <n v="0"/>
    <n v="0"/>
    <n v="0"/>
    <n v="0"/>
    <n v="0"/>
    <n v="0"/>
    <n v="0"/>
    <n v="0"/>
    <n v="0"/>
    <n v="58"/>
    <s v="Self-Watering"/>
    <n v="93"/>
  </r>
  <r>
    <x v="61"/>
    <s v="Floor standing oval planter"/>
    <x v="10"/>
    <n v="30"/>
    <n v="96"/>
    <n v="120"/>
    <n v="24"/>
    <n v="42"/>
    <n v="1008"/>
    <n v="47"/>
    <n v="1608"/>
    <n v="12"/>
    <n v="288"/>
    <n v="7"/>
    <n v="168"/>
    <n v="71"/>
    <n v="1704"/>
    <n v="29"/>
    <n v="696"/>
    <n v="31"/>
    <n v="744"/>
    <n v="208"/>
    <s v="Self-Watering"/>
    <n v="96"/>
  </r>
  <r>
    <x v="30"/>
    <s v="Bee hive fountain (6)"/>
    <x v="10"/>
    <n v="65"/>
    <n v="208"/>
    <n v="700"/>
    <n v="492"/>
    <n v="53"/>
    <n v="26076"/>
    <n v="28"/>
    <n v="8576"/>
    <n v="0"/>
    <n v="0"/>
    <n v="0"/>
    <n v="0"/>
    <n v="0"/>
    <n v="0"/>
    <n v="0"/>
    <n v="0"/>
    <n v="0"/>
    <n v="0"/>
    <n v="81"/>
    <s v="Self-Watering"/>
    <n v="93"/>
  </r>
  <r>
    <x v="26"/>
    <s v="Floural fountain "/>
    <x v="10"/>
    <n v="40"/>
    <n v="128"/>
    <n v="399"/>
    <n v="271"/>
    <n v="55"/>
    <n v="14905"/>
    <n v="45"/>
    <n v="10915"/>
    <n v="0"/>
    <n v="0"/>
    <n v="0"/>
    <n v="0"/>
    <n v="0"/>
    <n v="0"/>
    <n v="0"/>
    <n v="0"/>
    <n v="0"/>
    <n v="0"/>
    <n v="100"/>
    <s v="Self-Watering"/>
    <n v="98"/>
  </r>
  <r>
    <x v="24"/>
    <s v="Wall and window box"/>
    <x v="10"/>
    <n v="10"/>
    <n v="32"/>
    <n v="160"/>
    <n v="128"/>
    <n v="55"/>
    <n v="7040"/>
    <n v="0"/>
    <n v="-1760"/>
    <n v="0"/>
    <n v="0"/>
    <n v="0"/>
    <n v="0"/>
    <n v="0"/>
    <n v="0"/>
    <n v="0"/>
    <n v="0"/>
    <n v="0"/>
    <n v="0"/>
    <n v="55"/>
    <s v="Self-Watering"/>
    <n v="99"/>
  </r>
  <r>
    <x v="40"/>
    <s v="Octagonal fountain"/>
    <x v="10"/>
    <n v="35"/>
    <n v="112"/>
    <n v="250"/>
    <n v="138"/>
    <n v="76"/>
    <n v="10488"/>
    <n v="55"/>
    <n v="5238"/>
    <n v="0"/>
    <n v="0"/>
    <n v="0"/>
    <n v="0"/>
    <n v="0"/>
    <n v="0"/>
    <n v="0"/>
    <n v="0"/>
    <n v="0"/>
    <n v="0"/>
    <n v="131"/>
    <s v="Self-Watering"/>
    <n v="95"/>
  </r>
  <r>
    <x v="51"/>
    <s v="Barrier Basket"/>
    <x v="10"/>
    <n v="6"/>
    <n v="19.200000000000003"/>
    <n v="55"/>
    <n v="35.799999999999997"/>
    <n v="530"/>
    <n v="18974"/>
    <n v="135"/>
    <n v="-2751.0000000000018"/>
    <n v="0"/>
    <n v="0"/>
    <n v="0"/>
    <n v="0"/>
    <n v="0"/>
    <n v="0"/>
    <n v="0"/>
    <n v="0"/>
    <n v="0"/>
    <n v="0"/>
    <n v="665"/>
    <s v="Self-Watering"/>
    <n v="90"/>
  </r>
  <r>
    <x v="0"/>
    <s v="Meter sq planter (1)"/>
    <x v="11"/>
    <n v="40"/>
    <n v="120"/>
    <n v="250"/>
    <n v="130"/>
    <n v="0"/>
    <n v="0"/>
    <n v="5"/>
    <n v="1250"/>
    <n v="0"/>
    <n v="0"/>
    <n v="0"/>
    <n v="0"/>
    <n v="0"/>
    <n v="0"/>
    <n v="0"/>
    <n v="0"/>
    <n v="0"/>
    <n v="0"/>
    <n v="5"/>
    <s v="Self-Watering"/>
    <n v="90"/>
  </r>
  <r>
    <x v="23"/>
    <s v="up the pole basket"/>
    <x v="11"/>
    <n v="5"/>
    <n v="15"/>
    <n v="49"/>
    <n v="34"/>
    <n v="1"/>
    <n v="34"/>
    <n v="0"/>
    <n v="-15"/>
    <n v="0"/>
    <n v="0"/>
    <n v="0"/>
    <n v="0"/>
    <n v="0"/>
    <n v="0"/>
    <n v="0"/>
    <n v="0"/>
    <n v="0"/>
    <n v="0"/>
    <n v="1"/>
    <s v="Self-Watering"/>
    <n v="95"/>
  </r>
  <r>
    <x v="6"/>
    <s v="Octagonal fountain (1)"/>
    <x v="11"/>
    <n v="40"/>
    <n v="120"/>
    <n v="260"/>
    <n v="140"/>
    <n v="1"/>
    <n v="140"/>
    <n v="0"/>
    <n v="-120"/>
    <n v="0"/>
    <n v="0"/>
    <n v="0"/>
    <n v="0"/>
    <n v="0"/>
    <n v="0"/>
    <n v="0"/>
    <n v="0"/>
    <n v="0"/>
    <n v="0"/>
    <n v="1"/>
    <s v="Self-Watering"/>
    <n v="92"/>
  </r>
  <r>
    <x v="57"/>
    <s v="Half basket up the pole"/>
    <x v="11"/>
    <n v="4"/>
    <n v="12"/>
    <n v="55"/>
    <n v="43"/>
    <n v="5"/>
    <n v="215"/>
    <n v="0"/>
    <n v="-60"/>
    <n v="0"/>
    <n v="0"/>
    <n v="0"/>
    <n v="0"/>
    <n v="0"/>
    <n v="0"/>
    <n v="0"/>
    <n v="0"/>
    <n v="0"/>
    <n v="0"/>
    <n v="5"/>
    <s v="Self-Watering"/>
    <n v="95"/>
  </r>
  <r>
    <x v="61"/>
    <s v="Floor standing oval planter"/>
    <x v="11"/>
    <n v="30"/>
    <n v="90"/>
    <n v="120"/>
    <n v="30"/>
    <n v="5"/>
    <n v="150"/>
    <n v="0"/>
    <n v="-450"/>
    <n v="0"/>
    <n v="0"/>
    <n v="0"/>
    <n v="0"/>
    <n v="0"/>
    <n v="0"/>
    <n v="0"/>
    <n v="0"/>
    <n v="0"/>
    <n v="0"/>
    <n v="5"/>
    <s v="Self-Watering"/>
    <n v="96"/>
  </r>
  <r>
    <x v="55"/>
    <s v="Half basket up the pole"/>
    <x v="11"/>
    <n v="5"/>
    <n v="15"/>
    <n v="70"/>
    <n v="55"/>
    <n v="23"/>
    <n v="1265"/>
    <n v="5"/>
    <n v="5"/>
    <n v="0"/>
    <n v="0"/>
    <n v="0"/>
    <n v="0"/>
    <n v="0"/>
    <n v="0"/>
    <n v="0"/>
    <n v="0"/>
    <n v="0"/>
    <n v="0"/>
    <n v="28"/>
    <s v="Self-Watering"/>
    <n v="93"/>
  </r>
  <r>
    <x v="59"/>
    <s v="Cup and Saucer"/>
    <x v="11"/>
    <n v="7"/>
    <n v="21"/>
    <n v="40"/>
    <n v="19"/>
    <n v="135"/>
    <n v="2565"/>
    <n v="46"/>
    <n v="-995"/>
    <n v="0"/>
    <n v="0"/>
    <n v="0"/>
    <n v="0"/>
    <n v="0"/>
    <n v="0"/>
    <n v="0"/>
    <n v="0"/>
    <n v="0"/>
    <n v="0"/>
    <n v="181"/>
    <s v="Self-Watering"/>
    <n v="95"/>
  </r>
  <r>
    <x v="0"/>
    <s v="Meter sq planter (1)"/>
    <x v="12"/>
    <n v="40"/>
    <n v="120"/>
    <n v="250"/>
    <n v="130"/>
    <n v="1"/>
    <n v="130"/>
    <n v="0"/>
    <n v="-120"/>
    <n v="0"/>
    <n v="0"/>
    <n v="0"/>
    <n v="0"/>
    <n v="0"/>
    <n v="0"/>
    <n v="0"/>
    <n v="0"/>
    <n v="0"/>
    <n v="0"/>
    <n v="1"/>
    <s v="Self-Watering"/>
    <n v="100"/>
  </r>
  <r>
    <x v="2"/>
    <s v="Octagonal fountain (2)"/>
    <x v="12"/>
    <n v="47"/>
    <n v="141"/>
    <n v="340"/>
    <n v="199"/>
    <n v="1"/>
    <n v="199"/>
    <n v="0"/>
    <n v="-141"/>
    <n v="0"/>
    <n v="0"/>
    <n v="0"/>
    <n v="0"/>
    <n v="0"/>
    <n v="0"/>
    <n v="0"/>
    <n v="0"/>
    <n v="0"/>
    <n v="0"/>
    <n v="1"/>
    <s v="Self-Watering"/>
    <n v="91"/>
  </r>
  <r>
    <x v="8"/>
    <s v="Octagonal fountain (3)"/>
    <x v="12"/>
    <n v="55"/>
    <n v="165"/>
    <n v="470"/>
    <n v="305"/>
    <n v="2"/>
    <n v="610"/>
    <n v="0"/>
    <n v="-330"/>
    <n v="0"/>
    <n v="0"/>
    <n v="0"/>
    <n v="0"/>
    <n v="0"/>
    <n v="0"/>
    <n v="0"/>
    <n v="0"/>
    <n v="0"/>
    <n v="0"/>
    <n v="2"/>
    <s v="Self-Watering"/>
    <n v="96"/>
  </r>
  <r>
    <x v="9"/>
    <s v="Wall and window box"/>
    <x v="12"/>
    <n v="6"/>
    <n v="18"/>
    <n v="70"/>
    <n v="52"/>
    <n v="3"/>
    <n v="156"/>
    <n v="0"/>
    <n v="-54"/>
    <n v="0"/>
    <n v="0"/>
    <n v="0"/>
    <n v="0"/>
    <n v="0"/>
    <n v="0"/>
    <n v="0"/>
    <n v="0"/>
    <n v="0"/>
    <n v="0"/>
    <n v="3"/>
    <s v="Self-Watering"/>
    <n v="94"/>
  </r>
  <r>
    <x v="5"/>
    <s v="Meter sq planter (2)"/>
    <x v="12"/>
    <n v="47"/>
    <n v="141"/>
    <n v="370"/>
    <n v="229"/>
    <n v="3"/>
    <n v="687"/>
    <n v="0"/>
    <n v="-423"/>
    <n v="0"/>
    <n v="0"/>
    <n v="0"/>
    <n v="0"/>
    <n v="0"/>
    <n v="0"/>
    <n v="0"/>
    <n v="0"/>
    <n v="0"/>
    <n v="0"/>
    <n v="3"/>
    <s v="Self-Watering"/>
    <n v="97"/>
  </r>
  <r>
    <x v="34"/>
    <s v="Wall and window box"/>
    <x v="12"/>
    <n v="3.5"/>
    <n v="10.5"/>
    <n v="50"/>
    <n v="39.5"/>
    <n v="5"/>
    <n v="197.5"/>
    <n v="0"/>
    <n v="-52.5"/>
    <n v="0"/>
    <n v="0"/>
    <n v="0"/>
    <n v="0"/>
    <n v="0"/>
    <n v="0"/>
    <n v="0"/>
    <n v="0"/>
    <n v="0"/>
    <n v="0"/>
    <n v="5"/>
    <s v="Self-Watering"/>
    <n v="92"/>
  </r>
  <r>
    <x v="12"/>
    <s v="Half barrier basket"/>
    <x v="12"/>
    <n v="10"/>
    <n v="30"/>
    <n v="145"/>
    <n v="115"/>
    <n v="10"/>
    <n v="1150"/>
    <n v="0"/>
    <n v="-300"/>
    <n v="0"/>
    <n v="0"/>
    <n v="0"/>
    <n v="0"/>
    <n v="0"/>
    <n v="0"/>
    <n v="0"/>
    <n v="0"/>
    <n v="0"/>
    <n v="0"/>
    <n v="10"/>
    <s v="Self-Watering"/>
    <n v="94"/>
  </r>
  <r>
    <x v="13"/>
    <s v="Half barrier basket liner"/>
    <x v="12"/>
    <n v="5.5"/>
    <n v="16.5"/>
    <n v="85"/>
    <n v="68.5"/>
    <n v="10"/>
    <n v="685"/>
    <n v="0"/>
    <n v="-165"/>
    <n v="0"/>
    <n v="0"/>
    <n v="0"/>
    <n v="0"/>
    <n v="0"/>
    <n v="0"/>
    <n v="0"/>
    <n v="0"/>
    <n v="0"/>
    <n v="0"/>
    <n v="10"/>
    <s v="Self-Watering"/>
    <n v="100"/>
  </r>
  <r>
    <x v="1"/>
    <s v="Meter sq planter (4)"/>
    <x v="12"/>
    <n v="60"/>
    <n v="180"/>
    <n v="589"/>
    <n v="409"/>
    <n v="10"/>
    <n v="4090"/>
    <n v="0"/>
    <n v="-1800"/>
    <n v="0"/>
    <n v="0"/>
    <n v="0"/>
    <n v="0"/>
    <n v="0"/>
    <n v="0"/>
    <n v="0"/>
    <n v="0"/>
    <n v="0"/>
    <n v="0"/>
    <n v="10"/>
    <s v="Self-Watering"/>
    <n v="90"/>
  </r>
  <r>
    <x v="42"/>
    <s v="Half barrier basket"/>
    <x v="12"/>
    <n v="3.5"/>
    <n v="10.5"/>
    <n v="45"/>
    <n v="34.5"/>
    <n v="24"/>
    <n v="828"/>
    <n v="0"/>
    <n v="-252"/>
    <n v="0"/>
    <n v="0"/>
    <n v="0"/>
    <n v="0"/>
    <n v="0"/>
    <n v="0"/>
    <n v="0"/>
    <n v="0"/>
    <n v="0"/>
    <n v="0"/>
    <n v="24"/>
    <s v="Self-Watering"/>
    <n v="91"/>
  </r>
  <r>
    <x v="22"/>
    <s v="Meter sq planter (3)"/>
    <x v="12"/>
    <n v="55"/>
    <n v="165"/>
    <n v="400"/>
    <n v="235"/>
    <n v="25"/>
    <n v="5875"/>
    <n v="30"/>
    <n v="7875"/>
    <n v="23"/>
    <n v="5405"/>
    <n v="22"/>
    <n v="5170"/>
    <n v="35"/>
    <n v="8225"/>
    <n v="135"/>
    <n v="31725"/>
    <n v="142"/>
    <n v="33370"/>
    <n v="270"/>
    <s v="Self-Watering"/>
    <n v="95"/>
  </r>
  <r>
    <x v="27"/>
    <s v="Half barrier basket"/>
    <x v="12"/>
    <n v="4.5"/>
    <n v="13.5"/>
    <n v="50"/>
    <n v="36.5"/>
    <n v="40"/>
    <n v="1460"/>
    <n v="33"/>
    <n v="1110"/>
    <n v="45"/>
    <n v="1642.5"/>
    <n v="20"/>
    <n v="730"/>
    <n v="15"/>
    <n v="547.5"/>
    <n v="55"/>
    <n v="2007.5"/>
    <n v="46"/>
    <n v="1679"/>
    <n v="208"/>
    <s v="Self-Watering"/>
    <n v="100"/>
  </r>
  <r>
    <x v="20"/>
    <s v="Up the pole basket"/>
    <x v="12"/>
    <n v="7"/>
    <n v="21"/>
    <n v="79"/>
    <n v="58"/>
    <n v="40"/>
    <n v="2320"/>
    <n v="32"/>
    <n v="1688"/>
    <n v="45"/>
    <n v="2610"/>
    <n v="13"/>
    <n v="754"/>
    <n v="25"/>
    <n v="1450"/>
    <n v="66"/>
    <n v="3828"/>
    <n v="45"/>
    <n v="2610"/>
    <n v="221"/>
    <s v="Self-Watering"/>
    <n v="92"/>
  </r>
  <r>
    <x v="24"/>
    <s v="Wall and window box"/>
    <x v="12"/>
    <n v="10"/>
    <n v="30"/>
    <n v="145"/>
    <n v="115"/>
    <n v="45"/>
    <n v="5175"/>
    <n v="35"/>
    <n v="3725"/>
    <n v="30"/>
    <n v="3450"/>
    <n v="20"/>
    <n v="2300"/>
    <n v="15"/>
    <n v="1725"/>
    <n v="50"/>
    <n v="5750"/>
    <n v="45"/>
    <n v="5175"/>
    <n v="195"/>
    <s v="Self-Watering"/>
    <n v="100"/>
  </r>
  <r>
    <x v="31"/>
    <s v="Bee hive fountain (5)"/>
    <x v="12"/>
    <n v="55"/>
    <n v="165"/>
    <n v="600"/>
    <n v="435"/>
    <n v="66"/>
    <n v="28710"/>
    <n v="35"/>
    <n v="10110"/>
    <n v="12"/>
    <n v="5220"/>
    <n v="15"/>
    <n v="6525"/>
    <n v="33"/>
    <n v="14355"/>
    <n v="50"/>
    <n v="21750"/>
    <n v="45"/>
    <n v="19575"/>
    <n v="211"/>
    <s v="Self-Watering"/>
    <n v="94"/>
  </r>
  <r>
    <x v="23"/>
    <s v="up the pole basket"/>
    <x v="12"/>
    <n v="5"/>
    <n v="15"/>
    <n v="49"/>
    <n v="34"/>
    <n v="68"/>
    <n v="2312"/>
    <n v="55"/>
    <n v="1675"/>
    <n v="20"/>
    <n v="680"/>
    <n v="25"/>
    <n v="850"/>
    <n v="30"/>
    <n v="1020"/>
    <n v="44"/>
    <n v="1496"/>
    <n v="10"/>
    <n v="340"/>
    <n v="242"/>
    <s v="Self-Watering"/>
    <n v="93"/>
  </r>
  <r>
    <x v="33"/>
    <s v="Conventional Hanging Basket"/>
    <x v="12"/>
    <n v="5"/>
    <n v="15"/>
    <n v="66"/>
    <n v="51"/>
    <n v="87"/>
    <n v="4437"/>
    <n v="65"/>
    <n v="2985"/>
    <n v="50"/>
    <n v="2550"/>
    <n v="67"/>
    <n v="3417"/>
    <n v="50"/>
    <n v="2550"/>
    <n v="35"/>
    <n v="1785"/>
    <n v="55"/>
    <n v="2805"/>
    <n v="354"/>
    <s v="Self-Watering"/>
    <n v="91"/>
  </r>
  <r>
    <x v="32"/>
    <s v="Half barrier basket"/>
    <x v="12"/>
    <n v="8"/>
    <n v="24"/>
    <n v="75"/>
    <n v="51"/>
    <n v="135"/>
    <n v="6885"/>
    <n v="100"/>
    <n v="4260"/>
    <n v="87"/>
    <n v="4437"/>
    <n v="15"/>
    <n v="765"/>
    <n v="57"/>
    <n v="2907"/>
    <n v="180"/>
    <n v="9180"/>
    <n v="167"/>
    <n v="8517"/>
    <n v="574"/>
    <s v="Self-Watering"/>
    <n v="100"/>
  </r>
  <r>
    <x v="30"/>
    <s v="Bee hive fountain (6)"/>
    <x v="12"/>
    <n v="65"/>
    <n v="195"/>
    <n v="650"/>
    <n v="455"/>
    <n v="158"/>
    <n v="71890"/>
    <n v="113"/>
    <n v="42640"/>
    <n v="250"/>
    <n v="113750"/>
    <n v="0"/>
    <n v="0"/>
    <n v="0"/>
    <n v="0"/>
    <n v="0"/>
    <n v="0"/>
    <n v="0"/>
    <n v="0"/>
    <n v="521"/>
    <s v="Self-Watering"/>
    <n v="97"/>
  </r>
  <r>
    <x v="46"/>
    <s v="half cup and saucer up the pole"/>
    <x v="12"/>
    <n v="5"/>
    <n v="15"/>
    <n v="85"/>
    <n v="70"/>
    <n v="180"/>
    <n v="12600"/>
    <n v="0"/>
    <n v="-2700"/>
    <n v="0"/>
    <n v="0"/>
    <n v="0"/>
    <n v="0"/>
    <n v="0"/>
    <n v="0"/>
    <n v="0"/>
    <n v="0"/>
    <n v="0"/>
    <n v="0"/>
    <n v="180"/>
    <s v="Self-Watering"/>
    <n v="98"/>
  </r>
  <r>
    <x v="43"/>
    <s v="Wall and window box"/>
    <x v="12"/>
    <n v="8"/>
    <n v="24"/>
    <n v="80"/>
    <n v="56"/>
    <n v="189"/>
    <n v="10584"/>
    <n v="144"/>
    <n v="6984"/>
    <n v="64"/>
    <n v="3584"/>
    <n v="0"/>
    <n v="0"/>
    <n v="87"/>
    <n v="4872"/>
    <n v="153"/>
    <n v="8568"/>
    <n v="145"/>
    <n v="8120"/>
    <n v="637"/>
    <s v="Self-Watering"/>
    <n v="98"/>
  </r>
  <r>
    <x v="28"/>
    <s v="Wall and window box"/>
    <x v="12"/>
    <n v="5.5"/>
    <n v="16.5"/>
    <n v="80"/>
    <n v="63.5"/>
    <n v="200"/>
    <n v="12700"/>
    <n v="45"/>
    <n v="300"/>
    <n v="5"/>
    <n v="317.5"/>
    <n v="0"/>
    <n v="0"/>
    <n v="0"/>
    <n v="0"/>
    <n v="0"/>
    <n v="0"/>
    <n v="0"/>
    <n v="0"/>
    <n v="250"/>
    <s v="Self-Watering"/>
    <n v="92"/>
  </r>
  <r>
    <x v="40"/>
    <s v="Octagonal fountain"/>
    <x v="12"/>
    <n v="35"/>
    <n v="105"/>
    <n v="250"/>
    <n v="145"/>
    <n v="230"/>
    <n v="33350"/>
    <n v="187"/>
    <n v="22600"/>
    <n v="135"/>
    <n v="19575"/>
    <n v="87"/>
    <n v="12615"/>
    <n v="53"/>
    <n v="7685"/>
    <n v="235"/>
    <n v="34075"/>
    <n v="200"/>
    <n v="29000"/>
    <n v="927"/>
    <s v="Self-Watering"/>
    <n v="96"/>
  </r>
  <r>
    <x v="37"/>
    <s v="Half barrier basket"/>
    <x v="12"/>
    <n v="9"/>
    <n v="27"/>
    <n v="55"/>
    <n v="28"/>
    <n v="230"/>
    <n v="6440"/>
    <n v="185"/>
    <n v="3965"/>
    <n v="74"/>
    <n v="2072"/>
    <n v="67"/>
    <n v="1876"/>
    <n v="55"/>
    <n v="1540"/>
    <n v="80"/>
    <n v="2240"/>
    <n v="250"/>
    <n v="7000"/>
    <n v="691"/>
    <s v="Self-Watering"/>
    <n v="90"/>
  </r>
  <r>
    <x v="53"/>
    <s v="Conventional Hanging Basket"/>
    <x v="12"/>
    <n v="5"/>
    <n v="15"/>
    <n v="45"/>
    <n v="30"/>
    <n v="342"/>
    <n v="10260"/>
    <n v="280"/>
    <n v="7470"/>
    <n v="133"/>
    <n v="3990"/>
    <n v="200"/>
    <n v="6000"/>
    <n v="187"/>
    <n v="5610"/>
    <n v="850"/>
    <n v="25500"/>
    <n v="345"/>
    <n v="10350"/>
    <n v="1992"/>
    <s v="Self-Watering"/>
    <n v="94"/>
  </r>
  <r>
    <x v="39"/>
    <s v="Full barrier basket"/>
    <x v="12"/>
    <n v="7.5"/>
    <n v="22.5"/>
    <n v="70"/>
    <n v="47.5"/>
    <n v="360"/>
    <n v="17100"/>
    <n v="245"/>
    <n v="9050"/>
    <n v="133"/>
    <n v="6317.5"/>
    <n v="88"/>
    <n v="4180"/>
    <n v="10"/>
    <n v="475"/>
    <n v="0"/>
    <n v="0"/>
    <n v="0"/>
    <n v="0"/>
    <n v="836"/>
    <s v="Self-Watering"/>
    <n v="99"/>
  </r>
  <r>
    <x v="47"/>
    <s v="Half pole basket"/>
    <x v="12"/>
    <n v="3.5"/>
    <n v="10.5"/>
    <n v="35"/>
    <n v="24.5"/>
    <n v="433"/>
    <n v="10608.5"/>
    <n v="350"/>
    <n v="7703.5"/>
    <n v="235"/>
    <n v="5757.5"/>
    <n v="170"/>
    <n v="4165"/>
    <n v="55"/>
    <n v="1347.5"/>
    <n v="135"/>
    <n v="3307.5"/>
    <n v="120"/>
    <n v="2940"/>
    <n v="1378"/>
    <s v="Self-Watering"/>
    <n v="99"/>
  </r>
  <r>
    <x v="64"/>
    <s v="Terresterial Basket"/>
    <x v="12"/>
    <n v="6"/>
    <n v="18"/>
    <n v="60"/>
    <n v="42"/>
    <n v="444"/>
    <n v="18648"/>
    <n v="294"/>
    <n v="9648"/>
    <n v="180"/>
    <n v="7560"/>
    <n v="222"/>
    <n v="9324"/>
    <n v="493"/>
    <n v="20706"/>
    <n v="450"/>
    <n v="18900"/>
    <n v="0"/>
    <n v="0"/>
    <n v="2083"/>
    <s v="Self-Watering"/>
    <n v="96"/>
  </r>
  <r>
    <x v="51"/>
    <s v="Barrier Basket"/>
    <x v="12"/>
    <n v="6"/>
    <n v="18"/>
    <n v="50"/>
    <n v="32"/>
    <n v="450"/>
    <n v="14400"/>
    <n v="300"/>
    <n v="6900"/>
    <n v="230"/>
    <n v="7360"/>
    <n v="200"/>
    <n v="6400"/>
    <n v="225"/>
    <n v="7200"/>
    <n v="705"/>
    <n v="22560"/>
    <n v="680"/>
    <n v="21760"/>
    <n v="2110"/>
    <s v="Self-Watering"/>
    <n v="92"/>
  </r>
  <r>
    <x v="50"/>
    <s v="Half pole basket"/>
    <x v="12"/>
    <n v="3.5"/>
    <n v="10.5"/>
    <n v="35"/>
    <n v="24.5"/>
    <n v="530"/>
    <n v="12985"/>
    <n v="480"/>
    <n v="11235"/>
    <n v="257"/>
    <n v="6296.5"/>
    <n v="200"/>
    <n v="4900"/>
    <n v="230"/>
    <n v="5635"/>
    <n v="580"/>
    <n v="14210"/>
    <n v="578"/>
    <n v="14161"/>
    <n v="2277"/>
    <s v="Self-Watering"/>
    <n v="95"/>
  </r>
  <r>
    <x v="56"/>
    <s v="Cup and Saucer (HB)"/>
    <x v="12"/>
    <n v="5"/>
    <n v="15"/>
    <n v="50"/>
    <n v="35"/>
    <n v="860"/>
    <n v="30100"/>
    <n v="744"/>
    <n v="24300"/>
    <n v="343"/>
    <n v="12005"/>
    <n v="320"/>
    <n v="11200"/>
    <n v="287"/>
    <n v="10045"/>
    <n v="680"/>
    <n v="23800"/>
    <n v="623"/>
    <n v="21805"/>
    <n v="3234"/>
    <s v="Self-Watering"/>
    <n v="96"/>
  </r>
  <r>
    <x v="55"/>
    <s v="Half basket up the pole"/>
    <x v="12"/>
    <n v="5"/>
    <n v="15"/>
    <n v="70"/>
    <n v="55"/>
    <n v="890"/>
    <n v="48950"/>
    <n v="765"/>
    <n v="40200"/>
    <n v="521"/>
    <n v="28655"/>
    <n v="220"/>
    <n v="12100"/>
    <n v="349"/>
    <n v="19195"/>
    <n v="1385"/>
    <n v="76175"/>
    <n v="1290"/>
    <n v="70950"/>
    <n v="4130"/>
    <s v="Self-Watering"/>
    <n v="93"/>
  </r>
  <r>
    <x v="59"/>
    <s v="Cup and Saucer "/>
    <x v="12"/>
    <n v="7"/>
    <n v="21"/>
    <n v="40"/>
    <n v="19"/>
    <n v="1300"/>
    <n v="24700"/>
    <n v="1250"/>
    <n v="22700"/>
    <n v="800"/>
    <n v="15200"/>
    <n v="750"/>
    <n v="14250"/>
    <n v="1200"/>
    <n v="22800"/>
    <n v="2050"/>
    <n v="38950"/>
    <n v="1980"/>
    <n v="37620"/>
    <n v="7350"/>
    <s v="Self-Watering"/>
    <n v="97"/>
  </r>
  <r>
    <x v="54"/>
    <s v="Barrier Basket Liner"/>
    <x v="12"/>
    <n v="3.5"/>
    <n v="10.5"/>
    <n v="35"/>
    <n v="24.5"/>
    <n v="1350"/>
    <n v="33075"/>
    <n v="1200"/>
    <n v="27825"/>
    <n v="567"/>
    <n v="13891.5"/>
    <n v="200"/>
    <n v="4900"/>
    <n v="540"/>
    <n v="13230"/>
    <n v="1250"/>
    <n v="30625"/>
    <n v="890"/>
    <n v="21805"/>
    <n v="5107"/>
    <s v="Self-Watering"/>
    <n v="91"/>
  </r>
  <r>
    <x v="57"/>
    <s v="Half basket up the pole"/>
    <x v="12"/>
    <n v="4"/>
    <n v="12"/>
    <n v="55"/>
    <n v="43"/>
    <n v="1450"/>
    <n v="62350"/>
    <n v="834"/>
    <n v="28470"/>
    <n v="620"/>
    <n v="26660"/>
    <n v="348"/>
    <n v="14964"/>
    <n v="930"/>
    <n v="39990"/>
    <n v="870"/>
    <n v="37410"/>
    <n v="850"/>
    <n v="36550"/>
    <n v="5052"/>
    <s v="Self-Watering"/>
    <n v="96"/>
  </r>
  <r>
    <x v="58"/>
    <s v="Cup and Saucer on pole"/>
    <x v="12"/>
    <n v="7"/>
    <n v="21"/>
    <n v="55"/>
    <n v="34"/>
    <n v="1578"/>
    <n v="53652"/>
    <n v="1450"/>
    <n v="46612"/>
    <n v="1135"/>
    <n v="38590"/>
    <n v="957"/>
    <n v="32538"/>
    <n v="2300"/>
    <n v="78200"/>
    <n v="2780"/>
    <n v="94520"/>
    <n v="2800"/>
    <n v="95200"/>
    <n v="10200"/>
    <s v="Self-Watering"/>
    <n v="95"/>
  </r>
  <r>
    <x v="65"/>
    <s v="Window Box"/>
    <x v="13"/>
    <n v="9"/>
    <n v="27"/>
    <n v="64"/>
    <n v="37"/>
    <n v="7"/>
    <n v="259"/>
    <n v="25"/>
    <n v="1411"/>
    <n v="25"/>
    <n v="925"/>
    <n v="0"/>
    <n v="0"/>
    <n v="0"/>
    <n v="0"/>
    <n v="0"/>
    <n v="0"/>
    <n v="0"/>
    <n v="0"/>
    <n v="57"/>
    <s v="Planterware"/>
    <n v="99"/>
  </r>
  <r>
    <x v="66"/>
    <s v="Garlanded vase"/>
    <x v="13"/>
    <n v="13"/>
    <n v="39"/>
    <n v="75"/>
    <n v="36"/>
    <n v="13"/>
    <n v="468"/>
    <n v="0"/>
    <n v="-507"/>
    <n v="0"/>
    <n v="0"/>
    <n v="0"/>
    <n v="0"/>
    <n v="0"/>
    <n v="0"/>
    <n v="0"/>
    <n v="0"/>
    <n v="0"/>
    <n v="0"/>
    <n v="13"/>
    <s v="Planterware"/>
    <n v="99"/>
  </r>
  <r>
    <x v="67"/>
    <s v="Garlanded vase"/>
    <x v="13"/>
    <n v="15"/>
    <n v="45"/>
    <n v="88"/>
    <n v="43"/>
    <n v="18"/>
    <n v="774"/>
    <n v="0"/>
    <n v="-810"/>
    <n v="0"/>
    <n v="0"/>
    <n v="0"/>
    <n v="0"/>
    <n v="0"/>
    <n v="0"/>
    <n v="0"/>
    <n v="0"/>
    <n v="0"/>
    <n v="0"/>
    <n v="18"/>
    <s v="Planterware"/>
    <n v="90"/>
  </r>
  <r>
    <x v="68"/>
    <s v="Square"/>
    <x v="13"/>
    <n v="11"/>
    <n v="33"/>
    <n v="60"/>
    <n v="27"/>
    <n v="24"/>
    <n v="648"/>
    <n v="21"/>
    <n v="468"/>
    <n v="3"/>
    <n v="81"/>
    <n v="0"/>
    <n v="0"/>
    <n v="0"/>
    <n v="0"/>
    <n v="0"/>
    <n v="0"/>
    <n v="0"/>
    <n v="0"/>
    <n v="48"/>
    <s v="Planterware"/>
    <n v="94"/>
  </r>
  <r>
    <x v="69"/>
    <s v="Tall square"/>
    <x v="13"/>
    <n v="15"/>
    <n v="45"/>
    <n v="50"/>
    <n v="5"/>
    <n v="35"/>
    <n v="175"/>
    <n v="85"/>
    <n v="2675"/>
    <n v="5"/>
    <n v="25"/>
    <n v="0"/>
    <n v="0"/>
    <n v="0"/>
    <n v="0"/>
    <n v="0"/>
    <n v="0"/>
    <n v="0"/>
    <n v="0"/>
    <n v="125"/>
    <s v="Planterware"/>
    <n v="93"/>
  </r>
  <r>
    <x v="70"/>
    <s v="Tall vase"/>
    <x v="13"/>
    <n v="12"/>
    <n v="36"/>
    <n v="79"/>
    <n v="43"/>
    <n v="35"/>
    <n v="1505"/>
    <n v="35"/>
    <n v="1505"/>
    <n v="5"/>
    <n v="215"/>
    <n v="0"/>
    <n v="0"/>
    <n v="0"/>
    <n v="0"/>
    <n v="0"/>
    <n v="0"/>
    <n v="0"/>
    <n v="0"/>
    <n v="75"/>
    <s v="Planterware"/>
    <n v="92"/>
  </r>
  <r>
    <x v="71"/>
    <s v="Tall square"/>
    <x v="13"/>
    <n v="15"/>
    <n v="45"/>
    <n v="48"/>
    <n v="3"/>
    <n v="54"/>
    <n v="162"/>
    <n v="0"/>
    <n v="-2430"/>
    <n v="0"/>
    <n v="0"/>
    <n v="0"/>
    <n v="0"/>
    <n v="0"/>
    <n v="0"/>
    <n v="0"/>
    <n v="0"/>
    <n v="0"/>
    <n v="0"/>
    <n v="54"/>
    <s v="Planterware"/>
    <n v="100"/>
  </r>
  <r>
    <x v="72"/>
    <s v="Cylinder"/>
    <x v="13"/>
    <n v="20"/>
    <n v="60"/>
    <n v="60"/>
    <n v="0"/>
    <n v="55"/>
    <n v="0"/>
    <n v="35"/>
    <n v="-1200"/>
    <n v="7"/>
    <n v="0"/>
    <n v="0"/>
    <n v="0"/>
    <n v="0"/>
    <n v="0"/>
    <n v="0"/>
    <n v="0"/>
    <n v="0"/>
    <n v="0"/>
    <n v="97"/>
    <s v="Planterware"/>
    <n v="100"/>
  </r>
  <r>
    <x v="73"/>
    <s v="Cylinder"/>
    <x v="13"/>
    <n v="17"/>
    <n v="51"/>
    <n v="40"/>
    <n v="-11"/>
    <n v="60"/>
    <n v="-660"/>
    <n v="5"/>
    <n v="-2860"/>
    <n v="1"/>
    <n v="-11"/>
    <n v="0"/>
    <n v="0"/>
    <n v="0"/>
    <n v="0"/>
    <n v="0"/>
    <n v="0"/>
    <n v="0"/>
    <n v="0"/>
    <n v="66"/>
    <s v="Planterware"/>
    <n v="99"/>
  </r>
  <r>
    <x v="74"/>
    <s v="Tall vase"/>
    <x v="13"/>
    <n v="10"/>
    <n v="30"/>
    <n v="73"/>
    <n v="43"/>
    <n v="70"/>
    <n v="3010"/>
    <n v="7"/>
    <n v="-1589"/>
    <n v="0"/>
    <n v="0"/>
    <n v="0"/>
    <n v="0"/>
    <n v="0"/>
    <n v="0"/>
    <n v="0"/>
    <n v="0"/>
    <n v="0"/>
    <n v="0"/>
    <n v="77"/>
    <s v="Planterware"/>
    <n v="90"/>
  </r>
  <r>
    <x v="75"/>
    <s v="Rectangular container"/>
    <x v="13"/>
    <n v="5"/>
    <n v="15"/>
    <n v="45"/>
    <n v="30"/>
    <n v="79"/>
    <n v="2370"/>
    <n v="29"/>
    <n v="120"/>
    <n v="0"/>
    <n v="0"/>
    <n v="0"/>
    <n v="0"/>
    <n v="0"/>
    <n v="0"/>
    <n v="0"/>
    <n v="0"/>
    <n v="0"/>
    <n v="0"/>
    <n v="108"/>
    <s v="Planterware"/>
    <n v="95"/>
  </r>
  <r>
    <x v="76"/>
    <s v="Square"/>
    <x v="13"/>
    <n v="5"/>
    <n v="15"/>
    <n v="32"/>
    <n v="17"/>
    <n v="82"/>
    <n v="1394"/>
    <n v="33"/>
    <n v="-174"/>
    <n v="20"/>
    <n v="340"/>
    <n v="0"/>
    <n v="0"/>
    <n v="0"/>
    <n v="0"/>
    <n v="0"/>
    <n v="0"/>
    <n v="0"/>
    <n v="0"/>
    <n v="135"/>
    <s v="Planterware"/>
    <n v="92"/>
  </r>
  <r>
    <x v="77"/>
    <s v="Square"/>
    <x v="13"/>
    <n v="8"/>
    <n v="24"/>
    <n v="51"/>
    <n v="27"/>
    <n v="90"/>
    <n v="2430"/>
    <n v="35"/>
    <n v="-375"/>
    <n v="15"/>
    <n v="405"/>
    <n v="0"/>
    <n v="0"/>
    <n v="0"/>
    <n v="0"/>
    <n v="0"/>
    <n v="0"/>
    <n v="0"/>
    <n v="0"/>
    <n v="140"/>
    <s v="Planterware"/>
    <n v="100"/>
  </r>
  <r>
    <x v="78"/>
    <s v="Tall square"/>
    <x v="13"/>
    <n v="15"/>
    <n v="45"/>
    <n v="45"/>
    <n v="0"/>
    <n v="103"/>
    <n v="0"/>
    <n v="77"/>
    <n v="-1170"/>
    <n v="4"/>
    <n v="0"/>
    <n v="0"/>
    <n v="0"/>
    <n v="0"/>
    <n v="0"/>
    <n v="0"/>
    <n v="0"/>
    <n v="0"/>
    <n v="0"/>
    <n v="184"/>
    <s v="Planterware"/>
    <n v="94"/>
  </r>
  <r>
    <x v="79"/>
    <s v="Rectangular container"/>
    <x v="13"/>
    <n v="15"/>
    <n v="45"/>
    <n v="77"/>
    <n v="32"/>
    <n v="109"/>
    <n v="3488"/>
    <n v="102"/>
    <n v="2949"/>
    <n v="32"/>
    <n v="1024"/>
    <n v="0"/>
    <n v="0"/>
    <n v="0"/>
    <n v="0"/>
    <n v="0"/>
    <n v="0"/>
    <n v="0"/>
    <n v="0"/>
    <n v="243"/>
    <s v="Planterware"/>
    <n v="98"/>
  </r>
  <r>
    <x v="80"/>
    <s v="Egg pot vase"/>
    <x v="13"/>
    <n v="5"/>
    <n v="15"/>
    <n v="45"/>
    <n v="30"/>
    <n v="122"/>
    <n v="3660"/>
    <n v="91"/>
    <n v="2265"/>
    <n v="3"/>
    <n v="90"/>
    <n v="0"/>
    <n v="0"/>
    <n v="0"/>
    <n v="0"/>
    <n v="0"/>
    <n v="0"/>
    <n v="0"/>
    <n v="0"/>
    <n v="216"/>
    <s v="Planterware"/>
    <n v="97"/>
  </r>
  <r>
    <x v="63"/>
    <s v="Egg pot square"/>
    <x v="13"/>
    <n v="11"/>
    <n v="33"/>
    <n v="75"/>
    <n v="42"/>
    <n v="130"/>
    <n v="5460"/>
    <n v="77"/>
    <n v="1485"/>
    <n v="12"/>
    <n v="504"/>
    <n v="0"/>
    <n v="0"/>
    <n v="0"/>
    <n v="0"/>
    <n v="0"/>
    <n v="0"/>
    <n v="0"/>
    <n v="0"/>
    <n v="219"/>
    <s v="Planterware"/>
    <n v="90"/>
  </r>
  <r>
    <x v="81"/>
    <s v="Egg pot vase"/>
    <x v="13"/>
    <n v="17"/>
    <n v="51"/>
    <n v="90"/>
    <n v="39"/>
    <n v="133"/>
    <n v="5187"/>
    <n v="93"/>
    <n v="1587"/>
    <n v="8"/>
    <n v="312"/>
    <n v="0"/>
    <n v="0"/>
    <n v="0"/>
    <n v="0"/>
    <n v="0"/>
    <n v="0"/>
    <n v="0"/>
    <n v="0"/>
    <n v="234"/>
    <s v="Planterware"/>
    <n v="95"/>
  </r>
  <r>
    <x v="82"/>
    <s v="Cylinder"/>
    <x v="13"/>
    <n v="14"/>
    <n v="42"/>
    <n v="35"/>
    <n v="-7"/>
    <n v="134"/>
    <n v="-938"/>
    <n v="1"/>
    <n v="-5593"/>
    <n v="0"/>
    <n v="0"/>
    <n v="0"/>
    <n v="0"/>
    <n v="0"/>
    <n v="0"/>
    <n v="0"/>
    <n v="0"/>
    <n v="0"/>
    <n v="0"/>
    <n v="135"/>
    <s v="Planterware"/>
    <n v="96"/>
  </r>
  <r>
    <x v="83"/>
    <s v="Egg pot square"/>
    <x v="13"/>
    <n v="15"/>
    <n v="45"/>
    <n v="60"/>
    <n v="15"/>
    <n v="135"/>
    <n v="2025"/>
    <n v="65"/>
    <n v="-2175"/>
    <n v="7"/>
    <n v="105"/>
    <n v="0"/>
    <n v="0"/>
    <n v="0"/>
    <n v="0"/>
    <n v="0"/>
    <n v="0"/>
    <n v="0"/>
    <n v="0"/>
    <n v="207"/>
    <s v="Planterware"/>
    <n v="91"/>
  </r>
  <r>
    <x v="84"/>
    <s v="Egg pot vase"/>
    <x v="13"/>
    <n v="13"/>
    <n v="39"/>
    <n v="75"/>
    <n v="36"/>
    <n v="147"/>
    <n v="5292"/>
    <n v="110"/>
    <n v="2517"/>
    <n v="17"/>
    <n v="612"/>
    <n v="0"/>
    <n v="0"/>
    <n v="0"/>
    <n v="0"/>
    <n v="0"/>
    <n v="0"/>
    <n v="0"/>
    <n v="0"/>
    <n v="274"/>
    <s v="Planterware"/>
    <n v="91"/>
  </r>
  <r>
    <x v="85"/>
    <s v="Plain vase"/>
    <x v="13"/>
    <n v="15"/>
    <n v="45"/>
    <n v="85"/>
    <n v="40"/>
    <n v="150"/>
    <n v="6000"/>
    <n v="50"/>
    <n v="-2500"/>
    <n v="4"/>
    <n v="160"/>
    <n v="0"/>
    <n v="0"/>
    <n v="0"/>
    <n v="0"/>
    <n v="0"/>
    <n v="0"/>
    <n v="0"/>
    <n v="0"/>
    <n v="204"/>
    <s v="Planterware"/>
    <n v="95"/>
  </r>
  <r>
    <x v="86"/>
    <s v="Square"/>
    <x v="13"/>
    <n v="7"/>
    <n v="21"/>
    <n v="45"/>
    <n v="24"/>
    <n v="153"/>
    <n v="3672"/>
    <n v="93"/>
    <n v="972"/>
    <n v="50"/>
    <n v="1200"/>
    <n v="0"/>
    <n v="0"/>
    <n v="0"/>
    <n v="0"/>
    <n v="0"/>
    <n v="0"/>
    <n v="0"/>
    <n v="0"/>
    <n v="296"/>
    <s v="Planterware"/>
    <n v="93"/>
  </r>
  <r>
    <x v="87"/>
    <s v="Rectangular container"/>
    <x v="13"/>
    <n v="8"/>
    <n v="24"/>
    <n v="45"/>
    <n v="21"/>
    <n v="173"/>
    <n v="3633"/>
    <n v="91"/>
    <n v="-57"/>
    <n v="75"/>
    <n v="1575"/>
    <n v="0"/>
    <n v="0"/>
    <n v="0"/>
    <n v="0"/>
    <n v="0"/>
    <n v="0"/>
    <n v="0"/>
    <n v="0"/>
    <n v="339"/>
    <s v="Planterware"/>
    <n v="91"/>
  </r>
  <r>
    <x v="88"/>
    <s v="Egg pot vase"/>
    <x v="13"/>
    <n v="10"/>
    <n v="30"/>
    <n v="59"/>
    <n v="29"/>
    <n v="194"/>
    <n v="5626"/>
    <n v="102"/>
    <n v="198"/>
    <n v="2"/>
    <n v="58"/>
    <n v="0"/>
    <n v="0"/>
    <n v="0"/>
    <n v="0"/>
    <n v="0"/>
    <n v="0"/>
    <n v="0"/>
    <n v="0"/>
    <n v="298"/>
    <s v="Planterware"/>
    <n v="96"/>
  </r>
  <r>
    <x v="89"/>
    <s v="Egg pot square"/>
    <x v="13"/>
    <n v="20"/>
    <n v="60"/>
    <n v="85"/>
    <n v="25"/>
    <n v="208"/>
    <n v="5200"/>
    <n v="83"/>
    <n v="-5425"/>
    <n v="20"/>
    <n v="500"/>
    <n v="0"/>
    <n v="0"/>
    <n v="0"/>
    <n v="0"/>
    <n v="0"/>
    <n v="0"/>
    <n v="0"/>
    <n v="0"/>
    <n v="311"/>
    <s v="Planterware"/>
    <n v="94"/>
  </r>
  <r>
    <x v="90"/>
    <s v="Plain vase"/>
    <x v="13"/>
    <n v="7"/>
    <n v="21"/>
    <n v="35"/>
    <n v="14"/>
    <n v="210"/>
    <n v="2940"/>
    <n v="172"/>
    <n v="1610"/>
    <n v="25"/>
    <n v="350"/>
    <n v="0"/>
    <n v="0"/>
    <n v="0"/>
    <n v="0"/>
    <n v="0"/>
    <n v="0"/>
    <n v="0"/>
    <n v="0"/>
    <n v="407"/>
    <s v="Planterware"/>
    <n v="94"/>
  </r>
  <r>
    <x v="91"/>
    <s v="Tall square"/>
    <x v="13"/>
    <n v="15"/>
    <n v="45"/>
    <n v="50"/>
    <n v="5"/>
    <n v="235"/>
    <n v="1175"/>
    <n v="55"/>
    <n v="-7825"/>
    <n v="39"/>
    <n v="195"/>
    <n v="0"/>
    <n v="0"/>
    <n v="0"/>
    <n v="0"/>
    <n v="0"/>
    <n v="0"/>
    <n v="0"/>
    <n v="0"/>
    <n v="329"/>
    <s v="Planterware"/>
    <n v="90"/>
  </r>
  <r>
    <x v="92"/>
    <s v="Plain vase"/>
    <x v="13"/>
    <n v="5"/>
    <n v="15"/>
    <n v="30"/>
    <n v="15"/>
    <n v="235"/>
    <n v="3525"/>
    <n v="160"/>
    <n v="1275"/>
    <n v="23"/>
    <n v="345"/>
    <n v="0"/>
    <n v="0"/>
    <n v="0"/>
    <n v="0"/>
    <n v="0"/>
    <n v="0"/>
    <n v="0"/>
    <n v="0"/>
    <n v="418"/>
    <s v="Planterware"/>
    <n v="99"/>
  </r>
  <r>
    <x v="93"/>
    <s v="Plain vase"/>
    <x v="13"/>
    <n v="12"/>
    <n v="36"/>
    <n v="65"/>
    <n v="29"/>
    <n v="240"/>
    <n v="6960"/>
    <n v="170"/>
    <n v="2410"/>
    <n v="15"/>
    <n v="435"/>
    <n v="0"/>
    <n v="0"/>
    <n v="0"/>
    <n v="0"/>
    <n v="0"/>
    <n v="0"/>
    <n v="0"/>
    <n v="0"/>
    <n v="425"/>
    <s v="Planterware"/>
    <n v="97"/>
  </r>
  <r>
    <x v="94"/>
    <s v="Plain vase"/>
    <x v="13"/>
    <n v="10.5"/>
    <n v="31.5"/>
    <n v="55"/>
    <n v="23.5"/>
    <n v="289"/>
    <n v="6791.5"/>
    <n v="193"/>
    <n v="1511.5"/>
    <n v="205"/>
    <n v="4817.5"/>
    <n v="0"/>
    <n v="0"/>
    <n v="0"/>
    <n v="0"/>
    <n v="0"/>
    <n v="0"/>
    <n v="0"/>
    <n v="0"/>
    <n v="687"/>
    <s v="Planterware"/>
    <n v="91"/>
  </r>
  <r>
    <x v="95"/>
    <s v="Plain vase"/>
    <x v="13"/>
    <n v="9"/>
    <n v="27"/>
    <n v="45"/>
    <n v="18"/>
    <n v="312"/>
    <n v="5616"/>
    <n v="108"/>
    <n v="-3564"/>
    <n v="30"/>
    <n v="540"/>
    <n v="0"/>
    <n v="0"/>
    <n v="0"/>
    <n v="0"/>
    <n v="0"/>
    <n v="0"/>
    <n v="0"/>
    <n v="0"/>
    <n v="450"/>
    <s v="Planterware"/>
    <n v="99"/>
  </r>
  <r>
    <x v="96"/>
    <s v="Rectangular container"/>
    <x v="13"/>
    <n v="10"/>
    <n v="30"/>
    <n v="60"/>
    <n v="30"/>
    <n v="430"/>
    <n v="12900"/>
    <n v="223"/>
    <n v="480"/>
    <n v="157"/>
    <n v="4710"/>
    <n v="0"/>
    <n v="0"/>
    <n v="0"/>
    <n v="0"/>
    <n v="0"/>
    <n v="0"/>
    <n v="0"/>
    <n v="0"/>
    <n v="810"/>
    <s v="Planterware"/>
    <n v="95"/>
  </r>
  <r>
    <x v="41"/>
    <s v="Meter sq planter"/>
    <x v="14"/>
    <n v="35"/>
    <n v="112"/>
    <n v="180"/>
    <n v="68"/>
    <n v="5"/>
    <n v="340"/>
    <n v="0"/>
    <n v="-560"/>
    <n v="0"/>
    <n v="0"/>
    <n v="0"/>
    <n v="0"/>
    <n v="0"/>
    <n v="0"/>
    <n v="0"/>
    <n v="0"/>
    <n v="0"/>
    <n v="0"/>
    <n v="5"/>
    <s v="Self-Watering"/>
    <n v="9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n v="496"/>
    <n v="557"/>
  </r>
  <r>
    <x v="1"/>
    <n v="0"/>
    <n v="13"/>
  </r>
  <r>
    <x v="1"/>
    <n v="0"/>
    <n v="5"/>
  </r>
  <r>
    <x v="1"/>
    <n v="0"/>
    <n v="5"/>
  </r>
  <r>
    <x v="1"/>
    <n v="0"/>
    <n v="5"/>
  </r>
  <r>
    <x v="1"/>
    <n v="28"/>
    <n v="5"/>
  </r>
  <r>
    <x v="1"/>
    <n v="0"/>
    <n v="3"/>
  </r>
  <r>
    <x v="1"/>
    <n v="0"/>
    <n v="3"/>
  </r>
  <r>
    <x v="1"/>
    <n v="1"/>
    <n v="0"/>
  </r>
  <r>
    <x v="1"/>
    <n v="2"/>
    <n v="0"/>
  </r>
  <r>
    <x v="1"/>
    <n v="2"/>
    <n v="0"/>
  </r>
  <r>
    <x v="1"/>
    <n v="2"/>
    <n v="0"/>
  </r>
  <r>
    <x v="1"/>
    <n v="5"/>
    <n v="0"/>
  </r>
  <r>
    <x v="1"/>
    <n v="8"/>
    <n v="0"/>
  </r>
  <r>
    <x v="2"/>
    <n v="26"/>
    <n v="13"/>
  </r>
  <r>
    <x v="3"/>
    <n v="135"/>
    <n v="78"/>
  </r>
  <r>
    <x v="3"/>
    <n v="57"/>
    <n v="35"/>
  </r>
  <r>
    <x v="3"/>
    <n v="26"/>
    <n v="25"/>
  </r>
  <r>
    <x v="3"/>
    <n v="53"/>
    <n v="21"/>
  </r>
  <r>
    <x v="3"/>
    <n v="0"/>
    <n v="1"/>
  </r>
  <r>
    <x v="3"/>
    <n v="5"/>
    <n v="0"/>
  </r>
  <r>
    <x v="3"/>
    <n v="30"/>
    <n v="0"/>
  </r>
  <r>
    <x v="4"/>
    <n v="23"/>
    <n v="15"/>
  </r>
  <r>
    <x v="4"/>
    <n v="3"/>
    <n v="0"/>
  </r>
  <r>
    <x v="4"/>
    <n v="3"/>
    <n v="0"/>
  </r>
  <r>
    <x v="4"/>
    <n v="15"/>
    <n v="0"/>
  </r>
  <r>
    <x v="5"/>
    <n v="23"/>
    <n v="35"/>
  </r>
  <r>
    <x v="5"/>
    <n v="0"/>
    <n v="5"/>
  </r>
  <r>
    <x v="5"/>
    <n v="0"/>
    <n v="1"/>
  </r>
  <r>
    <x v="5"/>
    <n v="0"/>
    <n v="1"/>
  </r>
  <r>
    <x v="5"/>
    <n v="0"/>
    <n v="1"/>
  </r>
  <r>
    <x v="5"/>
    <n v="0"/>
    <n v="0"/>
  </r>
  <r>
    <x v="5"/>
    <n v="0"/>
    <n v="0"/>
  </r>
  <r>
    <x v="5"/>
    <n v="5"/>
    <n v="0"/>
  </r>
  <r>
    <x v="5"/>
    <n v="5"/>
    <n v="0"/>
  </r>
  <r>
    <x v="5"/>
    <n v="5"/>
    <n v="0"/>
  </r>
  <r>
    <x v="6"/>
    <n v="15"/>
    <n v="8"/>
  </r>
  <r>
    <x v="7"/>
    <n v="0"/>
    <n v="5"/>
  </r>
  <r>
    <x v="8"/>
    <n v="6"/>
    <n v="15"/>
  </r>
  <r>
    <x v="8"/>
    <n v="0"/>
    <n v="5"/>
  </r>
  <r>
    <x v="8"/>
    <n v="1"/>
    <n v="0"/>
  </r>
  <r>
    <x v="9"/>
    <n v="530"/>
    <n v="135"/>
  </r>
  <r>
    <x v="9"/>
    <n v="0"/>
    <n v="89"/>
  </r>
  <r>
    <x v="9"/>
    <n v="76"/>
    <n v="55"/>
  </r>
  <r>
    <x v="9"/>
    <n v="55"/>
    <n v="45"/>
  </r>
  <r>
    <x v="9"/>
    <n v="53"/>
    <n v="28"/>
  </r>
  <r>
    <x v="9"/>
    <n v="35"/>
    <n v="23"/>
  </r>
  <r>
    <x v="9"/>
    <n v="33"/>
    <n v="15"/>
  </r>
  <r>
    <x v="9"/>
    <n v="35"/>
    <n v="14"/>
  </r>
  <r>
    <x v="9"/>
    <n v="13"/>
    <n v="10"/>
  </r>
  <r>
    <x v="9"/>
    <n v="13"/>
    <n v="10"/>
  </r>
  <r>
    <x v="9"/>
    <n v="0"/>
    <n v="5"/>
  </r>
  <r>
    <x v="9"/>
    <n v="1"/>
    <n v="0"/>
  </r>
  <r>
    <x v="9"/>
    <n v="1"/>
    <n v="0"/>
  </r>
  <r>
    <x v="9"/>
    <n v="3"/>
    <n v="0"/>
  </r>
  <r>
    <x v="9"/>
    <n v="3"/>
    <n v="0"/>
  </r>
  <r>
    <x v="9"/>
    <n v="5"/>
    <n v="0"/>
  </r>
  <r>
    <x v="9"/>
    <n v="5"/>
    <n v="0"/>
  </r>
  <r>
    <x v="9"/>
    <n v="5"/>
    <n v="0"/>
  </r>
  <r>
    <x v="9"/>
    <n v="5"/>
    <n v="0"/>
  </r>
  <r>
    <x v="9"/>
    <n v="25"/>
    <n v="0"/>
  </r>
  <r>
    <x v="9"/>
    <n v="35"/>
    <n v="0"/>
  </r>
  <r>
    <x v="9"/>
    <n v="35"/>
    <n v="0"/>
  </r>
  <r>
    <x v="9"/>
    <n v="55"/>
    <n v="0"/>
  </r>
  <r>
    <x v="10"/>
    <n v="135"/>
    <n v="46"/>
  </r>
  <r>
    <x v="10"/>
    <n v="0"/>
    <n v="5"/>
  </r>
  <r>
    <x v="10"/>
    <n v="23"/>
    <n v="5"/>
  </r>
  <r>
    <x v="10"/>
    <n v="1"/>
    <n v="0"/>
  </r>
  <r>
    <x v="10"/>
    <n v="1"/>
    <n v="0"/>
  </r>
  <r>
    <x v="10"/>
    <n v="5"/>
    <n v="0"/>
  </r>
  <r>
    <x v="10"/>
    <n v="5"/>
    <n v="0"/>
  </r>
  <r>
    <x v="11"/>
    <n v="79"/>
    <n v="29"/>
  </r>
  <r>
    <x v="11"/>
    <n v="70"/>
    <n v="7"/>
  </r>
  <r>
    <x v="11"/>
    <n v="134"/>
    <n v="1"/>
  </r>
  <r>
    <x v="11"/>
    <n v="13"/>
    <n v="0"/>
  </r>
  <r>
    <x v="11"/>
    <n v="18"/>
    <n v="0"/>
  </r>
  <r>
    <x v="11"/>
    <n v="54"/>
    <n v="0"/>
  </r>
  <r>
    <x v="12"/>
    <n v="5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44584.79999999999"/>
    <n v="0"/>
    <n v="799208.4"/>
    <n v="943793"/>
  </r>
  <r>
    <x v="1"/>
    <n v="132479.80000000002"/>
    <n v="0"/>
    <n v="895836.99999999988"/>
    <n v="1028317"/>
  </r>
  <r>
    <x v="2"/>
    <n v="141823.4"/>
    <n v="0"/>
    <n v="840681.20000000007"/>
    <n v="982505"/>
  </r>
  <r>
    <x v="3"/>
    <n v="88421.200000000012"/>
    <n v="0"/>
    <n v="748392.8"/>
    <n v="836814"/>
  </r>
  <r>
    <x v="4"/>
    <n v="422323.8"/>
    <n v="19512.5"/>
    <n v="804376.6"/>
    <n v="1246213"/>
  </r>
  <r>
    <x v="5"/>
    <n v="271603.59999999998"/>
    <n v="-12815.5"/>
    <n v="809295.2"/>
    <n v="1068083"/>
  </r>
  <r>
    <x v="6"/>
    <n v="280878.59999999998"/>
    <n v="-12815.5"/>
    <n v="1094141.2"/>
    <n v="147576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MSP 1P"/>
    <x v="0"/>
    <x v="0"/>
    <n v="40"/>
    <n v="112"/>
    <n v="220"/>
    <n v="108"/>
    <x v="0"/>
    <n v="0"/>
    <n v="0"/>
    <n v="1"/>
    <n v="220"/>
    <n v="0"/>
    <n v="0"/>
    <n v="1"/>
    <n v="108"/>
    <n v="38"/>
    <n v="4104"/>
    <n v="0"/>
    <n v="0"/>
    <n v="0"/>
    <n v="0"/>
    <n v="40"/>
    <x v="0"/>
    <n v="98"/>
  </r>
  <r>
    <s v="MSP 4P"/>
    <x v="1"/>
    <x v="0"/>
    <n v="60"/>
    <n v="168"/>
    <n v="579"/>
    <n v="411"/>
    <x v="1"/>
    <n v="0"/>
    <n v="0"/>
    <n v="0"/>
    <n v="0"/>
    <n v="0"/>
    <n v="0"/>
    <n v="0"/>
    <n v="0"/>
    <n v="12"/>
    <n v="4932"/>
    <n v="0"/>
    <n v="0"/>
    <n v="0"/>
    <n v="0"/>
    <n v="12"/>
    <x v="0"/>
    <n v="96"/>
  </r>
  <r>
    <s v="OCT 2P"/>
    <x v="2"/>
    <x v="0"/>
    <n v="47"/>
    <n v="131.6"/>
    <n v="315"/>
    <n v="183.4"/>
    <x v="2"/>
    <n v="0"/>
    <n v="0"/>
    <n v="0"/>
    <n v="0"/>
    <n v="0"/>
    <n v="0"/>
    <n v="1"/>
    <n v="183.4"/>
    <n v="0"/>
    <n v="0"/>
    <n v="0"/>
    <n v="0"/>
    <n v="0"/>
    <n v="0"/>
    <n v="1"/>
    <x v="0"/>
    <n v="93"/>
  </r>
  <r>
    <s v="J-C41"/>
    <x v="3"/>
    <x v="0"/>
    <n v="14"/>
    <n v="39.199999999999996"/>
    <n v="30"/>
    <n v="-9.1999999999999957"/>
    <x v="3"/>
    <n v="0"/>
    <n v="0"/>
    <n v="0"/>
    <n v="0"/>
    <n v="0"/>
    <n v="0"/>
    <n v="0"/>
    <n v="0"/>
    <n v="0"/>
    <n v="0"/>
    <n v="0"/>
    <n v="0"/>
    <n v="0"/>
    <n v="0"/>
    <n v="0"/>
    <x v="1"/>
    <n v="93"/>
  </r>
  <r>
    <s v="J-C45-T3"/>
    <x v="3"/>
    <x v="0"/>
    <n v="17"/>
    <n v="47.599999999999994"/>
    <n v="38"/>
    <n v="-9.5999999999999943"/>
    <x v="4"/>
    <n v="0"/>
    <n v="0"/>
    <n v="0"/>
    <n v="0"/>
    <n v="0"/>
    <n v="0"/>
    <n v="0"/>
    <n v="0"/>
    <n v="0"/>
    <n v="0"/>
    <n v="0"/>
    <n v="0"/>
    <n v="0"/>
    <n v="0"/>
    <n v="0"/>
    <x v="1"/>
    <n v="99"/>
  </r>
  <r>
    <s v="MSP 2P"/>
    <x v="4"/>
    <x v="0"/>
    <n v="47"/>
    <n v="131.6"/>
    <n v="340"/>
    <n v="208.4"/>
    <x v="5"/>
    <n v="2"/>
    <n v="416.8"/>
    <n v="34"/>
    <n v="11296.8"/>
    <n v="36"/>
    <n v="7502.4000000000005"/>
    <n v="2"/>
    <n v="416.8"/>
    <n v="0"/>
    <n v="0"/>
    <n v="0"/>
    <n v="0"/>
    <n v="0"/>
    <n v="0"/>
    <n v="74"/>
    <x v="0"/>
    <n v="92"/>
  </r>
  <r>
    <s v="OCT 1P"/>
    <x v="5"/>
    <x v="0"/>
    <n v="40"/>
    <n v="112"/>
    <n v="250"/>
    <n v="138"/>
    <x v="6"/>
    <n v="5"/>
    <n v="690"/>
    <n v="0"/>
    <n v="-560"/>
    <n v="0"/>
    <n v="0"/>
    <n v="2"/>
    <n v="276"/>
    <n v="52"/>
    <n v="7176"/>
    <n v="0"/>
    <n v="0"/>
    <n v="0"/>
    <n v="0"/>
    <n v="59"/>
    <x v="0"/>
    <n v="95"/>
  </r>
  <r>
    <s v="SCW 0P"/>
    <x v="6"/>
    <x v="0"/>
    <n v="5"/>
    <n v="14"/>
    <n v="100"/>
    <n v="86"/>
    <x v="7"/>
    <n v="5"/>
    <n v="430"/>
    <n v="7"/>
    <n v="630"/>
    <n v="3"/>
    <n v="258"/>
    <n v="8"/>
    <n v="688"/>
    <n v="0"/>
    <n v="0"/>
    <n v="0"/>
    <n v="0"/>
    <n v="0"/>
    <n v="0"/>
    <n v="23"/>
    <x v="2"/>
    <n v="91"/>
  </r>
  <r>
    <s v="OCT 3P"/>
    <x v="7"/>
    <x v="0"/>
    <n v="55"/>
    <n v="154"/>
    <n v="450"/>
    <n v="296"/>
    <x v="8"/>
    <n v="7"/>
    <n v="2072"/>
    <n v="2"/>
    <n v="-178"/>
    <n v="3"/>
    <n v="888"/>
    <n v="1"/>
    <n v="296"/>
    <n v="8"/>
    <n v="2368"/>
    <n v="0"/>
    <n v="0"/>
    <n v="0"/>
    <n v="0"/>
    <n v="21"/>
    <x v="0"/>
    <n v="95"/>
  </r>
  <r>
    <s v="WBX 0P"/>
    <x v="8"/>
    <x v="0"/>
    <n v="6"/>
    <n v="16.799999999999997"/>
    <n v="60"/>
    <n v="43.2"/>
    <x v="9"/>
    <n v="10"/>
    <n v="432"/>
    <n v="10"/>
    <n v="432"/>
    <n v="12"/>
    <n v="518.40000000000009"/>
    <n v="13"/>
    <n v="561.6"/>
    <n v="36"/>
    <n v="1555.2"/>
    <n v="34"/>
    <n v="1468.8000000000002"/>
    <n v="0"/>
    <n v="0"/>
    <n v="115"/>
    <x v="0"/>
    <n v="98"/>
  </r>
  <r>
    <s v="POOP 0P"/>
    <x v="9"/>
    <x v="0"/>
    <n v="7"/>
    <n v="19.599999999999998"/>
    <n v="120"/>
    <n v="100.4"/>
    <x v="10"/>
    <n v="10"/>
    <n v="1004"/>
    <n v="0"/>
    <n v="-195.99999999999997"/>
    <n v="0"/>
    <n v="0"/>
    <n v="0"/>
    <n v="0"/>
    <n v="0"/>
    <n v="0"/>
    <n v="0"/>
    <n v="0"/>
    <n v="0"/>
    <n v="0"/>
    <n v="10"/>
    <x v="2"/>
    <n v="98"/>
  </r>
  <r>
    <s v="PAR 1P"/>
    <x v="10"/>
    <x v="0"/>
    <n v="30"/>
    <n v="84"/>
    <n v="280"/>
    <n v="196"/>
    <x v="11"/>
    <n v="12"/>
    <n v="2352"/>
    <n v="12"/>
    <n v="2352"/>
    <n v="9"/>
    <n v="1764"/>
    <n v="10"/>
    <n v="1960"/>
    <n v="13"/>
    <n v="2548"/>
    <n v="13"/>
    <n v="2548"/>
    <n v="15"/>
    <n v="2940"/>
    <n v="69"/>
    <x v="2"/>
    <n v="93"/>
  </r>
  <r>
    <s v="HBB 3P"/>
    <x v="11"/>
    <x v="0"/>
    <n v="10"/>
    <n v="28"/>
    <n v="130"/>
    <n v="102"/>
    <x v="12"/>
    <n v="15"/>
    <n v="1530"/>
    <n v="15"/>
    <n v="1530"/>
    <n v="0"/>
    <n v="0"/>
    <n v="0"/>
    <n v="0"/>
    <n v="0"/>
    <n v="0"/>
    <n v="0"/>
    <n v="0"/>
    <n v="0"/>
    <n v="0"/>
    <n v="30"/>
    <x v="0"/>
    <n v="94"/>
  </r>
  <r>
    <s v="HBB 3PL"/>
    <x v="12"/>
    <x v="0"/>
    <n v="5.5"/>
    <n v="15.399999999999999"/>
    <n v="75"/>
    <n v="59.6"/>
    <x v="13"/>
    <n v="15"/>
    <n v="894"/>
    <n v="15"/>
    <n v="894"/>
    <n v="7"/>
    <n v="417.20000000000005"/>
    <n v="8"/>
    <n v="476.8"/>
    <n v="27"/>
    <n v="1609.2"/>
    <n v="12"/>
    <n v="715.2"/>
    <n v="177"/>
    <n v="10549.2"/>
    <n v="84"/>
    <x v="0"/>
    <n v="97"/>
  </r>
  <r>
    <s v="ROB 1P"/>
    <x v="13"/>
    <x v="0"/>
    <n v="30"/>
    <n v="84"/>
    <n v="250"/>
    <n v="166"/>
    <x v="14"/>
    <n v="15"/>
    <n v="2490"/>
    <n v="10"/>
    <n v="1240"/>
    <n v="8"/>
    <n v="1328"/>
    <n v="10"/>
    <n v="1660"/>
    <n v="25"/>
    <n v="4150"/>
    <n v="10"/>
    <n v="1660"/>
    <n v="3"/>
    <n v="498"/>
    <n v="78"/>
    <x v="2"/>
    <n v="96"/>
  </r>
  <r>
    <s v="CHK 1P"/>
    <x v="14"/>
    <x v="0"/>
    <n v="30"/>
    <n v="84"/>
    <n v="250"/>
    <n v="166"/>
    <x v="14"/>
    <n v="15"/>
    <n v="2490"/>
    <n v="17"/>
    <n v="2990"/>
    <n v="15"/>
    <n v="2490"/>
    <n v="20"/>
    <n v="3320"/>
    <n v="35"/>
    <n v="5810"/>
    <n v="24"/>
    <n v="3984"/>
    <n v="15"/>
    <n v="2490"/>
    <n v="126"/>
    <x v="2"/>
    <n v="90"/>
  </r>
  <r>
    <s v="TAR 1P"/>
    <x v="15"/>
    <x v="0"/>
    <n v="35"/>
    <n v="98"/>
    <n v="300"/>
    <n v="202"/>
    <x v="15"/>
    <n v="19"/>
    <n v="3838"/>
    <n v="41"/>
    <n v="10438"/>
    <n v="40"/>
    <n v="8080"/>
    <n v="23"/>
    <n v="4646"/>
    <n v="70"/>
    <n v="14140"/>
    <n v="22"/>
    <n v="4444"/>
    <n v="25"/>
    <n v="5050"/>
    <n v="215"/>
    <x v="2"/>
    <n v="97"/>
  </r>
  <r>
    <s v="ECO 1P"/>
    <x v="16"/>
    <x v="0"/>
    <n v="30"/>
    <n v="84"/>
    <n v="200"/>
    <n v="116"/>
    <x v="16"/>
    <n v="20"/>
    <n v="2320"/>
    <n v="25"/>
    <n v="3320"/>
    <n v="60"/>
    <n v="6960"/>
    <n v="45"/>
    <n v="5220"/>
    <n v="55"/>
    <n v="6380"/>
    <n v="130"/>
    <n v="15080"/>
    <n v="0"/>
    <n v="0"/>
    <n v="335"/>
    <x v="2"/>
    <n v="91"/>
  </r>
  <r>
    <s v="AMB 1P"/>
    <x v="17"/>
    <x v="0"/>
    <n v="45"/>
    <n v="125.99999999999999"/>
    <n v="300"/>
    <n v="174"/>
    <x v="16"/>
    <n v="23"/>
    <n v="4002.0000000000005"/>
    <n v="20"/>
    <n v="3102.0000000000005"/>
    <n v="15"/>
    <n v="2610"/>
    <n v="10"/>
    <n v="1740.0000000000002"/>
    <n v="13"/>
    <n v="2262"/>
    <n v="20"/>
    <n v="3480.0000000000005"/>
    <n v="15"/>
    <n v="2610"/>
    <n v="101"/>
    <x v="2"/>
    <n v="98"/>
  </r>
  <r>
    <s v="RCY 1P"/>
    <x v="18"/>
    <x v="0"/>
    <n v="30"/>
    <n v="84"/>
    <n v="300"/>
    <n v="216"/>
    <x v="17"/>
    <n v="25"/>
    <n v="5400"/>
    <n v="30"/>
    <n v="6900"/>
    <n v="10"/>
    <n v="2160"/>
    <n v="20"/>
    <n v="4320"/>
    <n v="43"/>
    <n v="9288"/>
    <n v="55"/>
    <n v="11880"/>
    <n v="10"/>
    <n v="2160"/>
    <n v="183"/>
    <x v="2"/>
    <n v="98"/>
  </r>
  <r>
    <s v="CUH 2P"/>
    <x v="19"/>
    <x v="0"/>
    <n v="7"/>
    <n v="19.599999999999998"/>
    <n v="69"/>
    <n v="49.400000000000006"/>
    <x v="18"/>
    <n v="32"/>
    <n v="1580.8000000000002"/>
    <n v="20"/>
    <n v="752.80000000000007"/>
    <n v="24"/>
    <n v="1185.5999999999999"/>
    <n v="49"/>
    <n v="2420.6000000000004"/>
    <n v="40"/>
    <n v="1976"/>
    <n v="69"/>
    <n v="3408.6000000000004"/>
    <n v="59"/>
    <n v="2914.6000000000004"/>
    <n v="234"/>
    <x v="0"/>
    <n v="94"/>
  </r>
  <r>
    <s v="ENV 0P"/>
    <x v="20"/>
    <x v="0"/>
    <n v="30"/>
    <n v="84"/>
    <n v="280"/>
    <n v="196"/>
    <x v="11"/>
    <n v="35"/>
    <n v="6860"/>
    <n v="55"/>
    <n v="12460"/>
    <n v="2"/>
    <n v="392"/>
    <n v="10"/>
    <n v="1960"/>
    <n v="62"/>
    <n v="12152"/>
    <n v="57"/>
    <n v="11172"/>
    <n v="315"/>
    <n v="61740"/>
    <n v="221"/>
    <x v="2"/>
    <n v="92"/>
  </r>
  <r>
    <s v="MSP 3P"/>
    <x v="21"/>
    <x v="0"/>
    <n v="55"/>
    <n v="154"/>
    <n v="375"/>
    <n v="221"/>
    <x v="19"/>
    <n v="36"/>
    <n v="7956"/>
    <n v="40"/>
    <n v="9456"/>
    <n v="45"/>
    <n v="9945"/>
    <n v="141"/>
    <n v="31161"/>
    <n v="156"/>
    <n v="34476"/>
    <n v="73"/>
    <n v="16133"/>
    <n v="39"/>
    <n v="8619"/>
    <n v="491"/>
    <x v="0"/>
    <n v="92"/>
  </r>
  <r>
    <s v="CUH 1P"/>
    <x v="19"/>
    <x v="0"/>
    <n v="5"/>
    <n v="14"/>
    <n v="39"/>
    <n v="25"/>
    <x v="20"/>
    <n v="36"/>
    <n v="900"/>
    <n v="49"/>
    <n v="1407"/>
    <n v="38"/>
    <n v="950"/>
    <n v="69"/>
    <n v="1725"/>
    <n v="39"/>
    <n v="975"/>
    <n v="46"/>
    <n v="1150"/>
    <n v="8"/>
    <n v="200"/>
    <n v="277"/>
    <x v="0"/>
    <n v="94"/>
  </r>
  <r>
    <s v="WBX 3P"/>
    <x v="8"/>
    <x v="0"/>
    <n v="10"/>
    <n v="28"/>
    <n v="130"/>
    <n v="102"/>
    <x v="12"/>
    <n v="38"/>
    <n v="3876"/>
    <n v="16"/>
    <n v="1016"/>
    <n v="36"/>
    <n v="3672"/>
    <n v="79"/>
    <n v="8058"/>
    <n v="23"/>
    <n v="2346"/>
    <n v="78"/>
    <n v="7956"/>
    <n v="124"/>
    <n v="12648"/>
    <n v="270"/>
    <x v="0"/>
    <n v="97"/>
  </r>
  <r>
    <s v="SQD 0P"/>
    <x v="22"/>
    <x v="0"/>
    <n v="25"/>
    <n v="70"/>
    <n v="180"/>
    <n v="110"/>
    <x v="21"/>
    <n v="40"/>
    <n v="4400"/>
    <n v="30"/>
    <n v="2600"/>
    <n v="0"/>
    <n v="0"/>
    <n v="0"/>
    <n v="0"/>
    <n v="0"/>
    <n v="0"/>
    <n v="0"/>
    <n v="0"/>
    <n v="0"/>
    <n v="0"/>
    <n v="70"/>
    <x v="2"/>
    <n v="91"/>
  </r>
  <r>
    <s v="FF 2P"/>
    <x v="23"/>
    <x v="0"/>
    <n v="40"/>
    <n v="112"/>
    <n v="359"/>
    <n v="247"/>
    <x v="22"/>
    <n v="41"/>
    <n v="10127"/>
    <n v="106"/>
    <n v="33462"/>
    <n v="81"/>
    <n v="20007"/>
    <n v="215"/>
    <n v="53105"/>
    <n v="255"/>
    <n v="62985"/>
    <n v="72"/>
    <n v="17784"/>
    <n v="21"/>
    <n v="5187"/>
    <n v="770"/>
    <x v="0"/>
    <n v="93"/>
  </r>
  <r>
    <s v="HBB 2PL"/>
    <x v="11"/>
    <x v="0"/>
    <n v="4.5"/>
    <n v="12.6"/>
    <n v="40"/>
    <n v="27.4"/>
    <x v="23"/>
    <n v="41"/>
    <n v="1123.4000000000001"/>
    <n v="68"/>
    <n v="2203.4"/>
    <n v="183"/>
    <n v="5014.2000000000007"/>
    <n v="73"/>
    <n v="2000.2"/>
    <n v="79"/>
    <n v="2164.6"/>
    <n v="314"/>
    <n v="8603.6"/>
    <n v="156"/>
    <n v="4274.3999999999996"/>
    <n v="758"/>
    <x v="0"/>
    <n v="97"/>
  </r>
  <r>
    <s v="WBX 3PL"/>
    <x v="8"/>
    <x v="0"/>
    <n v="5.5"/>
    <n v="15.399999999999999"/>
    <n v="75"/>
    <n v="59.6"/>
    <x v="13"/>
    <n v="45"/>
    <n v="2682"/>
    <n v="3"/>
    <n v="-467.99999999999989"/>
    <n v="10"/>
    <n v="596"/>
    <n v="21"/>
    <n v="1251.5999999999999"/>
    <n v="1"/>
    <n v="59.6"/>
    <n v="40"/>
    <n v="2384"/>
    <n v="41"/>
    <n v="2443.6"/>
    <n v="120"/>
    <x v="0"/>
    <n v="91"/>
  </r>
  <r>
    <s v="ACT 1P"/>
    <x v="24"/>
    <x v="0"/>
    <n v="8"/>
    <n v="22.4"/>
    <n v="125"/>
    <n v="102.6"/>
    <x v="24"/>
    <n v="45"/>
    <n v="4617"/>
    <n v="50"/>
    <n v="5242"/>
    <n v="80"/>
    <n v="8208"/>
    <n v="50"/>
    <n v="5130"/>
    <n v="120"/>
    <n v="12312"/>
    <n v="103"/>
    <n v="10567.8"/>
    <n v="69"/>
    <n v="7079.4"/>
    <n v="448"/>
    <x v="2"/>
    <n v="100"/>
  </r>
  <r>
    <s v="BHV 6P"/>
    <x v="25"/>
    <x v="0"/>
    <n v="65"/>
    <n v="182"/>
    <n v="584"/>
    <n v="402"/>
    <x v="25"/>
    <n v="51"/>
    <n v="20502"/>
    <n v="78"/>
    <n v="36270"/>
    <n v="193"/>
    <n v="77586"/>
    <n v="0"/>
    <n v="0"/>
    <n v="0"/>
    <n v="0"/>
    <n v="0"/>
    <n v="0"/>
    <n v="0"/>
    <n v="0"/>
    <n v="322"/>
    <x v="0"/>
    <n v="94"/>
  </r>
  <r>
    <s v="BHV 5P"/>
    <x v="26"/>
    <x v="0"/>
    <n v="55"/>
    <n v="154"/>
    <n v="530"/>
    <n v="376"/>
    <x v="26"/>
    <n v="58"/>
    <n v="21808"/>
    <n v="75"/>
    <n v="30818"/>
    <n v="39"/>
    <n v="14664"/>
    <n v="16"/>
    <n v="6016"/>
    <n v="21"/>
    <n v="7896"/>
    <n v="60"/>
    <n v="22560"/>
    <n v="64"/>
    <n v="24064"/>
    <n v="269"/>
    <x v="0"/>
    <n v="100"/>
  </r>
  <r>
    <s v="HBB 1P"/>
    <x v="11"/>
    <x v="0"/>
    <n v="8"/>
    <n v="22.4"/>
    <n v="65"/>
    <n v="42.6"/>
    <x v="27"/>
    <n v="60"/>
    <n v="2556"/>
    <n v="68"/>
    <n v="3076"/>
    <n v="315"/>
    <n v="13419"/>
    <n v="56"/>
    <n v="2385.6000000000004"/>
    <n v="132"/>
    <n v="5623.2000000000007"/>
    <n v="160"/>
    <n v="6816"/>
    <n v="168"/>
    <n v="7156.8"/>
    <n v="791"/>
    <x v="0"/>
    <n v="99"/>
  </r>
  <r>
    <s v="CHB 2P"/>
    <x v="27"/>
    <x v="0"/>
    <n v="5"/>
    <n v="14"/>
    <n v="56"/>
    <n v="42"/>
    <x v="28"/>
    <n v="61"/>
    <n v="2562"/>
    <n v="97"/>
    <n v="4578"/>
    <n v="29"/>
    <n v="1218"/>
    <n v="91"/>
    <n v="3822"/>
    <n v="62"/>
    <n v="2604"/>
    <n v="419"/>
    <n v="17598"/>
    <n v="37"/>
    <n v="1554"/>
    <n v="759"/>
    <x v="0"/>
    <n v="96"/>
  </r>
  <r>
    <s v="WBX 1PL"/>
    <x v="8"/>
    <x v="0"/>
    <n v="3.5"/>
    <n v="9.7999999999999989"/>
    <n v="35"/>
    <n v="25.200000000000003"/>
    <x v="9"/>
    <n v="62"/>
    <n v="1562.4"/>
    <n v="36"/>
    <n v="652.40000000000009"/>
    <n v="46"/>
    <n v="1159.2"/>
    <n v="34"/>
    <n v="856.8"/>
    <n v="1"/>
    <n v="25.200000000000003"/>
    <n v="1"/>
    <n v="25.200000000000003"/>
    <n v="4"/>
    <n v="100.80000000000001"/>
    <n v="180"/>
    <x v="0"/>
    <n v="100"/>
  </r>
  <r>
    <s v="SLM 0P"/>
    <x v="28"/>
    <x v="0"/>
    <n v="25"/>
    <n v="70"/>
    <n v="99"/>
    <n v="29"/>
    <x v="29"/>
    <n v="65"/>
    <n v="1885"/>
    <n v="50"/>
    <n v="400"/>
    <n v="95"/>
    <n v="2755"/>
    <n v="89"/>
    <n v="2581"/>
    <n v="66"/>
    <n v="1914"/>
    <n v="30"/>
    <n v="870"/>
    <n v="0"/>
    <n v="0"/>
    <n v="395"/>
    <x v="2"/>
    <n v="93"/>
  </r>
  <r>
    <s v="PEN 1P"/>
    <x v="29"/>
    <x v="0"/>
    <n v="30"/>
    <n v="84"/>
    <n v="250"/>
    <n v="166"/>
    <x v="14"/>
    <n v="70"/>
    <n v="11620"/>
    <n v="55"/>
    <n v="7870"/>
    <n v="30"/>
    <n v="4980"/>
    <n v="55"/>
    <n v="9130"/>
    <n v="168"/>
    <n v="27888"/>
    <n v="213"/>
    <n v="35358"/>
    <n v="230"/>
    <n v="38180"/>
    <n v="591"/>
    <x v="2"/>
    <n v="90"/>
  </r>
  <r>
    <s v="HBB 2P"/>
    <x v="11"/>
    <x v="0"/>
    <n v="9"/>
    <n v="25.2"/>
    <n v="45"/>
    <n v="19.8"/>
    <x v="30"/>
    <n v="80"/>
    <n v="1584"/>
    <n v="71"/>
    <n v="1179"/>
    <n v="200"/>
    <n v="3960"/>
    <n v="114"/>
    <n v="2257.2000000000003"/>
    <n v="210"/>
    <n v="4158"/>
    <n v="116"/>
    <n v="2296.8000000000002"/>
    <n v="408"/>
    <n v="8078.4"/>
    <n v="791"/>
    <x v="0"/>
    <n v="97"/>
  </r>
  <r>
    <s v="SCW TP"/>
    <x v="6"/>
    <x v="0"/>
    <n v="6"/>
    <n v="16.799999999999997"/>
    <n v="130"/>
    <n v="113.2"/>
    <x v="31"/>
    <n v="85"/>
    <n v="9622"/>
    <n v="34"/>
    <n v="2992"/>
    <n v="33"/>
    <n v="3735.6000000000004"/>
    <n v="10"/>
    <n v="1132"/>
    <n v="0"/>
    <n v="0"/>
    <n v="0"/>
    <n v="0"/>
    <n v="0"/>
    <n v="0"/>
    <n v="162"/>
    <x v="2"/>
    <n v="92"/>
  </r>
  <r>
    <s v="BBU 0P"/>
    <x v="30"/>
    <x v="0"/>
    <n v="7.5"/>
    <n v="21"/>
    <n v="58"/>
    <n v="37"/>
    <x v="32"/>
    <n v="94"/>
    <n v="3478"/>
    <n v="138"/>
    <n v="6030"/>
    <n v="124"/>
    <n v="4588"/>
    <n v="72"/>
    <n v="2664"/>
    <n v="10"/>
    <n v="370"/>
    <n v="0"/>
    <n v="0"/>
    <n v="0"/>
    <n v="0"/>
    <n v="438"/>
    <x v="0"/>
    <n v="99"/>
  </r>
  <r>
    <s v="OCT 0P"/>
    <x v="31"/>
    <x v="0"/>
    <n v="35"/>
    <n v="98"/>
    <n v="185"/>
    <n v="87"/>
    <x v="33"/>
    <n v="112"/>
    <n v="9744"/>
    <n v="98"/>
    <n v="7154"/>
    <n v="92"/>
    <n v="8004"/>
    <n v="235"/>
    <n v="20445"/>
    <n v="176"/>
    <n v="15312"/>
    <n v="88"/>
    <n v="7656"/>
    <n v="28"/>
    <n v="2436"/>
    <n v="801"/>
    <x v="0"/>
    <n v="97"/>
  </r>
  <r>
    <s v="MSP 0P"/>
    <x v="32"/>
    <x v="0"/>
    <n v="35"/>
    <n v="98"/>
    <n v="135"/>
    <n v="37"/>
    <x v="34"/>
    <n v="116"/>
    <n v="4292"/>
    <n v="164"/>
    <n v="10772"/>
    <n v="319"/>
    <n v="11803"/>
    <n v="251"/>
    <n v="9287"/>
    <n v="207"/>
    <n v="7659"/>
    <n v="182"/>
    <n v="6734"/>
    <n v="54"/>
    <n v="1998"/>
    <n v="1239"/>
    <x v="0"/>
    <n v="96"/>
  </r>
  <r>
    <s v="HBB 1PL"/>
    <x v="11"/>
    <x v="0"/>
    <n v="3.5"/>
    <n v="9.7999999999999989"/>
    <n v="35"/>
    <n v="25.200000000000003"/>
    <x v="9"/>
    <n v="124"/>
    <n v="3124.8"/>
    <n v="4"/>
    <n v="-1075.1999999999998"/>
    <n v="127"/>
    <n v="3200.4"/>
    <n v="35"/>
    <n v="882"/>
    <n v="38"/>
    <n v="957.6"/>
    <n v="12"/>
    <n v="302.39999999999998"/>
    <n v="0"/>
    <n v="0"/>
    <n v="340"/>
    <x v="0"/>
    <n v="97"/>
  </r>
  <r>
    <s v="WBX 1P"/>
    <x v="8"/>
    <x v="0"/>
    <n v="8"/>
    <n v="22.4"/>
    <n v="65"/>
    <n v="42.6"/>
    <x v="27"/>
    <n v="163"/>
    <n v="6943.8"/>
    <n v="33"/>
    <n v="-1506.1999999999998"/>
    <n v="68"/>
    <n v="2896.8"/>
    <n v="32"/>
    <n v="1363.2"/>
    <n v="138"/>
    <n v="5878.8"/>
    <n v="386"/>
    <n v="16443.599999999999"/>
    <n v="233"/>
    <n v="9925.7999999999993"/>
    <n v="820"/>
    <x v="0"/>
    <n v="91"/>
  </r>
  <r>
    <s v="ST 1P"/>
    <x v="33"/>
    <x v="0"/>
    <n v="10"/>
    <n v="28"/>
    <n v="55"/>
    <n v="27"/>
    <x v="0"/>
    <n v="200"/>
    <n v="5400"/>
    <n v="233"/>
    <n v="7215"/>
    <n v="150"/>
    <n v="4050"/>
    <n v="200"/>
    <n v="5400"/>
    <n v="148"/>
    <n v="3996"/>
    <n v="150"/>
    <n v="4050"/>
    <n v="170"/>
    <n v="4590"/>
    <n v="1081"/>
    <x v="2"/>
    <n v="96"/>
  </r>
  <r>
    <s v="AMP 1P"/>
    <x v="34"/>
    <x v="0"/>
    <n v="20"/>
    <n v="56"/>
    <n v="150"/>
    <n v="94"/>
    <x v="35"/>
    <n v="230"/>
    <n v="21620"/>
    <n v="215"/>
    <n v="19370"/>
    <n v="150"/>
    <n v="14100"/>
    <n v="20"/>
    <n v="1880"/>
    <n v="80"/>
    <n v="7520"/>
    <n v="40"/>
    <n v="3760"/>
    <n v="50"/>
    <n v="4700"/>
    <n v="735"/>
    <x v="2"/>
    <n v="97"/>
  </r>
  <r>
    <s v="CNS 1PL"/>
    <x v="35"/>
    <x v="0"/>
    <n v="5"/>
    <n v="14"/>
    <n v="85"/>
    <n v="71"/>
    <x v="36"/>
    <n v="268"/>
    <n v="19028"/>
    <n v="253"/>
    <n v="17753"/>
    <n v="178"/>
    <n v="12638"/>
    <n v="360"/>
    <n v="25560"/>
    <n v="816"/>
    <n v="57936"/>
    <n v="410"/>
    <n v="29110"/>
    <n v="301"/>
    <n v="21371"/>
    <n v="2285"/>
    <x v="0"/>
    <n v="93"/>
  </r>
  <r>
    <s v="UTP 2PL"/>
    <x v="36"/>
    <x v="0"/>
    <n v="3.5"/>
    <n v="9.7999999999999989"/>
    <n v="28"/>
    <n v="18.200000000000003"/>
    <x v="37"/>
    <n v="299"/>
    <n v="5441.8"/>
    <n v="83"/>
    <n v="-606.19999999999982"/>
    <n v="176"/>
    <n v="3203.2000000000003"/>
    <n v="400"/>
    <n v="7280"/>
    <n v="427"/>
    <n v="7771.4000000000005"/>
    <n v="459"/>
    <n v="8353.7999999999993"/>
    <n v="369"/>
    <n v="6715.8"/>
    <n v="1844"/>
    <x v="0"/>
    <n v="99"/>
  </r>
  <r>
    <s v="WLB 1P"/>
    <x v="37"/>
    <x v="0"/>
    <n v="12"/>
    <n v="33.599999999999994"/>
    <n v="75"/>
    <n v="41.400000000000006"/>
    <x v="6"/>
    <n v="315"/>
    <n v="13041.000000000002"/>
    <n v="467"/>
    <n v="24441"/>
    <n v="580"/>
    <n v="24012.000000000004"/>
    <n v="443"/>
    <n v="18340.200000000004"/>
    <n v="521"/>
    <n v="21569.4"/>
    <n v="342"/>
    <n v="14158.800000000001"/>
    <n v="155"/>
    <n v="6417.0000000000009"/>
    <n v="2668"/>
    <x v="2"/>
    <n v="96"/>
  </r>
  <r>
    <s v="WLB 1PL"/>
    <x v="38"/>
    <x v="0"/>
    <n v="4"/>
    <n v="11.2"/>
    <n v="50"/>
    <n v="38.799999999999997"/>
    <x v="38"/>
    <n v="332"/>
    <n v="12881.6"/>
    <n v="280"/>
    <n v="10281.6"/>
    <n v="309"/>
    <n v="11989.2"/>
    <n v="280"/>
    <n v="10864"/>
    <n v="255"/>
    <n v="9894"/>
    <n v="244"/>
    <n v="9467.2000000000007"/>
    <n v="158"/>
    <n v="6130.4"/>
    <n v="1700"/>
    <x v="2"/>
    <n v="94"/>
  </r>
  <r>
    <s v="UTP 1PL"/>
    <x v="36"/>
    <x v="0"/>
    <n v="3.5"/>
    <n v="9.7999999999999989"/>
    <n v="25"/>
    <n v="15.200000000000001"/>
    <x v="39"/>
    <n v="382"/>
    <n v="5806.4000000000005"/>
    <n v="425"/>
    <n v="6881.4000000000005"/>
    <n v="323"/>
    <n v="4909.6000000000004"/>
    <n v="238"/>
    <n v="3617.6000000000004"/>
    <n v="484"/>
    <n v="7356.8"/>
    <n v="394"/>
    <n v="5988.8000000000011"/>
    <n v="213"/>
    <n v="3237.6000000000004"/>
    <n v="2246"/>
    <x v="0"/>
    <n v="97"/>
  </r>
  <r>
    <s v="BBU 1P"/>
    <x v="39"/>
    <x v="0"/>
    <n v="6"/>
    <n v="16.799999999999997"/>
    <n v="40"/>
    <n v="23.200000000000003"/>
    <x v="40"/>
    <n v="405"/>
    <n v="9396"/>
    <n v="534"/>
    <n v="14556"/>
    <n v="987"/>
    <n v="22898.400000000001"/>
    <n v="1917"/>
    <n v="44474.400000000009"/>
    <n v="1047"/>
    <n v="24290.400000000001"/>
    <n v="326"/>
    <n v="7563.2000000000007"/>
    <n v="857"/>
    <n v="19882.400000000001"/>
    <n v="5216"/>
    <x v="0"/>
    <n v="92"/>
  </r>
  <r>
    <s v="OLY 1P"/>
    <x v="40"/>
    <x v="0"/>
    <n v="40"/>
    <n v="112"/>
    <n v="450"/>
    <n v="338"/>
    <x v="41"/>
    <n v="487"/>
    <n v="164606"/>
    <n v="450"/>
    <n v="147956"/>
    <n v="954"/>
    <n v="322452"/>
    <n v="25"/>
    <n v="8450"/>
    <n v="0"/>
    <n v="0"/>
    <n v="0"/>
    <n v="0"/>
    <n v="0"/>
    <n v="0"/>
    <n v="1916"/>
    <x v="2"/>
    <n v="90"/>
  </r>
  <r>
    <s v="CHB 1P"/>
    <x v="27"/>
    <x v="0"/>
    <n v="5"/>
    <n v="14"/>
    <n v="35"/>
    <n v="21"/>
    <x v="42"/>
    <n v="527"/>
    <n v="11067"/>
    <n v="203"/>
    <n v="-273"/>
    <n v="395"/>
    <n v="8295"/>
    <n v="499"/>
    <n v="10479"/>
    <n v="915"/>
    <n v="19215"/>
    <n v="230"/>
    <n v="4830"/>
    <n v="532"/>
    <n v="11172"/>
    <n v="2769"/>
    <x v="0"/>
    <n v="91"/>
  </r>
  <r>
    <s v="BBU 1PL"/>
    <x v="41"/>
    <x v="0"/>
    <n v="3.5"/>
    <n v="9.7999999999999989"/>
    <n v="25"/>
    <n v="15.200000000000001"/>
    <x v="39"/>
    <n v="604"/>
    <n v="9180.8000000000011"/>
    <n v="339"/>
    <n v="2555.8000000000011"/>
    <n v="853"/>
    <n v="12965.6"/>
    <n v="2331"/>
    <n v="35431.199999999997"/>
    <n v="1049"/>
    <n v="15944.800000000001"/>
    <n v="326"/>
    <n v="4955.2000000000007"/>
    <n v="708"/>
    <n v="10761.6"/>
    <n v="5502"/>
    <x v="0"/>
    <n v="99"/>
  </r>
  <r>
    <s v="UTP 2P"/>
    <x v="42"/>
    <x v="0"/>
    <n v="5"/>
    <n v="14"/>
    <n v="65"/>
    <n v="51"/>
    <x v="12"/>
    <n v="728"/>
    <n v="37128"/>
    <n v="871"/>
    <n v="46423"/>
    <n v="913"/>
    <n v="46563"/>
    <n v="1800"/>
    <n v="91800"/>
    <n v="1315"/>
    <n v="67065"/>
    <n v="577"/>
    <n v="29427"/>
    <n v="573"/>
    <n v="29223"/>
    <n v="6204"/>
    <x v="0"/>
    <n v="93"/>
  </r>
  <r>
    <s v="CAS 1P"/>
    <x v="43"/>
    <x v="0"/>
    <n v="5"/>
    <n v="14"/>
    <n v="45"/>
    <n v="31"/>
    <x v="43"/>
    <n v="787"/>
    <n v="24397"/>
    <n v="478"/>
    <n v="10492"/>
    <n v="1235"/>
    <n v="38285"/>
    <n v="1450"/>
    <n v="44950"/>
    <n v="1728"/>
    <n v="53568"/>
    <n v="1182"/>
    <n v="36642"/>
    <n v="999"/>
    <n v="30969"/>
    <n v="6860"/>
    <x v="0"/>
    <n v="97"/>
  </r>
  <r>
    <s v="UTP 1P"/>
    <x v="42"/>
    <x v="0"/>
    <n v="4"/>
    <n v="11.2"/>
    <n v="45"/>
    <n v="33.799999999999997"/>
    <x v="41"/>
    <n v="962"/>
    <n v="32515.599999999999"/>
    <n v="1465"/>
    <n v="55150.6"/>
    <n v="1334"/>
    <n v="45089.2"/>
    <n v="2383"/>
    <n v="80545.399999999994"/>
    <n v="1525"/>
    <n v="51545"/>
    <n v="1582"/>
    <n v="53471.600000000006"/>
    <n v="1539"/>
    <n v="52018.2"/>
    <n v="9251"/>
    <x v="0"/>
    <n v="100"/>
  </r>
  <r>
    <s v="CNS 1P"/>
    <x v="44"/>
    <x v="0"/>
    <n v="7"/>
    <n v="19.599999999999998"/>
    <n v="45"/>
    <n v="25.400000000000002"/>
    <x v="44"/>
    <n v="1064"/>
    <n v="27025.600000000002"/>
    <n v="1153"/>
    <n v="31030.600000000002"/>
    <n v="1979"/>
    <n v="50266.600000000006"/>
    <n v="2901"/>
    <n v="73685.400000000009"/>
    <n v="2434"/>
    <n v="61823.600000000006"/>
    <n v="1693"/>
    <n v="43002.200000000004"/>
    <n v="1311"/>
    <n v="33299.4"/>
    <n v="11224"/>
    <x v="0"/>
    <n v="94"/>
  </r>
  <r>
    <s v="CAS 0P"/>
    <x v="45"/>
    <x v="0"/>
    <n v="7"/>
    <n v="19.599999999999998"/>
    <n v="30"/>
    <n v="10.400000000000002"/>
    <x v="45"/>
    <n v="2132"/>
    <n v="22172.800000000003"/>
    <n v="2648"/>
    <n v="37652.800000000003"/>
    <n v="2712"/>
    <n v="28204.800000000003"/>
    <n v="1775"/>
    <n v="18460.000000000007"/>
    <n v="2302"/>
    <n v="23940.800000000003"/>
    <n v="2250"/>
    <n v="23400.000000000007"/>
    <n v="2532"/>
    <n v="26332.800000000003"/>
    <n v="13819"/>
    <x v="0"/>
    <n v="91"/>
  </r>
  <r>
    <s v="BRL 0P"/>
    <x v="46"/>
    <x v="1"/>
    <n v="15"/>
    <n v="45"/>
    <n v="75"/>
    <n v="30"/>
    <x v="46"/>
    <n v="496"/>
    <n v="14880"/>
    <n v="557"/>
    <n v="19455"/>
    <n v="0"/>
    <n v="0"/>
    <n v="0"/>
    <n v="0"/>
    <n v="0"/>
    <n v="0"/>
    <n v="0"/>
    <n v="0"/>
    <n v="0"/>
    <n v="0"/>
    <n v="1053"/>
    <x v="0"/>
    <n v="91"/>
  </r>
  <r>
    <s v="UTP 1P"/>
    <x v="42"/>
    <x v="2"/>
    <n v="4"/>
    <n v="12"/>
    <n v="55"/>
    <n v="43"/>
    <x v="47"/>
    <n v="0"/>
    <n v="0"/>
    <n v="5"/>
    <n v="275"/>
    <n v="0"/>
    <n v="0"/>
    <n v="0"/>
    <n v="0"/>
    <n v="0"/>
    <n v="0"/>
    <n v="0"/>
    <n v="0"/>
    <n v="0"/>
    <n v="0"/>
    <n v="5"/>
    <x v="0"/>
    <n v="100"/>
  </r>
  <r>
    <s v="UTP 2PL"/>
    <x v="36"/>
    <x v="2"/>
    <n v="3.5"/>
    <n v="10.5"/>
    <n v="35"/>
    <n v="24.5"/>
    <x v="11"/>
    <n v="0"/>
    <n v="0"/>
    <n v="13"/>
    <n v="455"/>
    <n v="0"/>
    <n v="0"/>
    <n v="0"/>
    <n v="0"/>
    <n v="0"/>
    <n v="0"/>
    <n v="0"/>
    <n v="0"/>
    <n v="0"/>
    <n v="0"/>
    <n v="13"/>
    <x v="0"/>
    <n v="100"/>
  </r>
  <r>
    <s v="CHB 2P"/>
    <x v="27"/>
    <x v="2"/>
    <n v="5"/>
    <n v="15"/>
    <n v="66"/>
    <n v="51"/>
    <x v="48"/>
    <n v="0"/>
    <n v="0"/>
    <n v="5"/>
    <n v="330"/>
    <n v="0"/>
    <n v="0"/>
    <n v="0"/>
    <n v="0"/>
    <n v="0"/>
    <n v="0"/>
    <n v="0"/>
    <n v="0"/>
    <n v="0"/>
    <n v="0"/>
    <n v="5"/>
    <x v="0"/>
    <n v="91"/>
  </r>
  <r>
    <s v="CUH 2P"/>
    <x v="19"/>
    <x v="2"/>
    <n v="7"/>
    <n v="21"/>
    <n v="79"/>
    <n v="58"/>
    <x v="49"/>
    <n v="0"/>
    <n v="0"/>
    <n v="3"/>
    <n v="237"/>
    <n v="0"/>
    <n v="0"/>
    <n v="0"/>
    <n v="0"/>
    <n v="0"/>
    <n v="0"/>
    <n v="0"/>
    <n v="0"/>
    <n v="0"/>
    <n v="0"/>
    <n v="3"/>
    <x v="0"/>
    <n v="93"/>
  </r>
  <r>
    <s v="WBX 0P"/>
    <x v="8"/>
    <x v="2"/>
    <n v="6"/>
    <n v="18"/>
    <n v="70"/>
    <n v="52"/>
    <x v="50"/>
    <n v="0"/>
    <n v="0"/>
    <n v="3"/>
    <n v="210"/>
    <n v="0"/>
    <n v="0"/>
    <n v="0"/>
    <n v="0"/>
    <n v="0"/>
    <n v="0"/>
    <n v="0"/>
    <n v="0"/>
    <n v="0"/>
    <n v="0"/>
    <n v="3"/>
    <x v="0"/>
    <n v="90"/>
  </r>
  <r>
    <s v="MSP 1P"/>
    <x v="0"/>
    <x v="2"/>
    <n v="40"/>
    <n v="120"/>
    <n v="250"/>
    <n v="130"/>
    <x v="51"/>
    <n v="0"/>
    <n v="0"/>
    <n v="5"/>
    <n v="1250"/>
    <n v="0"/>
    <n v="0"/>
    <n v="0"/>
    <n v="0"/>
    <n v="0"/>
    <n v="0"/>
    <n v="0"/>
    <n v="0"/>
    <n v="0"/>
    <n v="0"/>
    <n v="5"/>
    <x v="0"/>
    <n v="98"/>
  </r>
  <r>
    <s v="CUH 1P"/>
    <x v="19"/>
    <x v="2"/>
    <n v="5"/>
    <n v="15"/>
    <n v="49"/>
    <n v="34"/>
    <x v="52"/>
    <n v="1"/>
    <n v="34"/>
    <n v="0"/>
    <n v="-15"/>
    <n v="0"/>
    <n v="0"/>
    <n v="0"/>
    <n v="0"/>
    <n v="0"/>
    <n v="0"/>
    <n v="0"/>
    <n v="0"/>
    <n v="0"/>
    <n v="0"/>
    <n v="1"/>
    <x v="0"/>
    <n v="100"/>
  </r>
  <r>
    <s v="HBB 3P"/>
    <x v="11"/>
    <x v="2"/>
    <n v="10"/>
    <n v="30"/>
    <n v="145"/>
    <n v="115"/>
    <x v="53"/>
    <n v="2"/>
    <n v="230"/>
    <n v="0"/>
    <n v="-60"/>
    <n v="0"/>
    <n v="0"/>
    <n v="0"/>
    <n v="0"/>
    <n v="0"/>
    <n v="0"/>
    <n v="0"/>
    <n v="0"/>
    <n v="0"/>
    <n v="0"/>
    <n v="2"/>
    <x v="0"/>
    <n v="100"/>
  </r>
  <r>
    <s v="HBB 3PL"/>
    <x v="12"/>
    <x v="2"/>
    <n v="5.5"/>
    <n v="16.5"/>
    <n v="99"/>
    <n v="82.5"/>
    <x v="54"/>
    <n v="2"/>
    <n v="165"/>
    <n v="0"/>
    <n v="-33"/>
    <n v="0"/>
    <n v="0"/>
    <n v="0"/>
    <n v="0"/>
    <n v="0"/>
    <n v="0"/>
    <n v="0"/>
    <n v="0"/>
    <n v="0"/>
    <n v="0"/>
    <n v="2"/>
    <x v="0"/>
    <n v="90"/>
  </r>
  <r>
    <s v="MSP 2P"/>
    <x v="4"/>
    <x v="2"/>
    <n v="47"/>
    <n v="141"/>
    <n v="370"/>
    <n v="229"/>
    <x v="55"/>
    <n v="2"/>
    <n v="458"/>
    <n v="0"/>
    <n v="-282"/>
    <n v="0"/>
    <n v="0"/>
    <n v="0"/>
    <n v="0"/>
    <n v="0"/>
    <n v="0"/>
    <n v="0"/>
    <n v="0"/>
    <n v="0"/>
    <n v="0"/>
    <n v="2"/>
    <x v="0"/>
    <n v="99"/>
  </r>
  <r>
    <s v="BBU 0P"/>
    <x v="30"/>
    <x v="2"/>
    <n v="7.5"/>
    <n v="22.5"/>
    <n v="70"/>
    <n v="47.5"/>
    <x v="56"/>
    <n v="5"/>
    <n v="237.5"/>
    <n v="0"/>
    <n v="-112.5"/>
    <n v="0"/>
    <n v="0"/>
    <n v="0"/>
    <n v="0"/>
    <n v="0"/>
    <n v="0"/>
    <n v="0"/>
    <n v="0"/>
    <n v="0"/>
    <n v="0"/>
    <n v="5"/>
    <x v="0"/>
    <n v="96"/>
  </r>
  <r>
    <s v="OVL 0P"/>
    <x v="47"/>
    <x v="2"/>
    <n v="30"/>
    <n v="90"/>
    <n v="120"/>
    <n v="30"/>
    <x v="57"/>
    <n v="8"/>
    <n v="240"/>
    <n v="0"/>
    <n v="-720"/>
    <n v="0"/>
    <n v="0"/>
    <n v="0"/>
    <n v="0"/>
    <n v="0"/>
    <n v="0"/>
    <n v="0"/>
    <n v="0"/>
    <n v="0"/>
    <n v="0"/>
    <n v="8"/>
    <x v="0"/>
    <n v="97"/>
  </r>
  <r>
    <s v="CHB 1P"/>
    <x v="27"/>
    <x v="2"/>
    <n v="5"/>
    <n v="15"/>
    <n v="45"/>
    <n v="30"/>
    <x v="58"/>
    <n v="28"/>
    <n v="840"/>
    <n v="5"/>
    <n v="-195"/>
    <n v="0"/>
    <n v="0"/>
    <n v="0"/>
    <n v="0"/>
    <n v="0"/>
    <n v="0"/>
    <n v="0"/>
    <n v="0"/>
    <n v="0"/>
    <n v="0"/>
    <n v="33"/>
    <x v="0"/>
    <n v="90"/>
  </r>
  <r>
    <s v="OCT 0P"/>
    <x v="31"/>
    <x v="3"/>
    <n v="35"/>
    <n v="112"/>
    <n v="250"/>
    <n v="138"/>
    <x v="6"/>
    <n v="26"/>
    <n v="3588"/>
    <n v="13"/>
    <n v="338"/>
    <n v="0"/>
    <n v="0"/>
    <n v="0"/>
    <n v="0"/>
    <n v="0"/>
    <n v="0"/>
    <n v="0"/>
    <n v="0"/>
    <n v="0"/>
    <n v="0"/>
    <n v="39"/>
    <x v="0"/>
    <n v="95"/>
  </r>
  <r>
    <s v="OCT 1P"/>
    <x v="5"/>
    <x v="4"/>
    <n v="40"/>
    <n v="128"/>
    <n v="290"/>
    <n v="162"/>
    <x v="59"/>
    <n v="0"/>
    <n v="0"/>
    <n v="1"/>
    <n v="290"/>
    <n v="0"/>
    <n v="0"/>
    <n v="0"/>
    <n v="0"/>
    <n v="0"/>
    <n v="0"/>
    <n v="0"/>
    <n v="0"/>
    <n v="0"/>
    <n v="0"/>
    <n v="1"/>
    <x v="0"/>
    <n v="90"/>
  </r>
  <r>
    <s v="BHV 6P"/>
    <x v="25"/>
    <x v="4"/>
    <n v="65"/>
    <n v="208"/>
    <n v="700"/>
    <n v="492"/>
    <x v="60"/>
    <n v="5"/>
    <n v="2460"/>
    <n v="0"/>
    <n v="-1040"/>
    <n v="0"/>
    <n v="0"/>
    <n v="0"/>
    <n v="0"/>
    <n v="0"/>
    <n v="0"/>
    <n v="0"/>
    <n v="0"/>
    <n v="0"/>
    <n v="0"/>
    <n v="5"/>
    <x v="0"/>
    <n v="99"/>
  </r>
  <r>
    <s v="OVL 0P"/>
    <x v="47"/>
    <x v="4"/>
    <n v="30"/>
    <n v="96"/>
    <n v="150"/>
    <n v="54"/>
    <x v="61"/>
    <n v="26"/>
    <n v="1404"/>
    <n v="25"/>
    <n v="1254"/>
    <n v="0"/>
    <n v="0"/>
    <n v="0"/>
    <n v="0"/>
    <n v="0"/>
    <n v="0"/>
    <n v="0"/>
    <n v="0"/>
    <n v="0"/>
    <n v="0"/>
    <n v="51"/>
    <x v="0"/>
    <n v="100"/>
  </r>
  <r>
    <s v="FF 2P"/>
    <x v="23"/>
    <x v="4"/>
    <n v="40"/>
    <n v="128"/>
    <n v="399"/>
    <n v="271"/>
    <x v="62"/>
    <n v="30"/>
    <n v="8130"/>
    <n v="0"/>
    <n v="-3840"/>
    <n v="0"/>
    <n v="0"/>
    <n v="0"/>
    <n v="0"/>
    <n v="0"/>
    <n v="0"/>
    <n v="0"/>
    <n v="0"/>
    <n v="0"/>
    <n v="0"/>
    <n v="30"/>
    <x v="0"/>
    <n v="99"/>
  </r>
  <r>
    <s v="MSP 3P"/>
    <x v="21"/>
    <x v="4"/>
    <n v="55"/>
    <n v="176"/>
    <n v="510"/>
    <n v="334"/>
    <x v="63"/>
    <n v="53"/>
    <n v="17702"/>
    <n v="21"/>
    <n v="1382"/>
    <n v="0"/>
    <n v="0"/>
    <n v="0"/>
    <n v="0"/>
    <n v="0"/>
    <n v="0"/>
    <n v="0"/>
    <n v="0"/>
    <n v="0"/>
    <n v="0"/>
    <n v="74"/>
    <x v="0"/>
    <n v="99"/>
  </r>
  <r>
    <s v="BHV 5P"/>
    <x v="26"/>
    <x v="4"/>
    <n v="55"/>
    <n v="176"/>
    <n v="615"/>
    <n v="439"/>
    <x v="64"/>
    <n v="57"/>
    <n v="25023"/>
    <n v="35"/>
    <n v="11493"/>
    <n v="0"/>
    <n v="0"/>
    <n v="0"/>
    <n v="0"/>
    <n v="0"/>
    <n v="0"/>
    <n v="0"/>
    <n v="0"/>
    <n v="0"/>
    <n v="0"/>
    <n v="92"/>
    <x v="0"/>
    <n v="93"/>
  </r>
  <r>
    <s v="OCT 0P"/>
    <x v="31"/>
    <x v="4"/>
    <n v="35"/>
    <n v="112"/>
    <n v="250"/>
    <n v="138"/>
    <x v="6"/>
    <n v="135"/>
    <n v="18630"/>
    <n v="78"/>
    <n v="4380"/>
    <n v="0"/>
    <n v="0"/>
    <n v="0"/>
    <n v="0"/>
    <n v="0"/>
    <n v="0"/>
    <n v="0"/>
    <n v="0"/>
    <n v="0"/>
    <n v="0"/>
    <n v="213"/>
    <x v="0"/>
    <n v="95"/>
  </r>
  <r>
    <s v="BHV 6P"/>
    <x v="25"/>
    <x v="5"/>
    <n v="65"/>
    <n v="195"/>
    <n v="650"/>
    <n v="455"/>
    <x v="11"/>
    <n v="3"/>
    <n v="1365"/>
    <n v="0"/>
    <n v="-585"/>
    <n v="0"/>
    <n v="0"/>
    <n v="0"/>
    <n v="0"/>
    <n v="0"/>
    <n v="0"/>
    <n v="0"/>
    <n v="0"/>
    <n v="0"/>
    <n v="0"/>
    <n v="3"/>
    <x v="0"/>
    <n v="98"/>
  </r>
  <r>
    <s v="WBX 1PL"/>
    <x v="8"/>
    <x v="5"/>
    <n v="3.5"/>
    <n v="10.5"/>
    <n v="50"/>
    <n v="39.5"/>
    <x v="65"/>
    <n v="3"/>
    <n v="118.5"/>
    <n v="0"/>
    <n v="-31.5"/>
    <n v="0"/>
    <n v="0"/>
    <n v="0"/>
    <n v="0"/>
    <n v="0"/>
    <n v="0"/>
    <n v="0"/>
    <n v="0"/>
    <n v="0"/>
    <n v="0"/>
    <n v="3"/>
    <x v="0"/>
    <n v="93"/>
  </r>
  <r>
    <s v="UTP 2P"/>
    <x v="42"/>
    <x v="5"/>
    <n v="5"/>
    <n v="15"/>
    <n v="70"/>
    <n v="55"/>
    <x v="66"/>
    <n v="15"/>
    <n v="825"/>
    <n v="0"/>
    <n v="-225"/>
    <n v="0"/>
    <n v="0"/>
    <n v="0"/>
    <n v="0"/>
    <n v="0"/>
    <n v="0"/>
    <n v="0"/>
    <n v="0"/>
    <n v="0"/>
    <n v="0"/>
    <n v="15"/>
    <x v="0"/>
    <n v="99"/>
  </r>
  <r>
    <s v="CNS 1P"/>
    <x v="44"/>
    <x v="5"/>
    <n v="7"/>
    <n v="21"/>
    <n v="55"/>
    <n v="34"/>
    <x v="67"/>
    <n v="23"/>
    <n v="782"/>
    <n v="15"/>
    <n v="342"/>
    <n v="0"/>
    <n v="0"/>
    <n v="0"/>
    <n v="0"/>
    <n v="0"/>
    <n v="0"/>
    <n v="0"/>
    <n v="0"/>
    <n v="0"/>
    <n v="0"/>
    <n v="38"/>
    <x v="0"/>
    <n v="90"/>
  </r>
  <r>
    <s v="MSP 1P"/>
    <x v="0"/>
    <x v="6"/>
    <n v="40"/>
    <n v="128"/>
    <n v="300"/>
    <n v="172"/>
    <x v="68"/>
    <n v="0"/>
    <n v="0"/>
    <n v="5"/>
    <n v="1500"/>
    <n v="0"/>
    <n v="0"/>
    <n v="0"/>
    <n v="0"/>
    <n v="0"/>
    <n v="0"/>
    <n v="0"/>
    <n v="0"/>
    <n v="0"/>
    <n v="0"/>
    <n v="5"/>
    <x v="0"/>
    <n v="99"/>
  </r>
  <r>
    <s v="MSP 2P"/>
    <x v="4"/>
    <x v="6"/>
    <n v="47"/>
    <n v="150.4"/>
    <n v="400"/>
    <n v="249.6"/>
    <x v="69"/>
    <n v="0"/>
    <n v="0"/>
    <n v="1"/>
    <n v="400"/>
    <n v="0"/>
    <n v="0"/>
    <n v="0"/>
    <n v="0"/>
    <n v="0"/>
    <n v="0"/>
    <n v="0"/>
    <n v="0"/>
    <n v="0"/>
    <n v="0"/>
    <n v="1"/>
    <x v="0"/>
    <n v="90"/>
  </r>
  <r>
    <s v="OCT 2P"/>
    <x v="2"/>
    <x v="6"/>
    <n v="47"/>
    <n v="150.4"/>
    <n v="370"/>
    <n v="219.6"/>
    <x v="70"/>
    <n v="0"/>
    <n v="0"/>
    <n v="1"/>
    <n v="370"/>
    <n v="0"/>
    <n v="0"/>
    <n v="0"/>
    <n v="0"/>
    <n v="0"/>
    <n v="0"/>
    <n v="0"/>
    <n v="0"/>
    <n v="0"/>
    <n v="0"/>
    <n v="1"/>
    <x v="0"/>
    <n v="93"/>
  </r>
  <r>
    <s v="OCT 3P"/>
    <x v="7"/>
    <x v="6"/>
    <n v="55"/>
    <n v="176"/>
    <n v="500"/>
    <n v="324"/>
    <x v="71"/>
    <n v="0"/>
    <n v="0"/>
    <n v="1"/>
    <n v="500"/>
    <n v="0"/>
    <n v="0"/>
    <n v="0"/>
    <n v="0"/>
    <n v="0"/>
    <n v="0"/>
    <n v="0"/>
    <n v="0"/>
    <n v="0"/>
    <n v="0"/>
    <n v="1"/>
    <x v="0"/>
    <n v="93"/>
  </r>
  <r>
    <s v="J-C45-T4"/>
    <x v="3"/>
    <x v="6"/>
    <n v="17"/>
    <n v="54.400000000000006"/>
    <n v="45"/>
    <n v="-9.4000000000000057"/>
    <x v="72"/>
    <n v="0"/>
    <n v="0"/>
    <n v="0"/>
    <n v="0"/>
    <n v="0"/>
    <n v="0"/>
    <n v="0"/>
    <n v="0"/>
    <n v="0"/>
    <n v="0"/>
    <n v="0"/>
    <n v="0"/>
    <n v="0"/>
    <n v="0"/>
    <n v="0"/>
    <x v="1"/>
    <n v="97"/>
  </r>
  <r>
    <s v="J-EPS40-DG"/>
    <x v="48"/>
    <x v="6"/>
    <n v="11"/>
    <n v="35.200000000000003"/>
    <n v="85"/>
    <n v="49.8"/>
    <x v="73"/>
    <n v="0"/>
    <n v="0"/>
    <n v="0"/>
    <n v="0"/>
    <n v="0"/>
    <n v="0"/>
    <n v="0"/>
    <n v="0"/>
    <n v="0"/>
    <n v="0"/>
    <n v="0"/>
    <n v="0"/>
    <n v="0"/>
    <n v="0"/>
    <n v="0"/>
    <x v="1"/>
    <n v="98"/>
  </r>
  <r>
    <s v="MSP 0P"/>
    <x v="32"/>
    <x v="6"/>
    <n v="35"/>
    <n v="112"/>
    <n v="180"/>
    <n v="68"/>
    <x v="74"/>
    <n v="5"/>
    <n v="340"/>
    <n v="0"/>
    <n v="-560"/>
    <n v="0"/>
    <n v="0"/>
    <n v="0"/>
    <n v="0"/>
    <n v="0"/>
    <n v="0"/>
    <n v="0"/>
    <n v="0"/>
    <n v="0"/>
    <n v="0"/>
    <n v="5"/>
    <x v="0"/>
    <n v="98"/>
  </r>
  <r>
    <s v="MSP 4P"/>
    <x v="1"/>
    <x v="6"/>
    <n v="60"/>
    <n v="192"/>
    <n v="650"/>
    <n v="458"/>
    <x v="75"/>
    <n v="5"/>
    <n v="2290"/>
    <n v="0"/>
    <n v="-960"/>
    <n v="0"/>
    <n v="0"/>
    <n v="0"/>
    <n v="0"/>
    <n v="0"/>
    <n v="0"/>
    <n v="0"/>
    <n v="0"/>
    <n v="0"/>
    <n v="0"/>
    <n v="5"/>
    <x v="0"/>
    <n v="99"/>
  </r>
  <r>
    <s v="OCT 1P"/>
    <x v="5"/>
    <x v="6"/>
    <n v="40"/>
    <n v="128"/>
    <n v="290"/>
    <n v="162"/>
    <x v="59"/>
    <n v="5"/>
    <n v="810"/>
    <n v="0"/>
    <n v="-640"/>
    <n v="0"/>
    <n v="0"/>
    <n v="0"/>
    <n v="0"/>
    <n v="0"/>
    <n v="0"/>
    <n v="0"/>
    <n v="0"/>
    <n v="0"/>
    <n v="0"/>
    <n v="5"/>
    <x v="0"/>
    <n v="95"/>
  </r>
  <r>
    <s v="CAS 1P"/>
    <x v="43"/>
    <x v="6"/>
    <n v="5"/>
    <n v="16"/>
    <n v="60"/>
    <n v="44"/>
    <x v="76"/>
    <n v="23"/>
    <n v="1012"/>
    <n v="35"/>
    <n v="1732"/>
    <n v="0"/>
    <n v="0"/>
    <n v="0"/>
    <n v="0"/>
    <n v="0"/>
    <n v="0"/>
    <n v="0"/>
    <n v="0"/>
    <n v="0"/>
    <n v="0"/>
    <n v="58"/>
    <x v="0"/>
    <n v="95"/>
  </r>
  <r>
    <s v="OCT 0P"/>
    <x v="31"/>
    <x v="7"/>
    <n v="35"/>
    <n v="112"/>
    <n v="250"/>
    <n v="138"/>
    <x v="6"/>
    <n v="15"/>
    <n v="2070"/>
    <n v="8"/>
    <n v="320"/>
    <n v="0"/>
    <n v="0"/>
    <n v="0"/>
    <n v="0"/>
    <n v="0"/>
    <n v="0"/>
    <n v="0"/>
    <n v="0"/>
    <n v="0"/>
    <n v="0"/>
    <n v="23"/>
    <x v="0"/>
    <n v="97"/>
  </r>
  <r>
    <s v="BHV 6P"/>
    <x v="25"/>
    <x v="8"/>
    <n v="65"/>
    <n v="208"/>
    <n v="700"/>
    <n v="492"/>
    <x v="60"/>
    <n v="0"/>
    <n v="0"/>
    <n v="5"/>
    <n v="3500"/>
    <n v="0"/>
    <n v="0"/>
    <n v="0"/>
    <n v="0"/>
    <n v="0"/>
    <n v="0"/>
    <n v="0"/>
    <n v="0"/>
    <n v="0"/>
    <n v="0"/>
    <n v="5"/>
    <x v="0"/>
    <n v="98"/>
  </r>
  <r>
    <s v="UTP 1P"/>
    <x v="42"/>
    <x v="9"/>
    <n v="4"/>
    <n v="12"/>
    <n v="55"/>
    <n v="43"/>
    <x v="47"/>
    <n v="0"/>
    <n v="0"/>
    <n v="5"/>
    <n v="275"/>
    <n v="0"/>
    <n v="0"/>
    <n v="0"/>
    <n v="0"/>
    <n v="0"/>
    <n v="0"/>
    <n v="0"/>
    <n v="0"/>
    <n v="0"/>
    <n v="0"/>
    <n v="5"/>
    <x v="0"/>
    <n v="100"/>
  </r>
  <r>
    <s v="CHB 2P"/>
    <x v="27"/>
    <x v="9"/>
    <n v="5"/>
    <n v="15"/>
    <n v="66"/>
    <n v="51"/>
    <x v="48"/>
    <n v="1"/>
    <n v="51"/>
    <n v="0"/>
    <n v="-15"/>
    <n v="0"/>
    <n v="0"/>
    <n v="0"/>
    <n v="0"/>
    <n v="0"/>
    <n v="0"/>
    <n v="0"/>
    <n v="0"/>
    <n v="0"/>
    <n v="0"/>
    <n v="1"/>
    <x v="0"/>
    <n v="98"/>
  </r>
  <r>
    <s v="CAS 0P"/>
    <x v="45"/>
    <x v="9"/>
    <n v="7"/>
    <n v="21"/>
    <n v="40"/>
    <n v="19"/>
    <x v="77"/>
    <n v="6"/>
    <n v="114"/>
    <n v="15"/>
    <n v="474"/>
    <n v="0"/>
    <n v="0"/>
    <n v="0"/>
    <n v="0"/>
    <n v="0"/>
    <n v="0"/>
    <n v="0"/>
    <n v="0"/>
    <n v="0"/>
    <n v="0"/>
    <n v="21"/>
    <x v="0"/>
    <n v="94"/>
  </r>
  <r>
    <s v="MSP 0P"/>
    <x v="32"/>
    <x v="10"/>
    <n v="35"/>
    <n v="112"/>
    <n v="180"/>
    <n v="68"/>
    <x v="74"/>
    <n v="0"/>
    <n v="0"/>
    <n v="89"/>
    <n v="16020"/>
    <n v="0"/>
    <n v="0"/>
    <n v="0"/>
    <n v="0"/>
    <n v="0"/>
    <n v="0"/>
    <n v="0"/>
    <n v="0"/>
    <n v="0"/>
    <n v="0"/>
    <n v="89"/>
    <x v="0"/>
    <n v="92"/>
  </r>
  <r>
    <s v="MSP 1P"/>
    <x v="0"/>
    <x v="10"/>
    <n v="40"/>
    <n v="128"/>
    <n v="300"/>
    <n v="172"/>
    <x v="68"/>
    <n v="0"/>
    <n v="0"/>
    <n v="5"/>
    <n v="1500"/>
    <n v="0"/>
    <n v="0"/>
    <n v="0"/>
    <n v="0"/>
    <n v="0"/>
    <n v="0"/>
    <n v="0"/>
    <n v="0"/>
    <n v="0"/>
    <n v="0"/>
    <n v="5"/>
    <x v="0"/>
    <n v="94"/>
  </r>
  <r>
    <s v="OCT 2P"/>
    <x v="2"/>
    <x v="10"/>
    <n v="47"/>
    <n v="150.4"/>
    <n v="370"/>
    <n v="219.6"/>
    <x v="70"/>
    <n v="1"/>
    <n v="219.6"/>
    <n v="0"/>
    <n v="-150.4"/>
    <n v="0"/>
    <n v="0"/>
    <n v="0"/>
    <n v="0"/>
    <n v="0"/>
    <n v="0"/>
    <n v="0"/>
    <n v="0"/>
    <n v="0"/>
    <n v="0"/>
    <n v="1"/>
    <x v="0"/>
    <n v="99"/>
  </r>
  <r>
    <s v="OCT 3P"/>
    <x v="7"/>
    <x v="10"/>
    <n v="55"/>
    <n v="176"/>
    <n v="500"/>
    <n v="324"/>
    <x v="71"/>
    <n v="1"/>
    <n v="324"/>
    <n v="0"/>
    <n v="-176"/>
    <n v="0"/>
    <n v="0"/>
    <n v="0"/>
    <n v="0"/>
    <n v="0"/>
    <n v="0"/>
    <n v="0"/>
    <n v="0"/>
    <n v="0"/>
    <n v="0"/>
    <n v="1"/>
    <x v="0"/>
    <n v="100"/>
  </r>
  <r>
    <s v="HBB 1PL"/>
    <x v="11"/>
    <x v="10"/>
    <n v="3.5"/>
    <n v="11.200000000000001"/>
    <n v="60"/>
    <n v="48.8"/>
    <x v="78"/>
    <n v="3"/>
    <n v="146.4"/>
    <n v="0"/>
    <n v="-33.6"/>
    <n v="0"/>
    <n v="0"/>
    <n v="0"/>
    <n v="0"/>
    <n v="0"/>
    <n v="0"/>
    <n v="0"/>
    <n v="0"/>
    <n v="0"/>
    <n v="0"/>
    <n v="3"/>
    <x v="0"/>
    <n v="94"/>
  </r>
  <r>
    <s v="MSP 4P"/>
    <x v="1"/>
    <x v="10"/>
    <n v="60"/>
    <n v="192"/>
    <n v="650"/>
    <n v="458"/>
    <x v="75"/>
    <n v="3"/>
    <n v="1374"/>
    <n v="0"/>
    <n v="-576"/>
    <n v="0"/>
    <n v="0"/>
    <n v="0"/>
    <n v="0"/>
    <n v="0"/>
    <n v="0"/>
    <n v="0"/>
    <n v="0"/>
    <n v="0"/>
    <n v="0"/>
    <n v="3"/>
    <x v="0"/>
    <n v="92"/>
  </r>
  <r>
    <s v="HBB 2PL"/>
    <x v="11"/>
    <x v="10"/>
    <n v="4.5"/>
    <n v="14.4"/>
    <n v="65"/>
    <n v="50.6"/>
    <x v="79"/>
    <n v="5"/>
    <n v="253"/>
    <n v="0"/>
    <n v="-72"/>
    <n v="0"/>
    <n v="0"/>
    <n v="0"/>
    <n v="0"/>
    <n v="0"/>
    <n v="0"/>
    <n v="0"/>
    <n v="0"/>
    <n v="0"/>
    <n v="0"/>
    <n v="5"/>
    <x v="0"/>
    <n v="94"/>
  </r>
  <r>
    <s v="HBB 1P"/>
    <x v="11"/>
    <x v="10"/>
    <n v="8"/>
    <n v="25.6"/>
    <n v="85"/>
    <n v="59.4"/>
    <x v="80"/>
    <n v="5"/>
    <n v="297"/>
    <n v="0"/>
    <n v="-128"/>
    <n v="0"/>
    <n v="0"/>
    <n v="0"/>
    <n v="0"/>
    <n v="0"/>
    <n v="0"/>
    <n v="0"/>
    <n v="0"/>
    <n v="0"/>
    <n v="0"/>
    <n v="5"/>
    <x v="0"/>
    <n v="97"/>
  </r>
  <r>
    <s v="MSP 2P"/>
    <x v="4"/>
    <x v="10"/>
    <n v="47"/>
    <n v="150.4"/>
    <n v="400"/>
    <n v="249.6"/>
    <x v="69"/>
    <n v="5"/>
    <n v="1248"/>
    <n v="0"/>
    <n v="-752"/>
    <n v="0"/>
    <n v="0"/>
    <n v="0"/>
    <n v="0"/>
    <n v="0"/>
    <n v="0"/>
    <n v="0"/>
    <n v="0"/>
    <n v="0"/>
    <n v="0"/>
    <n v="5"/>
    <x v="0"/>
    <n v="90"/>
  </r>
  <r>
    <s v="OCT 1P"/>
    <x v="5"/>
    <x v="10"/>
    <n v="40"/>
    <n v="128"/>
    <n v="290"/>
    <n v="162"/>
    <x v="59"/>
    <n v="5"/>
    <n v="810"/>
    <n v="0"/>
    <n v="-640"/>
    <n v="0"/>
    <n v="0"/>
    <n v="0"/>
    <n v="0"/>
    <n v="0"/>
    <n v="0"/>
    <n v="0"/>
    <n v="0"/>
    <n v="0"/>
    <n v="0"/>
    <n v="5"/>
    <x v="0"/>
    <n v="93"/>
  </r>
  <r>
    <s v="HBB 3P"/>
    <x v="11"/>
    <x v="10"/>
    <n v="10"/>
    <n v="32"/>
    <n v="145"/>
    <n v="113"/>
    <x v="81"/>
    <n v="13"/>
    <n v="1469"/>
    <n v="10"/>
    <n v="1034"/>
    <n v="0"/>
    <n v="0"/>
    <n v="0"/>
    <n v="0"/>
    <n v="0"/>
    <n v="0"/>
    <n v="0"/>
    <n v="0"/>
    <n v="0"/>
    <n v="0"/>
    <n v="23"/>
    <x v="0"/>
    <n v="96"/>
  </r>
  <r>
    <s v="HBB 3PL"/>
    <x v="12"/>
    <x v="10"/>
    <n v="5.5"/>
    <n v="17.600000000000001"/>
    <n v="99"/>
    <n v="81.400000000000006"/>
    <x v="82"/>
    <n v="13"/>
    <n v="1058.2"/>
    <n v="10"/>
    <n v="761.2"/>
    <n v="0"/>
    <n v="0"/>
    <n v="0"/>
    <n v="0"/>
    <n v="0"/>
    <n v="0"/>
    <n v="0"/>
    <n v="0"/>
    <n v="0"/>
    <n v="0"/>
    <n v="23"/>
    <x v="0"/>
    <n v="93"/>
  </r>
  <r>
    <s v="CUH 2P"/>
    <x v="19"/>
    <x v="10"/>
    <n v="7"/>
    <n v="22.400000000000002"/>
    <n v="90"/>
    <n v="67.599999999999994"/>
    <x v="41"/>
    <n v="25"/>
    <n v="1690"/>
    <n v="0"/>
    <n v="-560"/>
    <n v="0"/>
    <n v="0"/>
    <n v="0"/>
    <n v="0"/>
    <n v="0"/>
    <n v="0"/>
    <n v="0"/>
    <n v="0"/>
    <n v="0"/>
    <n v="0"/>
    <n v="25"/>
    <x v="0"/>
    <n v="92"/>
  </r>
  <r>
    <s v="MSP 3P"/>
    <x v="21"/>
    <x v="10"/>
    <n v="55"/>
    <n v="176"/>
    <n v="510"/>
    <n v="334"/>
    <x v="63"/>
    <n v="33"/>
    <n v="11022"/>
    <n v="15"/>
    <n v="1842"/>
    <n v="0"/>
    <n v="0"/>
    <n v="0"/>
    <n v="0"/>
    <n v="0"/>
    <n v="0"/>
    <n v="0"/>
    <n v="0"/>
    <n v="0"/>
    <n v="0"/>
    <n v="48"/>
    <x v="0"/>
    <n v="98"/>
  </r>
  <r>
    <s v="BHV 5P"/>
    <x v="26"/>
    <x v="10"/>
    <n v="55"/>
    <n v="176"/>
    <n v="600"/>
    <n v="424"/>
    <x v="83"/>
    <n v="35"/>
    <n v="14840"/>
    <n v="14"/>
    <n v="2240"/>
    <n v="0"/>
    <n v="0"/>
    <n v="0"/>
    <n v="0"/>
    <n v="0"/>
    <n v="0"/>
    <n v="0"/>
    <n v="0"/>
    <n v="0"/>
    <n v="0"/>
    <n v="49"/>
    <x v="0"/>
    <n v="90"/>
  </r>
  <r>
    <s v="WBX 1PL"/>
    <x v="8"/>
    <x v="10"/>
    <n v="3.5"/>
    <n v="11.200000000000001"/>
    <n v="65"/>
    <n v="53.8"/>
    <x v="84"/>
    <n v="35"/>
    <n v="1883"/>
    <n v="0"/>
    <n v="-392.00000000000006"/>
    <n v="0"/>
    <n v="0"/>
    <n v="0"/>
    <n v="0"/>
    <n v="0"/>
    <n v="0"/>
    <n v="0"/>
    <n v="0"/>
    <n v="0"/>
    <n v="0"/>
    <n v="35"/>
    <x v="0"/>
    <n v="96"/>
  </r>
  <r>
    <s v="WBX 3PL"/>
    <x v="8"/>
    <x v="10"/>
    <n v="5.5"/>
    <n v="17.600000000000001"/>
    <n v="95"/>
    <n v="77.400000000000006"/>
    <x v="85"/>
    <n v="35"/>
    <n v="2709"/>
    <n v="0"/>
    <n v="-616"/>
    <n v="0"/>
    <n v="0"/>
    <n v="0"/>
    <n v="0"/>
    <n v="0"/>
    <n v="0"/>
    <n v="0"/>
    <n v="0"/>
    <n v="0"/>
    <n v="0"/>
    <n v="35"/>
    <x v="0"/>
    <n v="96"/>
  </r>
  <r>
    <s v="WBX 1P"/>
    <x v="8"/>
    <x v="10"/>
    <n v="8"/>
    <n v="25.6"/>
    <n v="80"/>
    <n v="54.4"/>
    <x v="86"/>
    <n v="35"/>
    <n v="1904"/>
    <n v="23"/>
    <n v="944"/>
    <n v="0"/>
    <n v="0"/>
    <n v="0"/>
    <n v="0"/>
    <n v="0"/>
    <n v="0"/>
    <n v="0"/>
    <n v="0"/>
    <n v="0"/>
    <n v="0"/>
    <n v="58"/>
    <x v="0"/>
    <n v="93"/>
  </r>
  <r>
    <s v="OVL 0P"/>
    <x v="47"/>
    <x v="10"/>
    <n v="30"/>
    <n v="96"/>
    <n v="120"/>
    <n v="24"/>
    <x v="87"/>
    <n v="42"/>
    <n v="1008"/>
    <n v="47"/>
    <n v="1608"/>
    <n v="12"/>
    <n v="288"/>
    <n v="7"/>
    <n v="168"/>
    <n v="71"/>
    <n v="1704"/>
    <n v="29"/>
    <n v="696"/>
    <n v="31"/>
    <n v="744"/>
    <n v="208"/>
    <x v="0"/>
    <n v="96"/>
  </r>
  <r>
    <s v="BHV 6P"/>
    <x v="25"/>
    <x v="10"/>
    <n v="65"/>
    <n v="208"/>
    <n v="700"/>
    <n v="492"/>
    <x v="60"/>
    <n v="53"/>
    <n v="26076"/>
    <n v="28"/>
    <n v="8576"/>
    <n v="0"/>
    <n v="0"/>
    <n v="0"/>
    <n v="0"/>
    <n v="0"/>
    <n v="0"/>
    <n v="0"/>
    <n v="0"/>
    <n v="0"/>
    <n v="0"/>
    <n v="81"/>
    <x v="0"/>
    <n v="93"/>
  </r>
  <r>
    <s v="FF 2P"/>
    <x v="23"/>
    <x v="10"/>
    <n v="40"/>
    <n v="128"/>
    <n v="399"/>
    <n v="271"/>
    <x v="62"/>
    <n v="55"/>
    <n v="14905"/>
    <n v="45"/>
    <n v="10915"/>
    <n v="0"/>
    <n v="0"/>
    <n v="0"/>
    <n v="0"/>
    <n v="0"/>
    <n v="0"/>
    <n v="0"/>
    <n v="0"/>
    <n v="0"/>
    <n v="0"/>
    <n v="100"/>
    <x v="0"/>
    <n v="98"/>
  </r>
  <r>
    <s v="WBX 3P"/>
    <x v="8"/>
    <x v="10"/>
    <n v="10"/>
    <n v="32"/>
    <n v="160"/>
    <n v="128"/>
    <x v="88"/>
    <n v="55"/>
    <n v="7040"/>
    <n v="0"/>
    <n v="-1760"/>
    <n v="0"/>
    <n v="0"/>
    <n v="0"/>
    <n v="0"/>
    <n v="0"/>
    <n v="0"/>
    <n v="0"/>
    <n v="0"/>
    <n v="0"/>
    <n v="0"/>
    <n v="55"/>
    <x v="0"/>
    <n v="99"/>
  </r>
  <r>
    <s v="OCT 0P"/>
    <x v="31"/>
    <x v="10"/>
    <n v="35"/>
    <n v="112"/>
    <n v="250"/>
    <n v="138"/>
    <x v="6"/>
    <n v="76"/>
    <n v="10488"/>
    <n v="55"/>
    <n v="5238"/>
    <n v="0"/>
    <n v="0"/>
    <n v="0"/>
    <n v="0"/>
    <n v="0"/>
    <n v="0"/>
    <n v="0"/>
    <n v="0"/>
    <n v="0"/>
    <n v="0"/>
    <n v="131"/>
    <x v="0"/>
    <n v="95"/>
  </r>
  <r>
    <s v="BBU 1P"/>
    <x v="39"/>
    <x v="10"/>
    <n v="6"/>
    <n v="19.200000000000003"/>
    <n v="55"/>
    <n v="35.799999999999997"/>
    <x v="89"/>
    <n v="530"/>
    <n v="18974"/>
    <n v="135"/>
    <n v="-2751.0000000000018"/>
    <n v="0"/>
    <n v="0"/>
    <n v="0"/>
    <n v="0"/>
    <n v="0"/>
    <n v="0"/>
    <n v="0"/>
    <n v="0"/>
    <n v="0"/>
    <n v="0"/>
    <n v="665"/>
    <x v="0"/>
    <n v="90"/>
  </r>
  <r>
    <s v="MSP 1P"/>
    <x v="0"/>
    <x v="11"/>
    <n v="40"/>
    <n v="120"/>
    <n v="250"/>
    <n v="130"/>
    <x v="51"/>
    <n v="0"/>
    <n v="0"/>
    <n v="5"/>
    <n v="1250"/>
    <n v="0"/>
    <n v="0"/>
    <n v="0"/>
    <n v="0"/>
    <n v="0"/>
    <n v="0"/>
    <n v="0"/>
    <n v="0"/>
    <n v="0"/>
    <n v="0"/>
    <n v="5"/>
    <x v="0"/>
    <n v="90"/>
  </r>
  <r>
    <s v="CUH 1P"/>
    <x v="19"/>
    <x v="11"/>
    <n v="5"/>
    <n v="15"/>
    <n v="49"/>
    <n v="34"/>
    <x v="52"/>
    <n v="1"/>
    <n v="34"/>
    <n v="0"/>
    <n v="-15"/>
    <n v="0"/>
    <n v="0"/>
    <n v="0"/>
    <n v="0"/>
    <n v="0"/>
    <n v="0"/>
    <n v="0"/>
    <n v="0"/>
    <n v="0"/>
    <n v="0"/>
    <n v="1"/>
    <x v="0"/>
    <n v="95"/>
  </r>
  <r>
    <s v="OCT 1P"/>
    <x v="5"/>
    <x v="11"/>
    <n v="40"/>
    <n v="120"/>
    <n v="260"/>
    <n v="140"/>
    <x v="90"/>
    <n v="1"/>
    <n v="140"/>
    <n v="0"/>
    <n v="-120"/>
    <n v="0"/>
    <n v="0"/>
    <n v="0"/>
    <n v="0"/>
    <n v="0"/>
    <n v="0"/>
    <n v="0"/>
    <n v="0"/>
    <n v="0"/>
    <n v="0"/>
    <n v="1"/>
    <x v="0"/>
    <n v="92"/>
  </r>
  <r>
    <s v="UTP 1P"/>
    <x v="42"/>
    <x v="11"/>
    <n v="4"/>
    <n v="12"/>
    <n v="55"/>
    <n v="43"/>
    <x v="47"/>
    <n v="5"/>
    <n v="215"/>
    <n v="0"/>
    <n v="-60"/>
    <n v="0"/>
    <n v="0"/>
    <n v="0"/>
    <n v="0"/>
    <n v="0"/>
    <n v="0"/>
    <n v="0"/>
    <n v="0"/>
    <n v="0"/>
    <n v="0"/>
    <n v="5"/>
    <x v="0"/>
    <n v="95"/>
  </r>
  <r>
    <s v="OVL 0P"/>
    <x v="47"/>
    <x v="11"/>
    <n v="30"/>
    <n v="90"/>
    <n v="120"/>
    <n v="30"/>
    <x v="57"/>
    <n v="5"/>
    <n v="150"/>
    <n v="0"/>
    <n v="-450"/>
    <n v="0"/>
    <n v="0"/>
    <n v="0"/>
    <n v="0"/>
    <n v="0"/>
    <n v="0"/>
    <n v="0"/>
    <n v="0"/>
    <n v="0"/>
    <n v="0"/>
    <n v="5"/>
    <x v="0"/>
    <n v="96"/>
  </r>
  <r>
    <s v="UTP 2P"/>
    <x v="42"/>
    <x v="11"/>
    <n v="5"/>
    <n v="15"/>
    <n v="70"/>
    <n v="55"/>
    <x v="66"/>
    <n v="23"/>
    <n v="1265"/>
    <n v="5"/>
    <n v="5"/>
    <n v="0"/>
    <n v="0"/>
    <n v="0"/>
    <n v="0"/>
    <n v="0"/>
    <n v="0"/>
    <n v="0"/>
    <n v="0"/>
    <n v="0"/>
    <n v="0"/>
    <n v="28"/>
    <x v="0"/>
    <n v="93"/>
  </r>
  <r>
    <s v="CAS 0P"/>
    <x v="45"/>
    <x v="11"/>
    <n v="7"/>
    <n v="21"/>
    <n v="40"/>
    <n v="19"/>
    <x v="77"/>
    <n v="135"/>
    <n v="2565"/>
    <n v="46"/>
    <n v="-995"/>
    <n v="0"/>
    <n v="0"/>
    <n v="0"/>
    <n v="0"/>
    <n v="0"/>
    <n v="0"/>
    <n v="0"/>
    <n v="0"/>
    <n v="0"/>
    <n v="0"/>
    <n v="181"/>
    <x v="0"/>
    <n v="95"/>
  </r>
  <r>
    <s v="MSP 1P"/>
    <x v="0"/>
    <x v="12"/>
    <n v="40"/>
    <n v="120"/>
    <n v="250"/>
    <n v="130"/>
    <x v="51"/>
    <n v="1"/>
    <n v="130"/>
    <n v="0"/>
    <n v="-120"/>
    <n v="0"/>
    <n v="0"/>
    <n v="0"/>
    <n v="0"/>
    <n v="0"/>
    <n v="0"/>
    <n v="0"/>
    <n v="0"/>
    <n v="0"/>
    <n v="0"/>
    <n v="1"/>
    <x v="0"/>
    <n v="100"/>
  </r>
  <r>
    <s v="OCT 2P"/>
    <x v="2"/>
    <x v="12"/>
    <n v="47"/>
    <n v="141"/>
    <n v="340"/>
    <n v="199"/>
    <x v="91"/>
    <n v="1"/>
    <n v="199"/>
    <n v="0"/>
    <n v="-141"/>
    <n v="0"/>
    <n v="0"/>
    <n v="0"/>
    <n v="0"/>
    <n v="0"/>
    <n v="0"/>
    <n v="0"/>
    <n v="0"/>
    <n v="0"/>
    <n v="0"/>
    <n v="1"/>
    <x v="0"/>
    <n v="91"/>
  </r>
  <r>
    <s v="OCT 3P"/>
    <x v="7"/>
    <x v="12"/>
    <n v="55"/>
    <n v="165"/>
    <n v="470"/>
    <n v="305"/>
    <x v="92"/>
    <n v="2"/>
    <n v="610"/>
    <n v="0"/>
    <n v="-330"/>
    <n v="0"/>
    <n v="0"/>
    <n v="0"/>
    <n v="0"/>
    <n v="0"/>
    <n v="0"/>
    <n v="0"/>
    <n v="0"/>
    <n v="0"/>
    <n v="0"/>
    <n v="2"/>
    <x v="0"/>
    <n v="96"/>
  </r>
  <r>
    <s v="WBX 0P"/>
    <x v="8"/>
    <x v="12"/>
    <n v="6"/>
    <n v="18"/>
    <n v="70"/>
    <n v="52"/>
    <x v="50"/>
    <n v="3"/>
    <n v="156"/>
    <n v="0"/>
    <n v="-54"/>
    <n v="0"/>
    <n v="0"/>
    <n v="0"/>
    <n v="0"/>
    <n v="0"/>
    <n v="0"/>
    <n v="0"/>
    <n v="0"/>
    <n v="0"/>
    <n v="0"/>
    <n v="3"/>
    <x v="0"/>
    <n v="94"/>
  </r>
  <r>
    <s v="MSP 2P"/>
    <x v="4"/>
    <x v="12"/>
    <n v="47"/>
    <n v="141"/>
    <n v="370"/>
    <n v="229"/>
    <x v="55"/>
    <n v="3"/>
    <n v="687"/>
    <n v="0"/>
    <n v="-423"/>
    <n v="0"/>
    <n v="0"/>
    <n v="0"/>
    <n v="0"/>
    <n v="0"/>
    <n v="0"/>
    <n v="0"/>
    <n v="0"/>
    <n v="0"/>
    <n v="0"/>
    <n v="3"/>
    <x v="0"/>
    <n v="97"/>
  </r>
  <r>
    <s v="WBX 1PL"/>
    <x v="8"/>
    <x v="12"/>
    <n v="3.5"/>
    <n v="10.5"/>
    <n v="50"/>
    <n v="39.5"/>
    <x v="65"/>
    <n v="5"/>
    <n v="197.5"/>
    <n v="0"/>
    <n v="-52.5"/>
    <n v="0"/>
    <n v="0"/>
    <n v="0"/>
    <n v="0"/>
    <n v="0"/>
    <n v="0"/>
    <n v="0"/>
    <n v="0"/>
    <n v="0"/>
    <n v="0"/>
    <n v="5"/>
    <x v="0"/>
    <n v="92"/>
  </r>
  <r>
    <s v="HBB 3P"/>
    <x v="11"/>
    <x v="12"/>
    <n v="10"/>
    <n v="30"/>
    <n v="145"/>
    <n v="115"/>
    <x v="53"/>
    <n v="10"/>
    <n v="1150"/>
    <n v="0"/>
    <n v="-300"/>
    <n v="0"/>
    <n v="0"/>
    <n v="0"/>
    <n v="0"/>
    <n v="0"/>
    <n v="0"/>
    <n v="0"/>
    <n v="0"/>
    <n v="0"/>
    <n v="0"/>
    <n v="10"/>
    <x v="0"/>
    <n v="94"/>
  </r>
  <r>
    <s v="HBB 3PL"/>
    <x v="12"/>
    <x v="12"/>
    <n v="5.5"/>
    <n v="16.5"/>
    <n v="85"/>
    <n v="68.5"/>
    <x v="93"/>
    <n v="10"/>
    <n v="685"/>
    <n v="0"/>
    <n v="-165"/>
    <n v="0"/>
    <n v="0"/>
    <n v="0"/>
    <n v="0"/>
    <n v="0"/>
    <n v="0"/>
    <n v="0"/>
    <n v="0"/>
    <n v="0"/>
    <n v="0"/>
    <n v="10"/>
    <x v="0"/>
    <n v="100"/>
  </r>
  <r>
    <s v="MSP 4P"/>
    <x v="1"/>
    <x v="12"/>
    <n v="60"/>
    <n v="180"/>
    <n v="589"/>
    <n v="409"/>
    <x v="94"/>
    <n v="10"/>
    <n v="4090"/>
    <n v="0"/>
    <n v="-1800"/>
    <n v="0"/>
    <n v="0"/>
    <n v="0"/>
    <n v="0"/>
    <n v="0"/>
    <n v="0"/>
    <n v="0"/>
    <n v="0"/>
    <n v="0"/>
    <n v="0"/>
    <n v="10"/>
    <x v="0"/>
    <n v="90"/>
  </r>
  <r>
    <s v="HBB 1PL"/>
    <x v="11"/>
    <x v="12"/>
    <n v="3.5"/>
    <n v="10.5"/>
    <n v="45"/>
    <n v="34.5"/>
    <x v="95"/>
    <n v="24"/>
    <n v="828"/>
    <n v="0"/>
    <n v="-252"/>
    <n v="0"/>
    <n v="0"/>
    <n v="0"/>
    <n v="0"/>
    <n v="0"/>
    <n v="0"/>
    <n v="0"/>
    <n v="0"/>
    <n v="0"/>
    <n v="0"/>
    <n v="24"/>
    <x v="0"/>
    <n v="91"/>
  </r>
  <r>
    <s v="MSP 3P"/>
    <x v="21"/>
    <x v="12"/>
    <n v="55"/>
    <n v="165"/>
    <n v="400"/>
    <n v="235"/>
    <x v="96"/>
    <n v="25"/>
    <n v="5875"/>
    <n v="30"/>
    <n v="7875"/>
    <n v="23"/>
    <n v="5405"/>
    <n v="22"/>
    <n v="5170"/>
    <n v="35"/>
    <n v="8225"/>
    <n v="135"/>
    <n v="31725"/>
    <n v="142"/>
    <n v="33370"/>
    <n v="270"/>
    <x v="0"/>
    <n v="95"/>
  </r>
  <r>
    <s v="HBB 2PL"/>
    <x v="11"/>
    <x v="12"/>
    <n v="4.5"/>
    <n v="13.5"/>
    <n v="50"/>
    <n v="36.5"/>
    <x v="97"/>
    <n v="40"/>
    <n v="1460"/>
    <n v="33"/>
    <n v="1110"/>
    <n v="45"/>
    <n v="1642.5"/>
    <n v="20"/>
    <n v="730"/>
    <n v="15"/>
    <n v="547.5"/>
    <n v="55"/>
    <n v="2007.5"/>
    <n v="46"/>
    <n v="1679"/>
    <n v="208"/>
    <x v="0"/>
    <n v="100"/>
  </r>
  <r>
    <s v="CUH 2P"/>
    <x v="19"/>
    <x v="12"/>
    <n v="7"/>
    <n v="21"/>
    <n v="79"/>
    <n v="58"/>
    <x v="49"/>
    <n v="40"/>
    <n v="2320"/>
    <n v="32"/>
    <n v="1688"/>
    <n v="45"/>
    <n v="2610"/>
    <n v="13"/>
    <n v="754"/>
    <n v="25"/>
    <n v="1450"/>
    <n v="66"/>
    <n v="3828"/>
    <n v="45"/>
    <n v="2610"/>
    <n v="221"/>
    <x v="0"/>
    <n v="92"/>
  </r>
  <r>
    <s v="WBX 3P"/>
    <x v="8"/>
    <x v="12"/>
    <n v="10"/>
    <n v="30"/>
    <n v="145"/>
    <n v="115"/>
    <x v="53"/>
    <n v="45"/>
    <n v="5175"/>
    <n v="35"/>
    <n v="3725"/>
    <n v="30"/>
    <n v="3450"/>
    <n v="20"/>
    <n v="2300"/>
    <n v="15"/>
    <n v="1725"/>
    <n v="50"/>
    <n v="5750"/>
    <n v="45"/>
    <n v="5175"/>
    <n v="195"/>
    <x v="0"/>
    <n v="100"/>
  </r>
  <r>
    <s v="BHV 5P"/>
    <x v="26"/>
    <x v="12"/>
    <n v="55"/>
    <n v="165"/>
    <n v="600"/>
    <n v="435"/>
    <x v="98"/>
    <n v="66"/>
    <n v="28710"/>
    <n v="35"/>
    <n v="10110"/>
    <n v="12"/>
    <n v="5220"/>
    <n v="15"/>
    <n v="6525"/>
    <n v="33"/>
    <n v="14355"/>
    <n v="50"/>
    <n v="21750"/>
    <n v="45"/>
    <n v="19575"/>
    <n v="211"/>
    <x v="0"/>
    <n v="94"/>
  </r>
  <r>
    <s v="CUH 1P"/>
    <x v="19"/>
    <x v="12"/>
    <n v="5"/>
    <n v="15"/>
    <n v="49"/>
    <n v="34"/>
    <x v="52"/>
    <n v="68"/>
    <n v="2312"/>
    <n v="55"/>
    <n v="1675"/>
    <n v="20"/>
    <n v="680"/>
    <n v="25"/>
    <n v="850"/>
    <n v="30"/>
    <n v="1020"/>
    <n v="44"/>
    <n v="1496"/>
    <n v="10"/>
    <n v="340"/>
    <n v="242"/>
    <x v="0"/>
    <n v="93"/>
  </r>
  <r>
    <s v="CHB 2P"/>
    <x v="27"/>
    <x v="12"/>
    <n v="5"/>
    <n v="15"/>
    <n v="66"/>
    <n v="51"/>
    <x v="48"/>
    <n v="87"/>
    <n v="4437"/>
    <n v="65"/>
    <n v="2985"/>
    <n v="50"/>
    <n v="2550"/>
    <n v="67"/>
    <n v="3417"/>
    <n v="50"/>
    <n v="2550"/>
    <n v="35"/>
    <n v="1785"/>
    <n v="55"/>
    <n v="2805"/>
    <n v="354"/>
    <x v="0"/>
    <n v="91"/>
  </r>
  <r>
    <s v="HBB 1P"/>
    <x v="11"/>
    <x v="12"/>
    <n v="8"/>
    <n v="24"/>
    <n v="75"/>
    <n v="51"/>
    <x v="99"/>
    <n v="135"/>
    <n v="6885"/>
    <n v="100"/>
    <n v="4260"/>
    <n v="87"/>
    <n v="4437"/>
    <n v="15"/>
    <n v="765"/>
    <n v="57"/>
    <n v="2907"/>
    <n v="180"/>
    <n v="9180"/>
    <n v="167"/>
    <n v="8517"/>
    <n v="574"/>
    <x v="0"/>
    <n v="100"/>
  </r>
  <r>
    <s v="BHV 6P"/>
    <x v="25"/>
    <x v="12"/>
    <n v="65"/>
    <n v="195"/>
    <n v="650"/>
    <n v="455"/>
    <x v="11"/>
    <n v="158"/>
    <n v="71890"/>
    <n v="113"/>
    <n v="42640"/>
    <n v="250"/>
    <n v="113750"/>
    <n v="0"/>
    <n v="0"/>
    <n v="0"/>
    <n v="0"/>
    <n v="0"/>
    <n v="0"/>
    <n v="0"/>
    <n v="0"/>
    <n v="521"/>
    <x v="0"/>
    <n v="97"/>
  </r>
  <r>
    <s v="CNS 1PL"/>
    <x v="35"/>
    <x v="12"/>
    <n v="5"/>
    <n v="15"/>
    <n v="85"/>
    <n v="70"/>
    <x v="100"/>
    <n v="180"/>
    <n v="12600"/>
    <n v="0"/>
    <n v="-2700"/>
    <n v="0"/>
    <n v="0"/>
    <n v="0"/>
    <n v="0"/>
    <n v="0"/>
    <n v="0"/>
    <n v="0"/>
    <n v="0"/>
    <n v="0"/>
    <n v="0"/>
    <n v="180"/>
    <x v="0"/>
    <n v="98"/>
  </r>
  <r>
    <s v="WBX 1P"/>
    <x v="8"/>
    <x v="12"/>
    <n v="8"/>
    <n v="24"/>
    <n v="80"/>
    <n v="56"/>
    <x v="11"/>
    <n v="189"/>
    <n v="10584"/>
    <n v="144"/>
    <n v="6984"/>
    <n v="64"/>
    <n v="3584"/>
    <n v="0"/>
    <n v="0"/>
    <n v="87"/>
    <n v="4872"/>
    <n v="153"/>
    <n v="8568"/>
    <n v="145"/>
    <n v="8120"/>
    <n v="637"/>
    <x v="0"/>
    <n v="98"/>
  </r>
  <r>
    <s v="WBX 3PL"/>
    <x v="8"/>
    <x v="12"/>
    <n v="5.5"/>
    <n v="16.5"/>
    <n v="80"/>
    <n v="63.5"/>
    <x v="101"/>
    <n v="200"/>
    <n v="12700"/>
    <n v="45"/>
    <n v="300"/>
    <n v="5"/>
    <n v="317.5"/>
    <n v="0"/>
    <n v="0"/>
    <n v="0"/>
    <n v="0"/>
    <n v="0"/>
    <n v="0"/>
    <n v="0"/>
    <n v="0"/>
    <n v="250"/>
    <x v="0"/>
    <n v="92"/>
  </r>
  <r>
    <s v="OCT 0P"/>
    <x v="31"/>
    <x v="12"/>
    <n v="35"/>
    <n v="105"/>
    <n v="250"/>
    <n v="145"/>
    <x v="16"/>
    <n v="230"/>
    <n v="33350"/>
    <n v="187"/>
    <n v="22600"/>
    <n v="135"/>
    <n v="19575"/>
    <n v="87"/>
    <n v="12615"/>
    <n v="53"/>
    <n v="7685"/>
    <n v="235"/>
    <n v="34075"/>
    <n v="200"/>
    <n v="29000"/>
    <n v="927"/>
    <x v="0"/>
    <n v="96"/>
  </r>
  <r>
    <s v="HBB 2P"/>
    <x v="11"/>
    <x v="12"/>
    <n v="9"/>
    <n v="27"/>
    <n v="55"/>
    <n v="28"/>
    <x v="102"/>
    <n v="230"/>
    <n v="6440"/>
    <n v="185"/>
    <n v="3965"/>
    <n v="74"/>
    <n v="2072"/>
    <n v="67"/>
    <n v="1876"/>
    <n v="55"/>
    <n v="1540"/>
    <n v="80"/>
    <n v="2240"/>
    <n v="250"/>
    <n v="7000"/>
    <n v="691"/>
    <x v="0"/>
    <n v="90"/>
  </r>
  <r>
    <s v="CHB 1P"/>
    <x v="27"/>
    <x v="12"/>
    <n v="5"/>
    <n v="15"/>
    <n v="45"/>
    <n v="30"/>
    <x v="58"/>
    <n v="342"/>
    <n v="10260"/>
    <n v="280"/>
    <n v="7470"/>
    <n v="133"/>
    <n v="3990"/>
    <n v="200"/>
    <n v="6000"/>
    <n v="187"/>
    <n v="5610"/>
    <n v="850"/>
    <n v="25500"/>
    <n v="345"/>
    <n v="10350"/>
    <n v="1992"/>
    <x v="0"/>
    <n v="94"/>
  </r>
  <r>
    <s v="BBU 0P"/>
    <x v="30"/>
    <x v="12"/>
    <n v="7.5"/>
    <n v="22.5"/>
    <n v="70"/>
    <n v="47.5"/>
    <x v="56"/>
    <n v="360"/>
    <n v="17100"/>
    <n v="245"/>
    <n v="9050"/>
    <n v="133"/>
    <n v="6317.5"/>
    <n v="88"/>
    <n v="4180"/>
    <n v="10"/>
    <n v="475"/>
    <n v="0"/>
    <n v="0"/>
    <n v="0"/>
    <n v="0"/>
    <n v="836"/>
    <x v="0"/>
    <n v="99"/>
  </r>
  <r>
    <s v="UTP 2PL"/>
    <x v="36"/>
    <x v="12"/>
    <n v="3.5"/>
    <n v="10.5"/>
    <n v="35"/>
    <n v="24.5"/>
    <x v="11"/>
    <n v="433"/>
    <n v="10608.5"/>
    <n v="350"/>
    <n v="7703.5"/>
    <n v="235"/>
    <n v="5757.5"/>
    <n v="170"/>
    <n v="4165"/>
    <n v="55"/>
    <n v="1347.5"/>
    <n v="135"/>
    <n v="3307.5"/>
    <n v="120"/>
    <n v="2940"/>
    <n v="1378"/>
    <x v="0"/>
    <n v="99"/>
  </r>
  <r>
    <s v="TES 0P"/>
    <x v="49"/>
    <x v="12"/>
    <n v="6"/>
    <n v="18"/>
    <n v="60"/>
    <n v="42"/>
    <x v="11"/>
    <n v="444"/>
    <n v="18648"/>
    <n v="294"/>
    <n v="9648"/>
    <n v="180"/>
    <n v="7560"/>
    <n v="222"/>
    <n v="9324"/>
    <n v="493"/>
    <n v="20706"/>
    <n v="450"/>
    <n v="18900"/>
    <n v="0"/>
    <n v="0"/>
    <n v="2083"/>
    <x v="0"/>
    <n v="96"/>
  </r>
  <r>
    <s v="BBU 1P"/>
    <x v="39"/>
    <x v="12"/>
    <n v="6"/>
    <n v="18"/>
    <n v="50"/>
    <n v="32"/>
    <x v="103"/>
    <n v="450"/>
    <n v="14400"/>
    <n v="300"/>
    <n v="6900"/>
    <n v="230"/>
    <n v="7360"/>
    <n v="200"/>
    <n v="6400"/>
    <n v="225"/>
    <n v="7200"/>
    <n v="705"/>
    <n v="22560"/>
    <n v="680"/>
    <n v="21760"/>
    <n v="2110"/>
    <x v="0"/>
    <n v="92"/>
  </r>
  <r>
    <s v="UTP 1PL"/>
    <x v="36"/>
    <x v="12"/>
    <n v="3.5"/>
    <n v="10.5"/>
    <n v="35"/>
    <n v="24.5"/>
    <x v="11"/>
    <n v="530"/>
    <n v="12985"/>
    <n v="480"/>
    <n v="11235"/>
    <n v="257"/>
    <n v="6296.5"/>
    <n v="200"/>
    <n v="4900"/>
    <n v="230"/>
    <n v="5635"/>
    <n v="580"/>
    <n v="14210"/>
    <n v="578"/>
    <n v="14161"/>
    <n v="2277"/>
    <x v="0"/>
    <n v="95"/>
  </r>
  <r>
    <s v="CAS 1P"/>
    <x v="43"/>
    <x v="12"/>
    <n v="5"/>
    <n v="15"/>
    <n v="50"/>
    <n v="35"/>
    <x v="11"/>
    <n v="860"/>
    <n v="30100"/>
    <n v="744"/>
    <n v="24300"/>
    <n v="343"/>
    <n v="12005"/>
    <n v="320"/>
    <n v="11200"/>
    <n v="287"/>
    <n v="10045"/>
    <n v="680"/>
    <n v="23800"/>
    <n v="623"/>
    <n v="21805"/>
    <n v="3234"/>
    <x v="0"/>
    <n v="96"/>
  </r>
  <r>
    <s v="UTP 2P"/>
    <x v="42"/>
    <x v="12"/>
    <n v="5"/>
    <n v="15"/>
    <n v="70"/>
    <n v="55"/>
    <x v="66"/>
    <n v="890"/>
    <n v="48950"/>
    <n v="765"/>
    <n v="40200"/>
    <n v="521"/>
    <n v="28655"/>
    <n v="220"/>
    <n v="12100"/>
    <n v="349"/>
    <n v="19195"/>
    <n v="1385"/>
    <n v="76175"/>
    <n v="1290"/>
    <n v="70950"/>
    <n v="4130"/>
    <x v="0"/>
    <n v="93"/>
  </r>
  <r>
    <s v="CAS 0P"/>
    <x v="50"/>
    <x v="12"/>
    <n v="7"/>
    <n v="21"/>
    <n v="40"/>
    <n v="19"/>
    <x v="77"/>
    <n v="1300"/>
    <n v="24700"/>
    <n v="1250"/>
    <n v="22700"/>
    <n v="800"/>
    <n v="15200"/>
    <n v="750"/>
    <n v="14250"/>
    <n v="1200"/>
    <n v="22800"/>
    <n v="2050"/>
    <n v="38950"/>
    <n v="1980"/>
    <n v="37620"/>
    <n v="7350"/>
    <x v="0"/>
    <n v="97"/>
  </r>
  <r>
    <s v="BBU 1PL"/>
    <x v="41"/>
    <x v="12"/>
    <n v="3.5"/>
    <n v="10.5"/>
    <n v="35"/>
    <n v="24.5"/>
    <x v="11"/>
    <n v="1350"/>
    <n v="33075"/>
    <n v="1200"/>
    <n v="27825"/>
    <n v="567"/>
    <n v="13891.5"/>
    <n v="200"/>
    <n v="4900"/>
    <n v="540"/>
    <n v="13230"/>
    <n v="1250"/>
    <n v="30625"/>
    <n v="890"/>
    <n v="21805"/>
    <n v="5107"/>
    <x v="0"/>
    <n v="91"/>
  </r>
  <r>
    <s v="UTP 1P"/>
    <x v="42"/>
    <x v="12"/>
    <n v="4"/>
    <n v="12"/>
    <n v="55"/>
    <n v="43"/>
    <x v="47"/>
    <n v="1450"/>
    <n v="62350"/>
    <n v="834"/>
    <n v="28470"/>
    <n v="620"/>
    <n v="26660"/>
    <n v="348"/>
    <n v="14964"/>
    <n v="930"/>
    <n v="39990"/>
    <n v="870"/>
    <n v="37410"/>
    <n v="850"/>
    <n v="36550"/>
    <n v="5052"/>
    <x v="0"/>
    <n v="96"/>
  </r>
  <r>
    <s v="CNS 1P"/>
    <x v="44"/>
    <x v="12"/>
    <n v="7"/>
    <n v="21"/>
    <n v="55"/>
    <n v="34"/>
    <x v="67"/>
    <n v="1578"/>
    <n v="53652"/>
    <n v="1450"/>
    <n v="46612"/>
    <n v="1135"/>
    <n v="38590"/>
    <n v="957"/>
    <n v="32538"/>
    <n v="2300"/>
    <n v="78200"/>
    <n v="2780"/>
    <n v="94520"/>
    <n v="2800"/>
    <n v="95200"/>
    <n v="10200"/>
    <x v="0"/>
    <n v="95"/>
  </r>
  <r>
    <s v="J-WINBOX-LG"/>
    <x v="51"/>
    <x v="13"/>
    <n v="9"/>
    <n v="27"/>
    <n v="64"/>
    <n v="37"/>
    <x v="104"/>
    <n v="7"/>
    <n v="259"/>
    <n v="25"/>
    <n v="1411"/>
    <n v="25"/>
    <n v="925"/>
    <n v="0"/>
    <n v="0"/>
    <n v="0"/>
    <n v="0"/>
    <n v="0"/>
    <n v="0"/>
    <n v="0"/>
    <n v="0"/>
    <n v="57"/>
    <x v="1"/>
    <n v="99"/>
  </r>
  <r>
    <s v="J-VG40"/>
    <x v="52"/>
    <x v="13"/>
    <n v="13"/>
    <n v="39"/>
    <n v="75"/>
    <n v="36"/>
    <x v="105"/>
    <n v="13"/>
    <n v="468"/>
    <n v="0"/>
    <n v="-507"/>
    <n v="0"/>
    <n v="0"/>
    <n v="0"/>
    <n v="0"/>
    <n v="0"/>
    <n v="0"/>
    <n v="0"/>
    <n v="0"/>
    <n v="0"/>
    <n v="0"/>
    <n v="13"/>
    <x v="1"/>
    <n v="99"/>
  </r>
  <r>
    <s v="J-VG50"/>
    <x v="52"/>
    <x v="13"/>
    <n v="15"/>
    <n v="45"/>
    <n v="88"/>
    <n v="43"/>
    <x v="106"/>
    <n v="18"/>
    <n v="774"/>
    <n v="0"/>
    <n v="-810"/>
    <n v="0"/>
    <n v="0"/>
    <n v="0"/>
    <n v="0"/>
    <n v="0"/>
    <n v="0"/>
    <n v="0"/>
    <n v="0"/>
    <n v="0"/>
    <n v="0"/>
    <n v="18"/>
    <x v="1"/>
    <n v="90"/>
  </r>
  <r>
    <s v="J-S75-AG"/>
    <x v="53"/>
    <x v="13"/>
    <n v="11"/>
    <n v="33"/>
    <n v="60"/>
    <n v="27"/>
    <x v="107"/>
    <n v="24"/>
    <n v="648"/>
    <n v="21"/>
    <n v="468"/>
    <n v="3"/>
    <n v="81"/>
    <n v="0"/>
    <n v="0"/>
    <n v="0"/>
    <n v="0"/>
    <n v="0"/>
    <n v="0"/>
    <n v="0"/>
    <n v="0"/>
    <n v="48"/>
    <x v="1"/>
    <n v="94"/>
  </r>
  <r>
    <s v="J-TS4070"/>
    <x v="54"/>
    <x v="13"/>
    <n v="15"/>
    <n v="45"/>
    <n v="50"/>
    <n v="5"/>
    <x v="108"/>
    <n v="35"/>
    <n v="175"/>
    <n v="85"/>
    <n v="2675"/>
    <n v="5"/>
    <n v="25"/>
    <n v="0"/>
    <n v="0"/>
    <n v="0"/>
    <n v="0"/>
    <n v="0"/>
    <n v="0"/>
    <n v="0"/>
    <n v="0"/>
    <n v="125"/>
    <x v="1"/>
    <n v="93"/>
  </r>
  <r>
    <s v="J-TV6084-RBL"/>
    <x v="55"/>
    <x v="13"/>
    <n v="12"/>
    <n v="36"/>
    <n v="79"/>
    <n v="43"/>
    <x v="109"/>
    <n v="35"/>
    <n v="1505"/>
    <n v="35"/>
    <n v="1505"/>
    <n v="5"/>
    <n v="215"/>
    <n v="0"/>
    <n v="0"/>
    <n v="0"/>
    <n v="0"/>
    <n v="0"/>
    <n v="0"/>
    <n v="0"/>
    <n v="0"/>
    <n v="75"/>
    <x v="1"/>
    <n v="92"/>
  </r>
  <r>
    <s v="J-TS4056"/>
    <x v="54"/>
    <x v="13"/>
    <n v="15"/>
    <n v="45"/>
    <n v="48"/>
    <n v="3"/>
    <x v="110"/>
    <n v="54"/>
    <n v="162"/>
    <n v="0"/>
    <n v="-2430"/>
    <n v="0"/>
    <n v="0"/>
    <n v="0"/>
    <n v="0"/>
    <n v="0"/>
    <n v="0"/>
    <n v="0"/>
    <n v="0"/>
    <n v="0"/>
    <n v="0"/>
    <n v="54"/>
    <x v="1"/>
    <n v="100"/>
  </r>
  <r>
    <s v="J-C65"/>
    <x v="3"/>
    <x v="13"/>
    <n v="20"/>
    <n v="60"/>
    <n v="60"/>
    <n v="0"/>
    <x v="111"/>
    <n v="55"/>
    <n v="0"/>
    <n v="35"/>
    <n v="-1200"/>
    <n v="7"/>
    <n v="0"/>
    <n v="0"/>
    <n v="0"/>
    <n v="0"/>
    <n v="0"/>
    <n v="0"/>
    <n v="0"/>
    <n v="0"/>
    <n v="0"/>
    <n v="97"/>
    <x v="1"/>
    <n v="100"/>
  </r>
  <r>
    <s v="J-C45-T2"/>
    <x v="3"/>
    <x v="13"/>
    <n v="17"/>
    <n v="51"/>
    <n v="40"/>
    <n v="-11"/>
    <x v="112"/>
    <n v="60"/>
    <n v="-660"/>
    <n v="5"/>
    <n v="-2860"/>
    <n v="1"/>
    <n v="-11"/>
    <n v="0"/>
    <n v="0"/>
    <n v="0"/>
    <n v="0"/>
    <n v="0"/>
    <n v="0"/>
    <n v="0"/>
    <n v="0"/>
    <n v="66"/>
    <x v="1"/>
    <n v="99"/>
  </r>
  <r>
    <s v="J-TV5070"/>
    <x v="55"/>
    <x v="13"/>
    <n v="10"/>
    <n v="30"/>
    <n v="73"/>
    <n v="43"/>
    <x v="113"/>
    <n v="70"/>
    <n v="3010"/>
    <n v="7"/>
    <n v="-1589"/>
    <n v="0"/>
    <n v="0"/>
    <n v="0"/>
    <n v="0"/>
    <n v="0"/>
    <n v="0"/>
    <n v="0"/>
    <n v="0"/>
    <n v="0"/>
    <n v="0"/>
    <n v="77"/>
    <x v="1"/>
    <n v="90"/>
  </r>
  <r>
    <s v="J-R65"/>
    <x v="56"/>
    <x v="13"/>
    <n v="5"/>
    <n v="15"/>
    <n v="45"/>
    <n v="30"/>
    <x v="58"/>
    <n v="79"/>
    <n v="2370"/>
    <n v="29"/>
    <n v="120"/>
    <n v="0"/>
    <n v="0"/>
    <n v="0"/>
    <n v="0"/>
    <n v="0"/>
    <n v="0"/>
    <n v="0"/>
    <n v="0"/>
    <n v="0"/>
    <n v="0"/>
    <n v="108"/>
    <x v="1"/>
    <n v="95"/>
  </r>
  <r>
    <s v="J-S40"/>
    <x v="53"/>
    <x v="13"/>
    <n v="5"/>
    <n v="15"/>
    <n v="32"/>
    <n v="17"/>
    <x v="114"/>
    <n v="82"/>
    <n v="1394"/>
    <n v="33"/>
    <n v="-174"/>
    <n v="20"/>
    <n v="340"/>
    <n v="0"/>
    <n v="0"/>
    <n v="0"/>
    <n v="0"/>
    <n v="0"/>
    <n v="0"/>
    <n v="0"/>
    <n v="0"/>
    <n v="135"/>
    <x v="1"/>
    <n v="92"/>
  </r>
  <r>
    <s v="J-S60"/>
    <x v="53"/>
    <x v="13"/>
    <n v="8"/>
    <n v="24"/>
    <n v="51"/>
    <n v="27"/>
    <x v="115"/>
    <n v="90"/>
    <n v="2430"/>
    <n v="35"/>
    <n v="-375"/>
    <n v="15"/>
    <n v="405"/>
    <n v="0"/>
    <n v="0"/>
    <n v="0"/>
    <n v="0"/>
    <n v="0"/>
    <n v="0"/>
    <n v="0"/>
    <n v="0"/>
    <n v="140"/>
    <x v="1"/>
    <n v="100"/>
  </r>
  <r>
    <s v="J-TS3550"/>
    <x v="54"/>
    <x v="13"/>
    <n v="15"/>
    <n v="45"/>
    <n v="45"/>
    <n v="0"/>
    <x v="111"/>
    <n v="103"/>
    <n v="0"/>
    <n v="77"/>
    <n v="-1170"/>
    <n v="4"/>
    <n v="0"/>
    <n v="0"/>
    <n v="0"/>
    <n v="0"/>
    <n v="0"/>
    <n v="0"/>
    <n v="0"/>
    <n v="0"/>
    <n v="0"/>
    <n v="184"/>
    <x v="1"/>
    <n v="94"/>
  </r>
  <r>
    <s v="J-R120"/>
    <x v="56"/>
    <x v="13"/>
    <n v="15"/>
    <n v="45"/>
    <n v="77"/>
    <n v="32"/>
    <x v="116"/>
    <n v="109"/>
    <n v="3488"/>
    <n v="102"/>
    <n v="2949"/>
    <n v="32"/>
    <n v="1024"/>
    <n v="0"/>
    <n v="0"/>
    <n v="0"/>
    <n v="0"/>
    <n v="0"/>
    <n v="0"/>
    <n v="0"/>
    <n v="0"/>
    <n v="243"/>
    <x v="1"/>
    <n v="98"/>
  </r>
  <r>
    <s v="J-EPV40-DG"/>
    <x v="57"/>
    <x v="13"/>
    <n v="5"/>
    <n v="15"/>
    <n v="45"/>
    <n v="30"/>
    <x v="58"/>
    <n v="122"/>
    <n v="3660"/>
    <n v="91"/>
    <n v="2265"/>
    <n v="3"/>
    <n v="90"/>
    <n v="0"/>
    <n v="0"/>
    <n v="0"/>
    <n v="0"/>
    <n v="0"/>
    <n v="0"/>
    <n v="0"/>
    <n v="0"/>
    <n v="216"/>
    <x v="1"/>
    <n v="97"/>
  </r>
  <r>
    <s v="J-EPS40-DG"/>
    <x v="48"/>
    <x v="13"/>
    <n v="11"/>
    <n v="33"/>
    <n v="75"/>
    <n v="42"/>
    <x v="117"/>
    <n v="130"/>
    <n v="5460"/>
    <n v="77"/>
    <n v="1485"/>
    <n v="12"/>
    <n v="504"/>
    <n v="0"/>
    <n v="0"/>
    <n v="0"/>
    <n v="0"/>
    <n v="0"/>
    <n v="0"/>
    <n v="0"/>
    <n v="0"/>
    <n v="219"/>
    <x v="1"/>
    <n v="90"/>
  </r>
  <r>
    <s v="J-EPV75"/>
    <x v="57"/>
    <x v="13"/>
    <n v="17"/>
    <n v="51"/>
    <n v="90"/>
    <n v="39"/>
    <x v="118"/>
    <n v="133"/>
    <n v="5187"/>
    <n v="93"/>
    <n v="1587"/>
    <n v="8"/>
    <n v="312"/>
    <n v="0"/>
    <n v="0"/>
    <n v="0"/>
    <n v="0"/>
    <n v="0"/>
    <n v="0"/>
    <n v="0"/>
    <n v="0"/>
    <n v="234"/>
    <x v="1"/>
    <n v="95"/>
  </r>
  <r>
    <s v="J-C40"/>
    <x v="3"/>
    <x v="13"/>
    <n v="14"/>
    <n v="42"/>
    <n v="35"/>
    <n v="-7"/>
    <x v="119"/>
    <n v="134"/>
    <n v="-938"/>
    <n v="1"/>
    <n v="-5593"/>
    <n v="0"/>
    <n v="0"/>
    <n v="0"/>
    <n v="0"/>
    <n v="0"/>
    <n v="0"/>
    <n v="0"/>
    <n v="0"/>
    <n v="0"/>
    <n v="0"/>
    <n v="135"/>
    <x v="1"/>
    <n v="96"/>
  </r>
  <r>
    <s v="J-EPS50"/>
    <x v="48"/>
    <x v="13"/>
    <n v="15"/>
    <n v="45"/>
    <n v="60"/>
    <n v="15"/>
    <x v="57"/>
    <n v="135"/>
    <n v="2025"/>
    <n v="65"/>
    <n v="-2175"/>
    <n v="7"/>
    <n v="105"/>
    <n v="0"/>
    <n v="0"/>
    <n v="0"/>
    <n v="0"/>
    <n v="0"/>
    <n v="0"/>
    <n v="0"/>
    <n v="0"/>
    <n v="207"/>
    <x v="1"/>
    <n v="91"/>
  </r>
  <r>
    <s v="J-EPV60"/>
    <x v="57"/>
    <x v="13"/>
    <n v="13"/>
    <n v="39"/>
    <n v="75"/>
    <n v="36"/>
    <x v="105"/>
    <n v="147"/>
    <n v="5292"/>
    <n v="110"/>
    <n v="2517"/>
    <n v="17"/>
    <n v="612"/>
    <n v="0"/>
    <n v="0"/>
    <n v="0"/>
    <n v="0"/>
    <n v="0"/>
    <n v="0"/>
    <n v="0"/>
    <n v="0"/>
    <n v="274"/>
    <x v="1"/>
    <n v="91"/>
  </r>
  <r>
    <s v="J-V110-T2"/>
    <x v="58"/>
    <x v="13"/>
    <n v="15"/>
    <n v="45"/>
    <n v="85"/>
    <n v="40"/>
    <x v="120"/>
    <n v="150"/>
    <n v="6000"/>
    <n v="50"/>
    <n v="-2500"/>
    <n v="4"/>
    <n v="160"/>
    <n v="0"/>
    <n v="0"/>
    <n v="0"/>
    <n v="0"/>
    <n v="0"/>
    <n v="0"/>
    <n v="0"/>
    <n v="0"/>
    <n v="204"/>
    <x v="1"/>
    <n v="95"/>
  </r>
  <r>
    <s v="J-S50"/>
    <x v="53"/>
    <x v="13"/>
    <n v="7"/>
    <n v="21"/>
    <n v="45"/>
    <n v="24"/>
    <x v="121"/>
    <n v="153"/>
    <n v="3672"/>
    <n v="93"/>
    <n v="972"/>
    <n v="50"/>
    <n v="1200"/>
    <n v="0"/>
    <n v="0"/>
    <n v="0"/>
    <n v="0"/>
    <n v="0"/>
    <n v="0"/>
    <n v="0"/>
    <n v="0"/>
    <n v="296"/>
    <x v="1"/>
    <n v="93"/>
  </r>
  <r>
    <s v="J-R100"/>
    <x v="56"/>
    <x v="13"/>
    <n v="8"/>
    <n v="24"/>
    <n v="45"/>
    <n v="21"/>
    <x v="122"/>
    <n v="173"/>
    <n v="3633"/>
    <n v="91"/>
    <n v="-57"/>
    <n v="75"/>
    <n v="1575"/>
    <n v="0"/>
    <n v="0"/>
    <n v="0"/>
    <n v="0"/>
    <n v="0"/>
    <n v="0"/>
    <n v="0"/>
    <n v="0"/>
    <n v="339"/>
    <x v="1"/>
    <n v="91"/>
  </r>
  <r>
    <s v="J-EPV50-T2"/>
    <x v="57"/>
    <x v="13"/>
    <n v="10"/>
    <n v="30"/>
    <n v="59"/>
    <n v="29"/>
    <x v="123"/>
    <n v="194"/>
    <n v="5626"/>
    <n v="102"/>
    <n v="198"/>
    <n v="2"/>
    <n v="58"/>
    <n v="0"/>
    <n v="0"/>
    <n v="0"/>
    <n v="0"/>
    <n v="0"/>
    <n v="0"/>
    <n v="0"/>
    <n v="0"/>
    <n v="298"/>
    <x v="1"/>
    <n v="96"/>
  </r>
  <r>
    <s v="J-EPS60-AT"/>
    <x v="48"/>
    <x v="13"/>
    <n v="20"/>
    <n v="60"/>
    <n v="85"/>
    <n v="25"/>
    <x v="124"/>
    <n v="208"/>
    <n v="5200"/>
    <n v="83"/>
    <n v="-5425"/>
    <n v="20"/>
    <n v="500"/>
    <n v="0"/>
    <n v="0"/>
    <n v="0"/>
    <n v="0"/>
    <n v="0"/>
    <n v="0"/>
    <n v="0"/>
    <n v="0"/>
    <n v="311"/>
    <x v="1"/>
    <n v="94"/>
  </r>
  <r>
    <s v="J-V50"/>
    <x v="58"/>
    <x v="13"/>
    <n v="7"/>
    <n v="21"/>
    <n v="35"/>
    <n v="14"/>
    <x v="46"/>
    <n v="210"/>
    <n v="2940"/>
    <n v="172"/>
    <n v="1610"/>
    <n v="25"/>
    <n v="350"/>
    <n v="0"/>
    <n v="0"/>
    <n v="0"/>
    <n v="0"/>
    <n v="0"/>
    <n v="0"/>
    <n v="0"/>
    <n v="0"/>
    <n v="407"/>
    <x v="1"/>
    <n v="94"/>
  </r>
  <r>
    <s v="J-TS4590"/>
    <x v="54"/>
    <x v="13"/>
    <n v="15"/>
    <n v="45"/>
    <n v="50"/>
    <n v="5"/>
    <x v="108"/>
    <n v="235"/>
    <n v="1175"/>
    <n v="55"/>
    <n v="-7825"/>
    <n v="39"/>
    <n v="195"/>
    <n v="0"/>
    <n v="0"/>
    <n v="0"/>
    <n v="0"/>
    <n v="0"/>
    <n v="0"/>
    <n v="0"/>
    <n v="0"/>
    <n v="329"/>
    <x v="1"/>
    <n v="90"/>
  </r>
  <r>
    <s v="J-V40-PR"/>
    <x v="58"/>
    <x v="13"/>
    <n v="5"/>
    <n v="15"/>
    <n v="30"/>
    <n v="15"/>
    <x v="125"/>
    <n v="235"/>
    <n v="3525"/>
    <n v="160"/>
    <n v="1275"/>
    <n v="23"/>
    <n v="345"/>
    <n v="0"/>
    <n v="0"/>
    <n v="0"/>
    <n v="0"/>
    <n v="0"/>
    <n v="0"/>
    <n v="0"/>
    <n v="0"/>
    <n v="418"/>
    <x v="1"/>
    <n v="99"/>
  </r>
  <r>
    <s v="J-V85-PR"/>
    <x v="58"/>
    <x v="13"/>
    <n v="12"/>
    <n v="36"/>
    <n v="65"/>
    <n v="29"/>
    <x v="126"/>
    <n v="240"/>
    <n v="6960"/>
    <n v="170"/>
    <n v="2410"/>
    <n v="15"/>
    <n v="435"/>
    <n v="0"/>
    <n v="0"/>
    <n v="0"/>
    <n v="0"/>
    <n v="0"/>
    <n v="0"/>
    <n v="0"/>
    <n v="0"/>
    <n v="425"/>
    <x v="1"/>
    <n v="97"/>
  </r>
  <r>
    <s v="J-V70-PR"/>
    <x v="58"/>
    <x v="13"/>
    <n v="10.5"/>
    <n v="31.5"/>
    <n v="55"/>
    <n v="23.5"/>
    <x v="127"/>
    <n v="289"/>
    <n v="6791.5"/>
    <n v="193"/>
    <n v="1511.5"/>
    <n v="205"/>
    <n v="4817.5"/>
    <n v="0"/>
    <n v="0"/>
    <n v="0"/>
    <n v="0"/>
    <n v="0"/>
    <n v="0"/>
    <n v="0"/>
    <n v="0"/>
    <n v="687"/>
    <x v="1"/>
    <n v="91"/>
  </r>
  <r>
    <s v="J-V60"/>
    <x v="58"/>
    <x v="13"/>
    <n v="9"/>
    <n v="27"/>
    <n v="45"/>
    <n v="18"/>
    <x v="46"/>
    <n v="312"/>
    <n v="5616"/>
    <n v="108"/>
    <n v="-3564"/>
    <n v="30"/>
    <n v="540"/>
    <n v="0"/>
    <n v="0"/>
    <n v="0"/>
    <n v="0"/>
    <n v="0"/>
    <n v="0"/>
    <n v="0"/>
    <n v="0"/>
    <n v="450"/>
    <x v="1"/>
    <n v="99"/>
  </r>
  <r>
    <s v="J-R100/40"/>
    <x v="56"/>
    <x v="13"/>
    <n v="10"/>
    <n v="30"/>
    <n v="60"/>
    <n v="30"/>
    <x v="125"/>
    <n v="430"/>
    <n v="12900"/>
    <n v="223"/>
    <n v="480"/>
    <n v="157"/>
    <n v="4710"/>
    <n v="0"/>
    <n v="0"/>
    <n v="0"/>
    <n v="0"/>
    <n v="0"/>
    <n v="0"/>
    <n v="0"/>
    <n v="0"/>
    <n v="810"/>
    <x v="1"/>
    <n v="95"/>
  </r>
  <r>
    <s v="MSP 0P"/>
    <x v="32"/>
    <x v="14"/>
    <n v="35"/>
    <n v="112"/>
    <n v="180"/>
    <n v="68"/>
    <x v="74"/>
    <n v="5"/>
    <n v="340"/>
    <n v="0"/>
    <n v="-560"/>
    <n v="0"/>
    <n v="0"/>
    <n v="0"/>
    <n v="0"/>
    <n v="0"/>
    <n v="0"/>
    <n v="0"/>
    <n v="0"/>
    <n v="0"/>
    <n v="0"/>
    <n v="5"/>
    <x v="0"/>
    <n v="97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n v="40"/>
    <x v="0"/>
  </r>
  <r>
    <x v="0"/>
    <x v="0"/>
    <x v="0"/>
    <n v="12"/>
    <x v="1"/>
  </r>
  <r>
    <x v="0"/>
    <x v="0"/>
    <x v="0"/>
    <n v="1"/>
    <x v="2"/>
  </r>
  <r>
    <x v="1"/>
    <x v="0"/>
    <x v="0"/>
    <n v="0"/>
    <x v="3"/>
  </r>
  <r>
    <x v="1"/>
    <x v="0"/>
    <x v="0"/>
    <n v="0"/>
    <x v="4"/>
  </r>
  <r>
    <x v="0"/>
    <x v="0"/>
    <x v="0"/>
    <n v="74"/>
    <x v="5"/>
  </r>
  <r>
    <x v="0"/>
    <x v="0"/>
    <x v="0"/>
    <n v="59"/>
    <x v="6"/>
  </r>
  <r>
    <x v="2"/>
    <x v="0"/>
    <x v="0"/>
    <n v="23"/>
    <x v="7"/>
  </r>
  <r>
    <x v="0"/>
    <x v="0"/>
    <x v="0"/>
    <n v="21"/>
    <x v="8"/>
  </r>
  <r>
    <x v="0"/>
    <x v="0"/>
    <x v="0"/>
    <n v="115"/>
    <x v="9"/>
  </r>
  <r>
    <x v="2"/>
    <x v="0"/>
    <x v="0"/>
    <n v="10"/>
    <x v="10"/>
  </r>
  <r>
    <x v="2"/>
    <x v="0"/>
    <x v="0"/>
    <n v="69"/>
    <x v="11"/>
  </r>
  <r>
    <x v="0"/>
    <x v="0"/>
    <x v="0"/>
    <n v="30"/>
    <x v="12"/>
  </r>
  <r>
    <x v="0"/>
    <x v="0"/>
    <x v="0"/>
    <n v="84"/>
    <x v="13"/>
  </r>
  <r>
    <x v="2"/>
    <x v="0"/>
    <x v="0"/>
    <n v="78"/>
    <x v="14"/>
  </r>
  <r>
    <x v="2"/>
    <x v="0"/>
    <x v="0"/>
    <n v="126"/>
    <x v="14"/>
  </r>
  <r>
    <x v="2"/>
    <x v="0"/>
    <x v="0"/>
    <n v="215"/>
    <x v="15"/>
  </r>
  <r>
    <x v="2"/>
    <x v="0"/>
    <x v="0"/>
    <n v="335"/>
    <x v="16"/>
  </r>
  <r>
    <x v="2"/>
    <x v="0"/>
    <x v="0"/>
    <n v="101"/>
    <x v="16"/>
  </r>
  <r>
    <x v="2"/>
    <x v="0"/>
    <x v="0"/>
    <n v="183"/>
    <x v="17"/>
  </r>
  <r>
    <x v="0"/>
    <x v="0"/>
    <x v="0"/>
    <n v="234"/>
    <x v="18"/>
  </r>
  <r>
    <x v="2"/>
    <x v="0"/>
    <x v="0"/>
    <n v="221"/>
    <x v="11"/>
  </r>
  <r>
    <x v="0"/>
    <x v="0"/>
    <x v="0"/>
    <n v="491"/>
    <x v="19"/>
  </r>
  <r>
    <x v="0"/>
    <x v="0"/>
    <x v="0"/>
    <n v="277"/>
    <x v="20"/>
  </r>
  <r>
    <x v="0"/>
    <x v="0"/>
    <x v="0"/>
    <n v="270"/>
    <x v="12"/>
  </r>
  <r>
    <x v="2"/>
    <x v="0"/>
    <x v="0"/>
    <n v="70"/>
    <x v="21"/>
  </r>
  <r>
    <x v="0"/>
    <x v="0"/>
    <x v="0"/>
    <n v="770"/>
    <x v="22"/>
  </r>
  <r>
    <x v="0"/>
    <x v="0"/>
    <x v="0"/>
    <n v="758"/>
    <x v="23"/>
  </r>
  <r>
    <x v="0"/>
    <x v="0"/>
    <x v="0"/>
    <n v="120"/>
    <x v="13"/>
  </r>
  <r>
    <x v="2"/>
    <x v="0"/>
    <x v="0"/>
    <n v="448"/>
    <x v="24"/>
  </r>
  <r>
    <x v="0"/>
    <x v="0"/>
    <x v="0"/>
    <n v="322"/>
    <x v="25"/>
  </r>
  <r>
    <x v="0"/>
    <x v="0"/>
    <x v="0"/>
    <n v="269"/>
    <x v="26"/>
  </r>
  <r>
    <x v="0"/>
    <x v="0"/>
    <x v="0"/>
    <n v="791"/>
    <x v="27"/>
  </r>
  <r>
    <x v="0"/>
    <x v="0"/>
    <x v="0"/>
    <n v="759"/>
    <x v="28"/>
  </r>
  <r>
    <x v="0"/>
    <x v="0"/>
    <x v="0"/>
    <n v="180"/>
    <x v="9"/>
  </r>
  <r>
    <x v="2"/>
    <x v="0"/>
    <x v="0"/>
    <n v="395"/>
    <x v="29"/>
  </r>
  <r>
    <x v="2"/>
    <x v="0"/>
    <x v="0"/>
    <n v="591"/>
    <x v="14"/>
  </r>
  <r>
    <x v="0"/>
    <x v="0"/>
    <x v="0"/>
    <n v="791"/>
    <x v="30"/>
  </r>
  <r>
    <x v="2"/>
    <x v="0"/>
    <x v="0"/>
    <n v="162"/>
    <x v="31"/>
  </r>
  <r>
    <x v="0"/>
    <x v="0"/>
    <x v="0"/>
    <n v="438"/>
    <x v="32"/>
  </r>
  <r>
    <x v="0"/>
    <x v="0"/>
    <x v="0"/>
    <n v="801"/>
    <x v="33"/>
  </r>
  <r>
    <x v="0"/>
    <x v="0"/>
    <x v="0"/>
    <n v="1239"/>
    <x v="34"/>
  </r>
  <r>
    <x v="0"/>
    <x v="0"/>
    <x v="0"/>
    <n v="340"/>
    <x v="9"/>
  </r>
  <r>
    <x v="0"/>
    <x v="0"/>
    <x v="0"/>
    <n v="820"/>
    <x v="27"/>
  </r>
  <r>
    <x v="2"/>
    <x v="0"/>
    <x v="0"/>
    <n v="1081"/>
    <x v="0"/>
  </r>
  <r>
    <x v="2"/>
    <x v="0"/>
    <x v="0"/>
    <n v="735"/>
    <x v="35"/>
  </r>
  <r>
    <x v="0"/>
    <x v="0"/>
    <x v="0"/>
    <n v="2285"/>
    <x v="36"/>
  </r>
  <r>
    <x v="0"/>
    <x v="0"/>
    <x v="0"/>
    <n v="1844"/>
    <x v="37"/>
  </r>
  <r>
    <x v="2"/>
    <x v="0"/>
    <x v="0"/>
    <n v="2668"/>
    <x v="6"/>
  </r>
  <r>
    <x v="2"/>
    <x v="0"/>
    <x v="0"/>
    <n v="1700"/>
    <x v="38"/>
  </r>
  <r>
    <x v="0"/>
    <x v="0"/>
    <x v="0"/>
    <n v="2246"/>
    <x v="39"/>
  </r>
  <r>
    <x v="0"/>
    <x v="0"/>
    <x v="0"/>
    <n v="5216"/>
    <x v="40"/>
  </r>
  <r>
    <x v="2"/>
    <x v="0"/>
    <x v="0"/>
    <n v="1916"/>
    <x v="41"/>
  </r>
  <r>
    <x v="0"/>
    <x v="0"/>
    <x v="0"/>
    <n v="2769"/>
    <x v="42"/>
  </r>
  <r>
    <x v="0"/>
    <x v="0"/>
    <x v="0"/>
    <n v="5502"/>
    <x v="39"/>
  </r>
  <r>
    <x v="0"/>
    <x v="0"/>
    <x v="0"/>
    <n v="6204"/>
    <x v="12"/>
  </r>
  <r>
    <x v="0"/>
    <x v="0"/>
    <x v="0"/>
    <n v="6860"/>
    <x v="43"/>
  </r>
  <r>
    <x v="0"/>
    <x v="0"/>
    <x v="0"/>
    <n v="9251"/>
    <x v="41"/>
  </r>
  <r>
    <x v="0"/>
    <x v="0"/>
    <x v="0"/>
    <n v="11224"/>
    <x v="44"/>
  </r>
  <r>
    <x v="0"/>
    <x v="0"/>
    <x v="0"/>
    <n v="13819"/>
    <x v="45"/>
  </r>
  <r>
    <x v="0"/>
    <x v="0"/>
    <x v="1"/>
    <n v="1053"/>
    <x v="46"/>
  </r>
  <r>
    <x v="0"/>
    <x v="0"/>
    <x v="2"/>
    <n v="5"/>
    <x v="47"/>
  </r>
  <r>
    <x v="0"/>
    <x v="0"/>
    <x v="2"/>
    <n v="13"/>
    <x v="11"/>
  </r>
  <r>
    <x v="0"/>
    <x v="0"/>
    <x v="2"/>
    <n v="5"/>
    <x v="48"/>
  </r>
  <r>
    <x v="0"/>
    <x v="0"/>
    <x v="2"/>
    <n v="3"/>
    <x v="49"/>
  </r>
  <r>
    <x v="0"/>
    <x v="0"/>
    <x v="2"/>
    <n v="3"/>
    <x v="50"/>
  </r>
  <r>
    <x v="0"/>
    <x v="0"/>
    <x v="2"/>
    <n v="5"/>
    <x v="51"/>
  </r>
  <r>
    <x v="0"/>
    <x v="0"/>
    <x v="2"/>
    <n v="1"/>
    <x v="52"/>
  </r>
  <r>
    <x v="0"/>
    <x v="0"/>
    <x v="2"/>
    <n v="2"/>
    <x v="53"/>
  </r>
  <r>
    <x v="0"/>
    <x v="0"/>
    <x v="2"/>
    <n v="2"/>
    <x v="54"/>
  </r>
  <r>
    <x v="0"/>
    <x v="0"/>
    <x v="2"/>
    <n v="2"/>
    <x v="55"/>
  </r>
  <r>
    <x v="0"/>
    <x v="0"/>
    <x v="2"/>
    <n v="5"/>
    <x v="56"/>
  </r>
  <r>
    <x v="0"/>
    <x v="0"/>
    <x v="2"/>
    <n v="8"/>
    <x v="57"/>
  </r>
  <r>
    <x v="0"/>
    <x v="0"/>
    <x v="2"/>
    <n v="33"/>
    <x v="58"/>
  </r>
  <r>
    <x v="0"/>
    <x v="0"/>
    <x v="3"/>
    <n v="39"/>
    <x v="6"/>
  </r>
  <r>
    <x v="0"/>
    <x v="0"/>
    <x v="4"/>
    <n v="1"/>
    <x v="59"/>
  </r>
  <r>
    <x v="0"/>
    <x v="0"/>
    <x v="4"/>
    <n v="5"/>
    <x v="60"/>
  </r>
  <r>
    <x v="0"/>
    <x v="0"/>
    <x v="4"/>
    <n v="51"/>
    <x v="61"/>
  </r>
  <r>
    <x v="0"/>
    <x v="0"/>
    <x v="4"/>
    <n v="30"/>
    <x v="62"/>
  </r>
  <r>
    <x v="0"/>
    <x v="0"/>
    <x v="4"/>
    <n v="74"/>
    <x v="63"/>
  </r>
  <r>
    <x v="0"/>
    <x v="0"/>
    <x v="4"/>
    <n v="92"/>
    <x v="64"/>
  </r>
  <r>
    <x v="0"/>
    <x v="0"/>
    <x v="4"/>
    <n v="213"/>
    <x v="6"/>
  </r>
  <r>
    <x v="0"/>
    <x v="0"/>
    <x v="5"/>
    <n v="3"/>
    <x v="11"/>
  </r>
  <r>
    <x v="0"/>
    <x v="0"/>
    <x v="5"/>
    <n v="3"/>
    <x v="65"/>
  </r>
  <r>
    <x v="0"/>
    <x v="0"/>
    <x v="5"/>
    <n v="15"/>
    <x v="66"/>
  </r>
  <r>
    <x v="0"/>
    <x v="0"/>
    <x v="5"/>
    <n v="38"/>
    <x v="67"/>
  </r>
  <r>
    <x v="0"/>
    <x v="0"/>
    <x v="6"/>
    <n v="5"/>
    <x v="68"/>
  </r>
  <r>
    <x v="0"/>
    <x v="0"/>
    <x v="6"/>
    <n v="1"/>
    <x v="69"/>
  </r>
  <r>
    <x v="0"/>
    <x v="0"/>
    <x v="6"/>
    <n v="1"/>
    <x v="70"/>
  </r>
  <r>
    <x v="0"/>
    <x v="0"/>
    <x v="6"/>
    <n v="1"/>
    <x v="71"/>
  </r>
  <r>
    <x v="1"/>
    <x v="0"/>
    <x v="6"/>
    <n v="0"/>
    <x v="72"/>
  </r>
  <r>
    <x v="1"/>
    <x v="0"/>
    <x v="6"/>
    <n v="0"/>
    <x v="73"/>
  </r>
  <r>
    <x v="0"/>
    <x v="0"/>
    <x v="6"/>
    <n v="5"/>
    <x v="74"/>
  </r>
  <r>
    <x v="0"/>
    <x v="0"/>
    <x v="6"/>
    <n v="5"/>
    <x v="75"/>
  </r>
  <r>
    <x v="0"/>
    <x v="0"/>
    <x v="6"/>
    <n v="5"/>
    <x v="59"/>
  </r>
  <r>
    <x v="0"/>
    <x v="0"/>
    <x v="6"/>
    <n v="58"/>
    <x v="76"/>
  </r>
  <r>
    <x v="0"/>
    <x v="0"/>
    <x v="7"/>
    <n v="23"/>
    <x v="6"/>
  </r>
  <r>
    <x v="0"/>
    <x v="0"/>
    <x v="8"/>
    <n v="5"/>
    <x v="60"/>
  </r>
  <r>
    <x v="0"/>
    <x v="0"/>
    <x v="9"/>
    <n v="5"/>
    <x v="47"/>
  </r>
  <r>
    <x v="0"/>
    <x v="0"/>
    <x v="9"/>
    <n v="1"/>
    <x v="48"/>
  </r>
  <r>
    <x v="0"/>
    <x v="0"/>
    <x v="9"/>
    <n v="21"/>
    <x v="77"/>
  </r>
  <r>
    <x v="0"/>
    <x v="0"/>
    <x v="10"/>
    <n v="89"/>
    <x v="74"/>
  </r>
  <r>
    <x v="0"/>
    <x v="0"/>
    <x v="10"/>
    <n v="5"/>
    <x v="68"/>
  </r>
  <r>
    <x v="0"/>
    <x v="0"/>
    <x v="10"/>
    <n v="1"/>
    <x v="70"/>
  </r>
  <r>
    <x v="0"/>
    <x v="0"/>
    <x v="10"/>
    <n v="1"/>
    <x v="71"/>
  </r>
  <r>
    <x v="0"/>
    <x v="0"/>
    <x v="10"/>
    <n v="3"/>
    <x v="78"/>
  </r>
  <r>
    <x v="0"/>
    <x v="0"/>
    <x v="10"/>
    <n v="3"/>
    <x v="75"/>
  </r>
  <r>
    <x v="0"/>
    <x v="0"/>
    <x v="10"/>
    <n v="5"/>
    <x v="79"/>
  </r>
  <r>
    <x v="0"/>
    <x v="0"/>
    <x v="10"/>
    <n v="5"/>
    <x v="80"/>
  </r>
  <r>
    <x v="0"/>
    <x v="0"/>
    <x v="10"/>
    <n v="5"/>
    <x v="69"/>
  </r>
  <r>
    <x v="0"/>
    <x v="0"/>
    <x v="10"/>
    <n v="5"/>
    <x v="59"/>
  </r>
  <r>
    <x v="0"/>
    <x v="0"/>
    <x v="10"/>
    <n v="23"/>
    <x v="81"/>
  </r>
  <r>
    <x v="0"/>
    <x v="0"/>
    <x v="10"/>
    <n v="23"/>
    <x v="82"/>
  </r>
  <r>
    <x v="0"/>
    <x v="0"/>
    <x v="10"/>
    <n v="25"/>
    <x v="41"/>
  </r>
  <r>
    <x v="0"/>
    <x v="0"/>
    <x v="10"/>
    <n v="48"/>
    <x v="63"/>
  </r>
  <r>
    <x v="0"/>
    <x v="0"/>
    <x v="10"/>
    <n v="49"/>
    <x v="83"/>
  </r>
  <r>
    <x v="0"/>
    <x v="0"/>
    <x v="10"/>
    <n v="35"/>
    <x v="84"/>
  </r>
  <r>
    <x v="0"/>
    <x v="0"/>
    <x v="10"/>
    <n v="35"/>
    <x v="85"/>
  </r>
  <r>
    <x v="0"/>
    <x v="0"/>
    <x v="10"/>
    <n v="58"/>
    <x v="86"/>
  </r>
  <r>
    <x v="0"/>
    <x v="0"/>
    <x v="10"/>
    <n v="208"/>
    <x v="87"/>
  </r>
  <r>
    <x v="0"/>
    <x v="0"/>
    <x v="10"/>
    <n v="81"/>
    <x v="60"/>
  </r>
  <r>
    <x v="0"/>
    <x v="0"/>
    <x v="10"/>
    <n v="100"/>
    <x v="62"/>
  </r>
  <r>
    <x v="0"/>
    <x v="0"/>
    <x v="10"/>
    <n v="55"/>
    <x v="88"/>
  </r>
  <r>
    <x v="0"/>
    <x v="0"/>
    <x v="10"/>
    <n v="131"/>
    <x v="6"/>
  </r>
  <r>
    <x v="0"/>
    <x v="0"/>
    <x v="10"/>
    <n v="665"/>
    <x v="89"/>
  </r>
  <r>
    <x v="0"/>
    <x v="0"/>
    <x v="11"/>
    <n v="5"/>
    <x v="51"/>
  </r>
  <r>
    <x v="0"/>
    <x v="0"/>
    <x v="11"/>
    <n v="1"/>
    <x v="52"/>
  </r>
  <r>
    <x v="0"/>
    <x v="0"/>
    <x v="11"/>
    <n v="1"/>
    <x v="90"/>
  </r>
  <r>
    <x v="0"/>
    <x v="0"/>
    <x v="11"/>
    <n v="5"/>
    <x v="47"/>
  </r>
  <r>
    <x v="0"/>
    <x v="0"/>
    <x v="11"/>
    <n v="5"/>
    <x v="57"/>
  </r>
  <r>
    <x v="0"/>
    <x v="0"/>
    <x v="11"/>
    <n v="28"/>
    <x v="66"/>
  </r>
  <r>
    <x v="0"/>
    <x v="0"/>
    <x v="11"/>
    <n v="181"/>
    <x v="77"/>
  </r>
  <r>
    <x v="0"/>
    <x v="0"/>
    <x v="12"/>
    <n v="1"/>
    <x v="51"/>
  </r>
  <r>
    <x v="0"/>
    <x v="0"/>
    <x v="12"/>
    <n v="1"/>
    <x v="91"/>
  </r>
  <r>
    <x v="0"/>
    <x v="0"/>
    <x v="12"/>
    <n v="2"/>
    <x v="92"/>
  </r>
  <r>
    <x v="0"/>
    <x v="0"/>
    <x v="12"/>
    <n v="3"/>
    <x v="50"/>
  </r>
  <r>
    <x v="0"/>
    <x v="0"/>
    <x v="12"/>
    <n v="3"/>
    <x v="55"/>
  </r>
  <r>
    <x v="0"/>
    <x v="0"/>
    <x v="12"/>
    <n v="5"/>
    <x v="65"/>
  </r>
  <r>
    <x v="0"/>
    <x v="0"/>
    <x v="12"/>
    <n v="10"/>
    <x v="53"/>
  </r>
  <r>
    <x v="0"/>
    <x v="0"/>
    <x v="12"/>
    <n v="10"/>
    <x v="93"/>
  </r>
  <r>
    <x v="0"/>
    <x v="0"/>
    <x v="12"/>
    <n v="10"/>
    <x v="94"/>
  </r>
  <r>
    <x v="0"/>
    <x v="0"/>
    <x v="12"/>
    <n v="24"/>
    <x v="95"/>
  </r>
  <r>
    <x v="0"/>
    <x v="0"/>
    <x v="12"/>
    <n v="270"/>
    <x v="96"/>
  </r>
  <r>
    <x v="0"/>
    <x v="0"/>
    <x v="12"/>
    <n v="208"/>
    <x v="97"/>
  </r>
  <r>
    <x v="0"/>
    <x v="0"/>
    <x v="12"/>
    <n v="221"/>
    <x v="49"/>
  </r>
  <r>
    <x v="0"/>
    <x v="0"/>
    <x v="12"/>
    <n v="195"/>
    <x v="53"/>
  </r>
  <r>
    <x v="0"/>
    <x v="0"/>
    <x v="12"/>
    <n v="211"/>
    <x v="98"/>
  </r>
  <r>
    <x v="0"/>
    <x v="0"/>
    <x v="12"/>
    <n v="242"/>
    <x v="52"/>
  </r>
  <r>
    <x v="0"/>
    <x v="0"/>
    <x v="12"/>
    <n v="354"/>
    <x v="48"/>
  </r>
  <r>
    <x v="0"/>
    <x v="0"/>
    <x v="12"/>
    <n v="574"/>
    <x v="99"/>
  </r>
  <r>
    <x v="0"/>
    <x v="0"/>
    <x v="12"/>
    <n v="521"/>
    <x v="11"/>
  </r>
  <r>
    <x v="0"/>
    <x v="0"/>
    <x v="12"/>
    <n v="180"/>
    <x v="100"/>
  </r>
  <r>
    <x v="0"/>
    <x v="0"/>
    <x v="12"/>
    <n v="637"/>
    <x v="11"/>
  </r>
  <r>
    <x v="0"/>
    <x v="0"/>
    <x v="12"/>
    <n v="250"/>
    <x v="101"/>
  </r>
  <r>
    <x v="0"/>
    <x v="0"/>
    <x v="12"/>
    <n v="927"/>
    <x v="16"/>
  </r>
  <r>
    <x v="0"/>
    <x v="0"/>
    <x v="12"/>
    <n v="691"/>
    <x v="102"/>
  </r>
  <r>
    <x v="0"/>
    <x v="0"/>
    <x v="12"/>
    <n v="1992"/>
    <x v="58"/>
  </r>
  <r>
    <x v="0"/>
    <x v="0"/>
    <x v="12"/>
    <n v="836"/>
    <x v="56"/>
  </r>
  <r>
    <x v="0"/>
    <x v="0"/>
    <x v="12"/>
    <n v="1378"/>
    <x v="11"/>
  </r>
  <r>
    <x v="0"/>
    <x v="0"/>
    <x v="12"/>
    <n v="2083"/>
    <x v="11"/>
  </r>
  <r>
    <x v="0"/>
    <x v="0"/>
    <x v="12"/>
    <n v="2110"/>
    <x v="103"/>
  </r>
  <r>
    <x v="0"/>
    <x v="0"/>
    <x v="12"/>
    <n v="2277"/>
    <x v="11"/>
  </r>
  <r>
    <x v="0"/>
    <x v="0"/>
    <x v="12"/>
    <n v="3234"/>
    <x v="11"/>
  </r>
  <r>
    <x v="0"/>
    <x v="0"/>
    <x v="12"/>
    <n v="4130"/>
    <x v="66"/>
  </r>
  <r>
    <x v="0"/>
    <x v="0"/>
    <x v="12"/>
    <n v="7350"/>
    <x v="77"/>
  </r>
  <r>
    <x v="0"/>
    <x v="0"/>
    <x v="12"/>
    <n v="5107"/>
    <x v="11"/>
  </r>
  <r>
    <x v="0"/>
    <x v="0"/>
    <x v="12"/>
    <n v="5052"/>
    <x v="47"/>
  </r>
  <r>
    <x v="0"/>
    <x v="0"/>
    <x v="12"/>
    <n v="10200"/>
    <x v="67"/>
  </r>
  <r>
    <x v="1"/>
    <x v="0"/>
    <x v="13"/>
    <n v="57"/>
    <x v="104"/>
  </r>
  <r>
    <x v="1"/>
    <x v="0"/>
    <x v="13"/>
    <n v="13"/>
    <x v="105"/>
  </r>
  <r>
    <x v="1"/>
    <x v="0"/>
    <x v="13"/>
    <n v="18"/>
    <x v="106"/>
  </r>
  <r>
    <x v="1"/>
    <x v="0"/>
    <x v="13"/>
    <n v="48"/>
    <x v="107"/>
  </r>
  <r>
    <x v="1"/>
    <x v="0"/>
    <x v="13"/>
    <n v="125"/>
    <x v="108"/>
  </r>
  <r>
    <x v="1"/>
    <x v="0"/>
    <x v="13"/>
    <n v="75"/>
    <x v="109"/>
  </r>
  <r>
    <x v="1"/>
    <x v="0"/>
    <x v="13"/>
    <n v="54"/>
    <x v="110"/>
  </r>
  <r>
    <x v="1"/>
    <x v="0"/>
    <x v="13"/>
    <n v="97"/>
    <x v="111"/>
  </r>
  <r>
    <x v="1"/>
    <x v="0"/>
    <x v="13"/>
    <n v="66"/>
    <x v="112"/>
  </r>
  <r>
    <x v="1"/>
    <x v="0"/>
    <x v="13"/>
    <n v="77"/>
    <x v="113"/>
  </r>
  <r>
    <x v="1"/>
    <x v="0"/>
    <x v="13"/>
    <n v="108"/>
    <x v="58"/>
  </r>
  <r>
    <x v="1"/>
    <x v="0"/>
    <x v="13"/>
    <n v="135"/>
    <x v="114"/>
  </r>
  <r>
    <x v="1"/>
    <x v="0"/>
    <x v="13"/>
    <n v="140"/>
    <x v="115"/>
  </r>
  <r>
    <x v="1"/>
    <x v="0"/>
    <x v="13"/>
    <n v="184"/>
    <x v="111"/>
  </r>
  <r>
    <x v="1"/>
    <x v="0"/>
    <x v="13"/>
    <n v="243"/>
    <x v="116"/>
  </r>
  <r>
    <x v="1"/>
    <x v="0"/>
    <x v="13"/>
    <n v="216"/>
    <x v="58"/>
  </r>
  <r>
    <x v="1"/>
    <x v="0"/>
    <x v="13"/>
    <n v="219"/>
    <x v="117"/>
  </r>
  <r>
    <x v="1"/>
    <x v="0"/>
    <x v="13"/>
    <n v="234"/>
    <x v="118"/>
  </r>
  <r>
    <x v="1"/>
    <x v="0"/>
    <x v="13"/>
    <n v="135"/>
    <x v="119"/>
  </r>
  <r>
    <x v="1"/>
    <x v="0"/>
    <x v="13"/>
    <n v="207"/>
    <x v="57"/>
  </r>
  <r>
    <x v="1"/>
    <x v="0"/>
    <x v="13"/>
    <n v="274"/>
    <x v="105"/>
  </r>
  <r>
    <x v="1"/>
    <x v="0"/>
    <x v="13"/>
    <n v="204"/>
    <x v="120"/>
  </r>
  <r>
    <x v="1"/>
    <x v="0"/>
    <x v="13"/>
    <n v="296"/>
    <x v="121"/>
  </r>
  <r>
    <x v="1"/>
    <x v="0"/>
    <x v="13"/>
    <n v="339"/>
    <x v="122"/>
  </r>
  <r>
    <x v="1"/>
    <x v="0"/>
    <x v="13"/>
    <n v="298"/>
    <x v="123"/>
  </r>
  <r>
    <x v="1"/>
    <x v="0"/>
    <x v="13"/>
    <n v="311"/>
    <x v="124"/>
  </r>
  <r>
    <x v="1"/>
    <x v="0"/>
    <x v="13"/>
    <n v="407"/>
    <x v="46"/>
  </r>
  <r>
    <x v="1"/>
    <x v="0"/>
    <x v="13"/>
    <n v="329"/>
    <x v="108"/>
  </r>
  <r>
    <x v="1"/>
    <x v="0"/>
    <x v="13"/>
    <n v="418"/>
    <x v="125"/>
  </r>
  <r>
    <x v="1"/>
    <x v="0"/>
    <x v="13"/>
    <n v="425"/>
    <x v="126"/>
  </r>
  <r>
    <x v="1"/>
    <x v="0"/>
    <x v="13"/>
    <n v="687"/>
    <x v="127"/>
  </r>
  <r>
    <x v="1"/>
    <x v="0"/>
    <x v="13"/>
    <n v="450"/>
    <x v="46"/>
  </r>
  <r>
    <x v="1"/>
    <x v="0"/>
    <x v="13"/>
    <n v="810"/>
    <x v="125"/>
  </r>
  <r>
    <x v="0"/>
    <x v="0"/>
    <x v="14"/>
    <n v="5"/>
    <x v="74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n v="0.49090909090909091"/>
    <n v="40"/>
    <n v="220"/>
    <n v="8.9256198347107435E-2"/>
  </r>
  <r>
    <x v="0"/>
    <x v="0"/>
    <n v="0.7098445595854922"/>
    <n v="12"/>
    <n v="579"/>
    <n v="1.4711804343740772E-2"/>
  </r>
  <r>
    <x v="0"/>
    <x v="0"/>
    <n v="0.5822222222222222"/>
    <n v="1"/>
    <n v="315"/>
    <n v="1.8483245149911816E-3"/>
  </r>
  <r>
    <x v="1"/>
    <x v="0"/>
    <n v="-0.30666666666666653"/>
    <n v="0"/>
    <n v="30"/>
    <n v="0"/>
  </r>
  <r>
    <x v="1"/>
    <x v="0"/>
    <n v="-0.25263157894736826"/>
    <n v="0"/>
    <n v="38"/>
    <n v="0"/>
  </r>
  <r>
    <x v="0"/>
    <x v="0"/>
    <n v="0.61294117647058821"/>
    <n v="74"/>
    <n v="340"/>
    <n v="0.13340484429065744"/>
  </r>
  <r>
    <x v="0"/>
    <x v="0"/>
    <n v="0.55200000000000005"/>
    <n v="59"/>
    <n v="250"/>
    <n v="0.13027200000000003"/>
  </r>
  <r>
    <x v="2"/>
    <x v="0"/>
    <n v="0.86"/>
    <n v="23"/>
    <n v="100"/>
    <n v="0.1978"/>
  </r>
  <r>
    <x v="0"/>
    <x v="0"/>
    <n v="0.65777777777777779"/>
    <n v="21"/>
    <n v="450"/>
    <n v="3.0696296296296298E-2"/>
  </r>
  <r>
    <x v="0"/>
    <x v="0"/>
    <n v="0.72000000000000008"/>
    <n v="115"/>
    <n v="60"/>
    <n v="1.3800000000000001"/>
  </r>
  <r>
    <x v="2"/>
    <x v="0"/>
    <n v="0.83666666666666667"/>
    <n v="10"/>
    <n v="120"/>
    <n v="6.9722222222222227E-2"/>
  </r>
  <r>
    <x v="2"/>
    <x v="0"/>
    <n v="0.7"/>
    <n v="69"/>
    <n v="280"/>
    <n v="0.17249999999999999"/>
  </r>
  <r>
    <x v="0"/>
    <x v="0"/>
    <n v="0.7846153846153846"/>
    <n v="30"/>
    <n v="130"/>
    <n v="0.18106508875739644"/>
  </r>
  <r>
    <x v="0"/>
    <x v="0"/>
    <n v="0.79466666666666663"/>
    <n v="84"/>
    <n v="75"/>
    <n v="0.89002666666666663"/>
  </r>
  <r>
    <x v="2"/>
    <x v="0"/>
    <n v="0.66400000000000003"/>
    <n v="78"/>
    <n v="250"/>
    <n v="0.20716800000000002"/>
  </r>
  <r>
    <x v="2"/>
    <x v="0"/>
    <n v="0.66400000000000003"/>
    <n v="126"/>
    <n v="250"/>
    <n v="0.33465600000000001"/>
  </r>
  <r>
    <x v="2"/>
    <x v="0"/>
    <n v="0.67333333333333334"/>
    <n v="215"/>
    <n v="300"/>
    <n v="0.48255555555555563"/>
  </r>
  <r>
    <x v="2"/>
    <x v="0"/>
    <n v="0.57999999999999996"/>
    <n v="335"/>
    <n v="200"/>
    <n v="0.97149999999999992"/>
  </r>
  <r>
    <x v="2"/>
    <x v="0"/>
    <n v="0.57999999999999996"/>
    <n v="101"/>
    <n v="300"/>
    <n v="0.19526666666666667"/>
  </r>
  <r>
    <x v="2"/>
    <x v="0"/>
    <n v="0.72"/>
    <n v="183"/>
    <n v="300"/>
    <n v="0.43919999999999998"/>
  </r>
  <r>
    <x v="0"/>
    <x v="0"/>
    <n v="0.71594202898550729"/>
    <n v="234"/>
    <n v="69"/>
    <n v="2.4279773156899811"/>
  </r>
  <r>
    <x v="2"/>
    <x v="0"/>
    <n v="0.7"/>
    <n v="221"/>
    <n v="280"/>
    <n v="0.55249999999999999"/>
  </r>
  <r>
    <x v="0"/>
    <x v="0"/>
    <n v="0.58933333333333338"/>
    <n v="491"/>
    <n v="375"/>
    <n v="0.77163377777777786"/>
  </r>
  <r>
    <x v="0"/>
    <x v="0"/>
    <n v="0.64102564102564108"/>
    <n v="277"/>
    <n v="39"/>
    <n v="4.5529257067718607"/>
  </r>
  <r>
    <x v="0"/>
    <x v="0"/>
    <n v="0.7846153846153846"/>
    <n v="270"/>
    <n v="130"/>
    <n v="1.6295857988165681"/>
  </r>
  <r>
    <x v="2"/>
    <x v="0"/>
    <n v="0.61111111111111116"/>
    <n v="70"/>
    <n v="180"/>
    <n v="0.23765432098765432"/>
  </r>
  <r>
    <x v="0"/>
    <x v="0"/>
    <n v="0.68802228412256272"/>
    <n v="770"/>
    <n v="359"/>
    <n v="1.4757023921291736"/>
  </r>
  <r>
    <x v="0"/>
    <x v="0"/>
    <n v="0.68499999999999994"/>
    <n v="758"/>
    <n v="40"/>
    <n v="12.980749999999997"/>
  </r>
  <r>
    <x v="0"/>
    <x v="0"/>
    <n v="0.79466666666666663"/>
    <n v="120"/>
    <n v="75"/>
    <n v="1.2714666666666667"/>
  </r>
  <r>
    <x v="2"/>
    <x v="0"/>
    <n v="0.82079999999999997"/>
    <n v="448"/>
    <n v="125"/>
    <n v="2.9417472"/>
  </r>
  <r>
    <x v="0"/>
    <x v="0"/>
    <n v="0.68835616438356162"/>
    <n v="322"/>
    <n v="584"/>
    <n v="0.37953884406079941"/>
  </r>
  <r>
    <x v="0"/>
    <x v="0"/>
    <n v="0.7094339622641509"/>
    <n v="269"/>
    <n v="530"/>
    <n v="0.36007119971520113"/>
  </r>
  <r>
    <x v="0"/>
    <x v="0"/>
    <n v="0.65538461538461545"/>
    <n v="791"/>
    <n v="65"/>
    <n v="7.9755266272189358"/>
  </r>
  <r>
    <x v="0"/>
    <x v="0"/>
    <n v="0.75"/>
    <n v="759"/>
    <n v="56"/>
    <n v="10.165178571428571"/>
  </r>
  <r>
    <x v="0"/>
    <x v="0"/>
    <n v="0.72000000000000008"/>
    <n v="180"/>
    <n v="35"/>
    <n v="3.7028571428571433"/>
  </r>
  <r>
    <x v="2"/>
    <x v="0"/>
    <n v="0.29292929292929293"/>
    <n v="395"/>
    <n v="99"/>
    <n v="1.1687582899704112"/>
  </r>
  <r>
    <x v="2"/>
    <x v="0"/>
    <n v="0.66400000000000003"/>
    <n v="591"/>
    <n v="250"/>
    <n v="1.5696960000000002"/>
  </r>
  <r>
    <x v="0"/>
    <x v="0"/>
    <n v="0.44"/>
    <n v="791"/>
    <n v="45"/>
    <n v="7.7342222222222228"/>
  </r>
  <r>
    <x v="2"/>
    <x v="0"/>
    <n v="0.87076923076923074"/>
    <n v="162"/>
    <n v="130"/>
    <n v="1.085112426035503"/>
  </r>
  <r>
    <x v="0"/>
    <x v="0"/>
    <n v="0.63793103448275867"/>
    <n v="438"/>
    <n v="58"/>
    <n v="4.817479191438764"/>
  </r>
  <r>
    <x v="0"/>
    <x v="0"/>
    <n v="0.4702702702702703"/>
    <n v="801"/>
    <n v="185"/>
    <n v="2.0361431701972244"/>
  </r>
  <r>
    <x v="0"/>
    <x v="0"/>
    <n v="0.27407407407407408"/>
    <n v="1239"/>
    <n v="135"/>
    <n v="2.5153909465020576"/>
  </r>
  <r>
    <x v="0"/>
    <x v="0"/>
    <n v="0.72000000000000008"/>
    <n v="340"/>
    <n v="35"/>
    <n v="6.9942857142857155"/>
  </r>
  <r>
    <x v="0"/>
    <x v="0"/>
    <n v="0.65538461538461545"/>
    <n v="820"/>
    <n v="65"/>
    <n v="8.2679289940828422"/>
  </r>
  <r>
    <x v="2"/>
    <x v="0"/>
    <n v="0.49090909090909091"/>
    <n v="1081"/>
    <n v="55"/>
    <n v="9.6485950413223129"/>
  </r>
  <r>
    <x v="2"/>
    <x v="0"/>
    <n v="0.62666666666666671"/>
    <n v="735"/>
    <n v="150"/>
    <n v="3.0706666666666669"/>
  </r>
  <r>
    <x v="0"/>
    <x v="0"/>
    <n v="0.83529411764705885"/>
    <n v="2285"/>
    <n v="85"/>
    <n v="22.454671280276816"/>
  </r>
  <r>
    <x v="0"/>
    <x v="0"/>
    <n v="0.65000000000000013"/>
    <n v="1844"/>
    <n v="28"/>
    <n v="42.807142857142864"/>
  </r>
  <r>
    <x v="2"/>
    <x v="0"/>
    <n v="0.55200000000000005"/>
    <n v="2668"/>
    <n v="75"/>
    <n v="19.636480000000002"/>
  </r>
  <r>
    <x v="2"/>
    <x v="0"/>
    <n v="0.77599999999999991"/>
    <n v="1700"/>
    <n v="50"/>
    <n v="26.383999999999997"/>
  </r>
  <r>
    <x v="0"/>
    <x v="0"/>
    <n v="0.6080000000000001"/>
    <n v="2246"/>
    <n v="25"/>
    <n v="54.622720000000008"/>
  </r>
  <r>
    <x v="0"/>
    <x v="0"/>
    <n v="0.58000000000000007"/>
    <n v="5216"/>
    <n v="40"/>
    <n v="75.632000000000005"/>
  </r>
  <r>
    <x v="2"/>
    <x v="0"/>
    <n v="0.75111111111111106"/>
    <n v="1916"/>
    <n v="450"/>
    <n v="3.1980641975308637"/>
  </r>
  <r>
    <x v="0"/>
    <x v="0"/>
    <n v="0.6"/>
    <n v="2769"/>
    <n v="35"/>
    <n v="47.468571428571423"/>
  </r>
  <r>
    <x v="0"/>
    <x v="0"/>
    <n v="0.6080000000000001"/>
    <n v="5502"/>
    <n v="25"/>
    <n v="133.80864000000003"/>
  </r>
  <r>
    <x v="0"/>
    <x v="0"/>
    <n v="0.7846153846153846"/>
    <n v="6204"/>
    <n v="65"/>
    <n v="74.888520710059169"/>
  </r>
  <r>
    <x v="0"/>
    <x v="0"/>
    <n v="0.68888888888888888"/>
    <n v="6860"/>
    <n v="45"/>
    <n v="105.01728395061727"/>
  </r>
  <r>
    <x v="0"/>
    <x v="0"/>
    <n v="0.75111111111111106"/>
    <n v="9251"/>
    <n v="45"/>
    <n v="154.41175308641974"/>
  </r>
  <r>
    <x v="0"/>
    <x v="0"/>
    <n v="0.56444444444444453"/>
    <n v="11224"/>
    <n v="45"/>
    <n v="140.78498765432101"/>
  </r>
  <r>
    <x v="0"/>
    <x v="0"/>
    <n v="0.34666666666666673"/>
    <n v="13819"/>
    <n v="30"/>
    <n v="159.68622222222226"/>
  </r>
  <r>
    <x v="0"/>
    <x v="1"/>
    <n v="0.4"/>
    <n v="1053"/>
    <n v="75"/>
    <n v="5.6160000000000005"/>
  </r>
  <r>
    <x v="0"/>
    <x v="2"/>
    <n v="0.78181818181818186"/>
    <n v="5"/>
    <n v="55"/>
    <n v="7.1074380165289261E-2"/>
  </r>
  <r>
    <x v="0"/>
    <x v="2"/>
    <n v="0.7"/>
    <n v="13"/>
    <n v="35"/>
    <n v="0.26"/>
  </r>
  <r>
    <x v="0"/>
    <x v="2"/>
    <n v="0.77272727272727271"/>
    <n v="5"/>
    <n v="66"/>
    <n v="5.8539944903581262E-2"/>
  </r>
  <r>
    <x v="0"/>
    <x v="2"/>
    <n v="0.73417721518987344"/>
    <n v="3"/>
    <n v="79"/>
    <n v="2.7880147412273678E-2"/>
  </r>
  <r>
    <x v="0"/>
    <x v="2"/>
    <n v="0.74285714285714288"/>
    <n v="3"/>
    <n v="70"/>
    <n v="3.1836734693877551E-2"/>
  </r>
  <r>
    <x v="0"/>
    <x v="2"/>
    <n v="0.52"/>
    <n v="5"/>
    <n v="250"/>
    <n v="1.04E-2"/>
  </r>
  <r>
    <x v="0"/>
    <x v="2"/>
    <n v="0.69387755102040816"/>
    <n v="1"/>
    <n v="49"/>
    <n v="1.4160766347355268E-2"/>
  </r>
  <r>
    <x v="0"/>
    <x v="2"/>
    <n v="0.7931034482758621"/>
    <n v="2"/>
    <n v="145"/>
    <n v="1.0939357907253271E-2"/>
  </r>
  <r>
    <x v="0"/>
    <x v="2"/>
    <n v="0.83333333333333337"/>
    <n v="2"/>
    <n v="99"/>
    <n v="1.6835016835016835E-2"/>
  </r>
  <r>
    <x v="0"/>
    <x v="2"/>
    <n v="0.61891891891891893"/>
    <n v="2"/>
    <n v="370"/>
    <n v="3.3455076698319943E-3"/>
  </r>
  <r>
    <x v="0"/>
    <x v="2"/>
    <n v="0.6785714285714286"/>
    <n v="5"/>
    <n v="70"/>
    <n v="4.8469387755102046E-2"/>
  </r>
  <r>
    <x v="0"/>
    <x v="2"/>
    <n v="0.25"/>
    <n v="8"/>
    <n v="120"/>
    <n v="1.6666666666666666E-2"/>
  </r>
  <r>
    <x v="0"/>
    <x v="2"/>
    <n v="0.66666666666666663"/>
    <n v="33"/>
    <n v="45"/>
    <n v="0.48888888888888887"/>
  </r>
  <r>
    <x v="0"/>
    <x v="3"/>
    <n v="0.55200000000000005"/>
    <n v="39"/>
    <n v="250"/>
    <n v="8.6112000000000008E-2"/>
  </r>
  <r>
    <x v="0"/>
    <x v="4"/>
    <n v="0.55862068965517242"/>
    <n v="1"/>
    <n v="290"/>
    <n v="1.9262782401902497E-3"/>
  </r>
  <r>
    <x v="0"/>
    <x v="4"/>
    <n v="0.70285714285714285"/>
    <n v="5"/>
    <n v="700"/>
    <n v="5.0204081632653063E-3"/>
  </r>
  <r>
    <x v="0"/>
    <x v="4"/>
    <n v="0.36"/>
    <n v="51"/>
    <n v="150"/>
    <n v="0.12239999999999999"/>
  </r>
  <r>
    <x v="0"/>
    <x v="4"/>
    <n v="0.67919799498746869"/>
    <n v="30"/>
    <n v="399"/>
    <n v="5.1067518420110425E-2"/>
  </r>
  <r>
    <x v="0"/>
    <x v="4"/>
    <n v="0.65490196078431373"/>
    <n v="74"/>
    <n v="510"/>
    <n v="9.5024990388312178E-2"/>
  </r>
  <r>
    <x v="0"/>
    <x v="4"/>
    <n v="0.71382113821138216"/>
    <n v="92"/>
    <n v="615"/>
    <n v="0.10678299953731245"/>
  </r>
  <r>
    <x v="0"/>
    <x v="4"/>
    <n v="0.55200000000000005"/>
    <n v="213"/>
    <n v="250"/>
    <n v="0.47030400000000006"/>
  </r>
  <r>
    <x v="0"/>
    <x v="5"/>
    <n v="0.7"/>
    <n v="3"/>
    <n v="650"/>
    <n v="3.2307692307692302E-3"/>
  </r>
  <r>
    <x v="0"/>
    <x v="5"/>
    <n v="0.79"/>
    <n v="3"/>
    <n v="50"/>
    <n v="4.7400000000000005E-2"/>
  </r>
  <r>
    <x v="0"/>
    <x v="5"/>
    <n v="0.7857142857142857"/>
    <n v="15"/>
    <n v="70"/>
    <n v="0.1683673469387755"/>
  </r>
  <r>
    <x v="0"/>
    <x v="5"/>
    <n v="0.61818181818181817"/>
    <n v="38"/>
    <n v="55"/>
    <n v="0.42710743801652895"/>
  </r>
  <r>
    <x v="0"/>
    <x v="6"/>
    <n v="0.57333333333333336"/>
    <n v="5"/>
    <n v="300"/>
    <n v="9.555555555555555E-3"/>
  </r>
  <r>
    <x v="0"/>
    <x v="6"/>
    <n v="0.624"/>
    <n v="1"/>
    <n v="400"/>
    <n v="1.56E-3"/>
  </r>
  <r>
    <x v="0"/>
    <x v="6"/>
    <n v="0.59351351351351345"/>
    <n v="1"/>
    <n v="370"/>
    <n v="1.6040905770635498E-3"/>
  </r>
  <r>
    <x v="0"/>
    <x v="6"/>
    <n v="0.64800000000000002"/>
    <n v="1"/>
    <n v="500"/>
    <n v="1.2960000000000001E-3"/>
  </r>
  <r>
    <x v="1"/>
    <x v="6"/>
    <n v="-0.20888888888888901"/>
    <n v="0"/>
    <n v="45"/>
    <n v="0"/>
  </r>
  <r>
    <x v="1"/>
    <x v="6"/>
    <n v="0.58588235294117641"/>
    <n v="0"/>
    <n v="85"/>
    <n v="0"/>
  </r>
  <r>
    <x v="0"/>
    <x v="6"/>
    <n v="0.37777777777777777"/>
    <n v="5"/>
    <n v="180"/>
    <n v="1.0493827160493827E-2"/>
  </r>
  <r>
    <x v="0"/>
    <x v="6"/>
    <n v="0.70461538461538464"/>
    <n v="5"/>
    <n v="650"/>
    <n v="5.4201183431952663E-3"/>
  </r>
  <r>
    <x v="0"/>
    <x v="6"/>
    <n v="0.55862068965517242"/>
    <n v="5"/>
    <n v="290"/>
    <n v="9.6313912009512483E-3"/>
  </r>
  <r>
    <x v="0"/>
    <x v="6"/>
    <n v="0.73333333333333328"/>
    <n v="58"/>
    <n v="60"/>
    <n v="0.7088888888888889"/>
  </r>
  <r>
    <x v="0"/>
    <x v="7"/>
    <n v="0.55200000000000005"/>
    <n v="23"/>
    <n v="250"/>
    <n v="5.0784000000000003E-2"/>
  </r>
  <r>
    <x v="0"/>
    <x v="8"/>
    <n v="0.70285714285714285"/>
    <n v="5"/>
    <n v="700"/>
    <n v="5.0204081632653063E-3"/>
  </r>
  <r>
    <x v="0"/>
    <x v="9"/>
    <n v="0.78181818181818186"/>
    <n v="5"/>
    <n v="55"/>
    <n v="7.1074380165289261E-2"/>
  </r>
  <r>
    <x v="0"/>
    <x v="9"/>
    <n v="0.77272727272727271"/>
    <n v="1"/>
    <n v="66"/>
    <n v="1.1707988980716254E-2"/>
  </r>
  <r>
    <x v="0"/>
    <x v="9"/>
    <n v="0.47499999999999998"/>
    <n v="21"/>
    <n v="40"/>
    <n v="0.24937499999999999"/>
  </r>
  <r>
    <x v="0"/>
    <x v="10"/>
    <n v="0.37777777777777777"/>
    <n v="89"/>
    <n v="180"/>
    <n v="0.18679012345679011"/>
  </r>
  <r>
    <x v="0"/>
    <x v="10"/>
    <n v="0.57333333333333336"/>
    <n v="5"/>
    <n v="300"/>
    <n v="9.555555555555555E-3"/>
  </r>
  <r>
    <x v="0"/>
    <x v="10"/>
    <n v="0.59351351351351345"/>
    <n v="1"/>
    <n v="370"/>
    <n v="1.6040905770635498E-3"/>
  </r>
  <r>
    <x v="0"/>
    <x v="10"/>
    <n v="0.64800000000000002"/>
    <n v="1"/>
    <n v="500"/>
    <n v="1.2960000000000001E-3"/>
  </r>
  <r>
    <x v="0"/>
    <x v="10"/>
    <n v="0.81333333333333324"/>
    <n v="3"/>
    <n v="60"/>
    <n v="4.0666666666666657E-2"/>
  </r>
  <r>
    <x v="0"/>
    <x v="10"/>
    <n v="0.70461538461538464"/>
    <n v="3"/>
    <n v="650"/>
    <n v="3.25207100591716E-3"/>
  </r>
  <r>
    <x v="0"/>
    <x v="10"/>
    <n v="0.77846153846153854"/>
    <n v="5"/>
    <n v="65"/>
    <n v="5.9881656804733736E-2"/>
  </r>
  <r>
    <x v="0"/>
    <x v="10"/>
    <n v="0.69882352941176473"/>
    <n v="5"/>
    <n v="85"/>
    <n v="4.110726643598616E-2"/>
  </r>
  <r>
    <x v="0"/>
    <x v="10"/>
    <n v="0.624"/>
    <n v="5"/>
    <n v="400"/>
    <n v="7.8000000000000005E-3"/>
  </r>
  <r>
    <x v="0"/>
    <x v="10"/>
    <n v="0.55862068965517242"/>
    <n v="5"/>
    <n v="290"/>
    <n v="9.6313912009512483E-3"/>
  </r>
  <r>
    <x v="0"/>
    <x v="10"/>
    <n v="0.77931034482758621"/>
    <n v="23"/>
    <n v="145"/>
    <n v="0.12361474435196196"/>
  </r>
  <r>
    <x v="0"/>
    <x v="10"/>
    <n v="0.8222222222222223"/>
    <n v="23"/>
    <n v="99"/>
    <n v="0.19102132435465768"/>
  </r>
  <r>
    <x v="0"/>
    <x v="10"/>
    <n v="0.75111111111111106"/>
    <n v="25"/>
    <n v="90"/>
    <n v="0.20864197530864195"/>
  </r>
  <r>
    <x v="0"/>
    <x v="10"/>
    <n v="0.65490196078431373"/>
    <n v="48"/>
    <n v="510"/>
    <n v="6.1637831603229533E-2"/>
  </r>
  <r>
    <x v="0"/>
    <x v="10"/>
    <n v="0.70666666666666667"/>
    <n v="49"/>
    <n v="600"/>
    <n v="5.7711111111111109E-2"/>
  </r>
  <r>
    <x v="0"/>
    <x v="10"/>
    <n v="0.82769230769230762"/>
    <n v="35"/>
    <n v="65"/>
    <n v="0.44568047337278099"/>
  </r>
  <r>
    <x v="0"/>
    <x v="10"/>
    <n v="0.8147368421052632"/>
    <n v="35"/>
    <n v="95"/>
    <n v="0.3001662049861496"/>
  </r>
  <r>
    <x v="0"/>
    <x v="10"/>
    <n v="0.67999999999999994"/>
    <n v="58"/>
    <n v="80"/>
    <n v="0.49299999999999999"/>
  </r>
  <r>
    <x v="0"/>
    <x v="10"/>
    <n v="0.2"/>
    <n v="208"/>
    <n v="120"/>
    <n v="0.34666666666666668"/>
  </r>
  <r>
    <x v="0"/>
    <x v="10"/>
    <n v="0.70285714285714285"/>
    <n v="81"/>
    <n v="700"/>
    <n v="8.133061224489796E-2"/>
  </r>
  <r>
    <x v="0"/>
    <x v="10"/>
    <n v="0.67919799498746869"/>
    <n v="100"/>
    <n v="399"/>
    <n v="0.17022506140036808"/>
  </r>
  <r>
    <x v="0"/>
    <x v="10"/>
    <n v="0.8"/>
    <n v="55"/>
    <n v="160"/>
    <n v="0.27500000000000002"/>
  </r>
  <r>
    <x v="0"/>
    <x v="10"/>
    <n v="0.55200000000000005"/>
    <n v="131"/>
    <n v="250"/>
    <n v="0.28924800000000006"/>
  </r>
  <r>
    <x v="0"/>
    <x v="10"/>
    <n v="0.65090909090909088"/>
    <n v="665"/>
    <n v="55"/>
    <n v="7.8700826446280985"/>
  </r>
  <r>
    <x v="0"/>
    <x v="11"/>
    <n v="0.52"/>
    <n v="5"/>
    <n v="250"/>
    <n v="1.04E-2"/>
  </r>
  <r>
    <x v="0"/>
    <x v="11"/>
    <n v="0.69387755102040816"/>
    <n v="1"/>
    <n v="49"/>
    <n v="1.4160766347355268E-2"/>
  </r>
  <r>
    <x v="0"/>
    <x v="11"/>
    <n v="0.53846153846153844"/>
    <n v="1"/>
    <n v="260"/>
    <n v="2.0710059171597634E-3"/>
  </r>
  <r>
    <x v="0"/>
    <x v="11"/>
    <n v="0.78181818181818186"/>
    <n v="5"/>
    <n v="55"/>
    <n v="7.1074380165289261E-2"/>
  </r>
  <r>
    <x v="0"/>
    <x v="11"/>
    <n v="0.25"/>
    <n v="5"/>
    <n v="120"/>
    <n v="1.0416666666666666E-2"/>
  </r>
  <r>
    <x v="0"/>
    <x v="11"/>
    <n v="0.7857142857142857"/>
    <n v="28"/>
    <n v="70"/>
    <n v="0.31428571428571428"/>
  </r>
  <r>
    <x v="0"/>
    <x v="11"/>
    <n v="0.47499999999999998"/>
    <n v="181"/>
    <n v="40"/>
    <n v="2.149375"/>
  </r>
  <r>
    <x v="0"/>
    <x v="12"/>
    <n v="0.52"/>
    <n v="1"/>
    <n v="250"/>
    <n v="2.0800000000000003E-3"/>
  </r>
  <r>
    <x v="0"/>
    <x v="12"/>
    <n v="0.58529411764705885"/>
    <n v="1"/>
    <n v="340"/>
    <n v="1.7214532871972319E-3"/>
  </r>
  <r>
    <x v="0"/>
    <x v="12"/>
    <n v="0.64893617021276595"/>
    <n v="2"/>
    <n v="470"/>
    <n v="2.7614305115436851E-3"/>
  </r>
  <r>
    <x v="0"/>
    <x v="12"/>
    <n v="0.74285714285714288"/>
    <n v="3"/>
    <n v="70"/>
    <n v="3.1836734693877551E-2"/>
  </r>
  <r>
    <x v="0"/>
    <x v="12"/>
    <n v="0.61891891891891893"/>
    <n v="3"/>
    <n v="370"/>
    <n v="5.0182615047479912E-3"/>
  </r>
  <r>
    <x v="0"/>
    <x v="12"/>
    <n v="0.79"/>
    <n v="5"/>
    <n v="50"/>
    <n v="7.9000000000000001E-2"/>
  </r>
  <r>
    <x v="0"/>
    <x v="12"/>
    <n v="0.7931034482758621"/>
    <n v="10"/>
    <n v="145"/>
    <n v="5.4696789536266353E-2"/>
  </r>
  <r>
    <x v="0"/>
    <x v="12"/>
    <n v="0.80588235294117649"/>
    <n v="10"/>
    <n v="85"/>
    <n v="9.4809688581314874E-2"/>
  </r>
  <r>
    <x v="0"/>
    <x v="12"/>
    <n v="0.69439728353140917"/>
    <n v="10"/>
    <n v="589"/>
    <n v="1.1789427564200495E-2"/>
  </r>
  <r>
    <x v="0"/>
    <x v="12"/>
    <n v="0.76666666666666672"/>
    <n v="24"/>
    <n v="45"/>
    <n v="0.40888888888888891"/>
  </r>
  <r>
    <x v="0"/>
    <x v="12"/>
    <n v="0.58750000000000002"/>
    <n v="270"/>
    <n v="400"/>
    <n v="0.39656249999999998"/>
  </r>
  <r>
    <x v="0"/>
    <x v="12"/>
    <n v="0.73"/>
    <n v="208"/>
    <n v="50"/>
    <n v="3.0367999999999999"/>
  </r>
  <r>
    <x v="0"/>
    <x v="12"/>
    <n v="0.73417721518987344"/>
    <n v="221"/>
    <n v="79"/>
    <n v="2.0538375260374937"/>
  </r>
  <r>
    <x v="0"/>
    <x v="12"/>
    <n v="0.7931034482758621"/>
    <n v="195"/>
    <n v="145"/>
    <n v="1.0665873959571939"/>
  </r>
  <r>
    <x v="0"/>
    <x v="12"/>
    <n v="0.72499999999999998"/>
    <n v="211"/>
    <n v="600"/>
    <n v="0.25495833333333334"/>
  </r>
  <r>
    <x v="0"/>
    <x v="12"/>
    <n v="0.69387755102040816"/>
    <n v="242"/>
    <n v="49"/>
    <n v="3.4269054560599748"/>
  </r>
  <r>
    <x v="0"/>
    <x v="12"/>
    <n v="0.77272727272727271"/>
    <n v="354"/>
    <n v="66"/>
    <n v="4.1446280991735538"/>
  </r>
  <r>
    <x v="0"/>
    <x v="12"/>
    <n v="0.68"/>
    <n v="574"/>
    <n v="75"/>
    <n v="5.2042666666666673"/>
  </r>
  <r>
    <x v="0"/>
    <x v="12"/>
    <n v="0.7"/>
    <n v="521"/>
    <n v="650"/>
    <n v="0.56107692307692303"/>
  </r>
  <r>
    <x v="0"/>
    <x v="12"/>
    <n v="0.82352941176470584"/>
    <n v="180"/>
    <n v="85"/>
    <n v="1.7439446366782005"/>
  </r>
  <r>
    <x v="0"/>
    <x v="12"/>
    <n v="0.7"/>
    <n v="637"/>
    <n v="80"/>
    <n v="5.5737499999999995"/>
  </r>
  <r>
    <x v="0"/>
    <x v="12"/>
    <n v="0.79374999999999996"/>
    <n v="250"/>
    <n v="80"/>
    <n v="2.48046875"/>
  </r>
  <r>
    <x v="0"/>
    <x v="12"/>
    <n v="0.57999999999999996"/>
    <n v="927"/>
    <n v="250"/>
    <n v="2.1506399999999997"/>
  </r>
  <r>
    <x v="0"/>
    <x v="12"/>
    <n v="0.50909090909090904"/>
    <n v="691"/>
    <n v="55"/>
    <n v="6.3960330578512394"/>
  </r>
  <r>
    <x v="0"/>
    <x v="12"/>
    <n v="0.66666666666666663"/>
    <n v="1992"/>
    <n v="45"/>
    <n v="29.511111111111113"/>
  </r>
  <r>
    <x v="0"/>
    <x v="12"/>
    <n v="0.6785714285714286"/>
    <n v="836"/>
    <n v="70"/>
    <n v="8.1040816326530614"/>
  </r>
  <r>
    <x v="0"/>
    <x v="12"/>
    <n v="0.7"/>
    <n v="1378"/>
    <n v="35"/>
    <n v="27.56"/>
  </r>
  <r>
    <x v="0"/>
    <x v="12"/>
    <n v="0.7"/>
    <n v="2083"/>
    <n v="60"/>
    <n v="24.301666666666666"/>
  </r>
  <r>
    <x v="0"/>
    <x v="12"/>
    <n v="0.64"/>
    <n v="2110"/>
    <n v="50"/>
    <n v="27.008000000000003"/>
  </r>
  <r>
    <x v="0"/>
    <x v="12"/>
    <n v="0.7"/>
    <n v="2277"/>
    <n v="35"/>
    <n v="45.54"/>
  </r>
  <r>
    <x v="0"/>
    <x v="12"/>
    <n v="0.7"/>
    <n v="3234"/>
    <n v="50"/>
    <n v="45.275999999999996"/>
  </r>
  <r>
    <x v="0"/>
    <x v="12"/>
    <n v="0.7857142857142857"/>
    <n v="4130"/>
    <n v="70"/>
    <n v="46.357142857142854"/>
  </r>
  <r>
    <x v="0"/>
    <x v="12"/>
    <n v="0.47499999999999998"/>
    <n v="7350"/>
    <n v="40"/>
    <n v="87.28125"/>
  </r>
  <r>
    <x v="0"/>
    <x v="12"/>
    <n v="0.7"/>
    <n v="5107"/>
    <n v="35"/>
    <n v="102.13999999999999"/>
  </r>
  <r>
    <x v="0"/>
    <x v="12"/>
    <n v="0.78181818181818186"/>
    <n v="5052"/>
    <n v="55"/>
    <n v="71.813553719008269"/>
  </r>
  <r>
    <x v="0"/>
    <x v="12"/>
    <n v="0.61818181818181817"/>
    <n v="10200"/>
    <n v="55"/>
    <n v="114.64462809917354"/>
  </r>
  <r>
    <x v="1"/>
    <x v="13"/>
    <n v="0.578125"/>
    <n v="57"/>
    <n v="64"/>
    <n v="0.514892578125"/>
  </r>
  <r>
    <x v="1"/>
    <x v="13"/>
    <n v="0.48"/>
    <n v="13"/>
    <n v="75"/>
    <n v="8.3199999999999996E-2"/>
  </r>
  <r>
    <x v="1"/>
    <x v="13"/>
    <n v="0.48863636363636365"/>
    <n v="18"/>
    <n v="88"/>
    <n v="9.994834710743801E-2"/>
  </r>
  <r>
    <x v="1"/>
    <x v="13"/>
    <n v="0.45"/>
    <n v="48"/>
    <n v="60"/>
    <n v="0.36000000000000004"/>
  </r>
  <r>
    <x v="1"/>
    <x v="13"/>
    <n v="0.1"/>
    <n v="125"/>
    <n v="50"/>
    <n v="0.25"/>
  </r>
  <r>
    <x v="1"/>
    <x v="13"/>
    <n v="0.54430379746835444"/>
    <n v="75"/>
    <n v="79"/>
    <n v="0.51674411152058963"/>
  </r>
  <r>
    <x v="1"/>
    <x v="13"/>
    <n v="6.25E-2"/>
    <n v="54"/>
    <n v="48"/>
    <n v="7.03125E-2"/>
  </r>
  <r>
    <x v="1"/>
    <x v="13"/>
    <n v="0"/>
    <n v="97"/>
    <n v="60"/>
    <n v="0"/>
  </r>
  <r>
    <x v="1"/>
    <x v="13"/>
    <n v="-0.27500000000000002"/>
    <n v="66"/>
    <n v="40"/>
    <n v="-0.45375000000000004"/>
  </r>
  <r>
    <x v="1"/>
    <x v="13"/>
    <n v="0.58904109589041098"/>
    <n v="77"/>
    <n v="73"/>
    <n v="0.62131732032276232"/>
  </r>
  <r>
    <x v="1"/>
    <x v="13"/>
    <n v="0.66666666666666663"/>
    <n v="108"/>
    <n v="45"/>
    <n v="1.6"/>
  </r>
  <r>
    <x v="1"/>
    <x v="13"/>
    <n v="0.53125"/>
    <n v="135"/>
    <n v="32"/>
    <n v="2.2412109375"/>
  </r>
  <r>
    <x v="1"/>
    <x v="13"/>
    <n v="0.52941176470588236"/>
    <n v="140"/>
    <n v="51"/>
    <n v="1.453287197231834"/>
  </r>
  <r>
    <x v="1"/>
    <x v="13"/>
    <n v="0"/>
    <n v="184"/>
    <n v="45"/>
    <n v="0"/>
  </r>
  <r>
    <x v="1"/>
    <x v="13"/>
    <n v="0.41558441558441561"/>
    <n v="243"/>
    <n v="77"/>
    <n v="1.3115196491819869"/>
  </r>
  <r>
    <x v="1"/>
    <x v="13"/>
    <n v="0.66666666666666663"/>
    <n v="216"/>
    <n v="45"/>
    <n v="3.2"/>
  </r>
  <r>
    <x v="1"/>
    <x v="13"/>
    <n v="0.56000000000000005"/>
    <n v="219"/>
    <n v="75"/>
    <n v="1.6352000000000002"/>
  </r>
  <r>
    <x v="1"/>
    <x v="13"/>
    <n v="0.43333333333333335"/>
    <n v="234"/>
    <n v="90"/>
    <n v="1.1266666666666667"/>
  </r>
  <r>
    <x v="1"/>
    <x v="13"/>
    <n v="-0.2"/>
    <n v="135"/>
    <n v="35"/>
    <n v="-0.77142857142857146"/>
  </r>
  <r>
    <x v="1"/>
    <x v="13"/>
    <n v="0.25"/>
    <n v="207"/>
    <n v="60"/>
    <n v="0.86250000000000004"/>
  </r>
  <r>
    <x v="1"/>
    <x v="13"/>
    <n v="0.48"/>
    <n v="274"/>
    <n v="75"/>
    <n v="1.7535999999999998"/>
  </r>
  <r>
    <x v="1"/>
    <x v="13"/>
    <n v="0.47058823529411764"/>
    <n v="204"/>
    <n v="85"/>
    <n v="1.1294117647058823"/>
  </r>
  <r>
    <x v="1"/>
    <x v="13"/>
    <n v="0.53333333333333333"/>
    <n v="296"/>
    <n v="45"/>
    <n v="3.5081481481481482"/>
  </r>
  <r>
    <x v="1"/>
    <x v="13"/>
    <n v="0.46666666666666667"/>
    <n v="339"/>
    <n v="45"/>
    <n v="3.5155555555555553"/>
  </r>
  <r>
    <x v="1"/>
    <x v="13"/>
    <n v="0.49152542372881358"/>
    <n v="298"/>
    <n v="59"/>
    <n v="2.4826199367997699"/>
  </r>
  <r>
    <x v="1"/>
    <x v="13"/>
    <n v="0.29411764705882354"/>
    <n v="311"/>
    <n v="85"/>
    <n v="1.0761245674740485"/>
  </r>
  <r>
    <x v="1"/>
    <x v="13"/>
    <n v="0.4"/>
    <n v="407"/>
    <n v="35"/>
    <n v="4.6514285714285721"/>
  </r>
  <r>
    <x v="1"/>
    <x v="13"/>
    <n v="0.1"/>
    <n v="329"/>
    <n v="50"/>
    <n v="0.65799999999999992"/>
  </r>
  <r>
    <x v="1"/>
    <x v="13"/>
    <n v="0.5"/>
    <n v="418"/>
    <n v="30"/>
    <n v="6.9666666666666668"/>
  </r>
  <r>
    <x v="1"/>
    <x v="13"/>
    <n v="0.44615384615384618"/>
    <n v="425"/>
    <n v="65"/>
    <n v="2.9171597633136095"/>
  </r>
  <r>
    <x v="1"/>
    <x v="13"/>
    <n v="0.42727272727272725"/>
    <n v="687"/>
    <n v="55"/>
    <n v="5.3370247933884292"/>
  </r>
  <r>
    <x v="1"/>
    <x v="13"/>
    <n v="0.4"/>
    <n v="450"/>
    <n v="45"/>
    <n v="4"/>
  </r>
  <r>
    <x v="1"/>
    <x v="13"/>
    <n v="0.5"/>
    <n v="810"/>
    <n v="60"/>
    <n v="6.75"/>
  </r>
  <r>
    <x v="0"/>
    <x v="14"/>
    <n v="0.37777777777777777"/>
    <n v="5"/>
    <n v="180"/>
    <n v="1.0493827160493827E-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n v="8.9256198347107435E-2"/>
    <n v="0.49090909090909091"/>
    <n v="40"/>
  </r>
  <r>
    <x v="0"/>
    <x v="0"/>
    <n v="1.4711804343740772E-2"/>
    <n v="0.7098445595854922"/>
    <n v="12"/>
  </r>
  <r>
    <x v="0"/>
    <x v="0"/>
    <n v="1.8483245149911816E-3"/>
    <n v="0.5822222222222222"/>
    <n v="1"/>
  </r>
  <r>
    <x v="1"/>
    <x v="0"/>
    <n v="0"/>
    <n v="-0.30666666666666653"/>
    <n v="0"/>
  </r>
  <r>
    <x v="1"/>
    <x v="0"/>
    <n v="0"/>
    <n v="-0.25263157894736826"/>
    <n v="0"/>
  </r>
  <r>
    <x v="0"/>
    <x v="0"/>
    <n v="0.13340484429065744"/>
    <n v="0.61294117647058821"/>
    <n v="74"/>
  </r>
  <r>
    <x v="0"/>
    <x v="0"/>
    <n v="0.13027200000000003"/>
    <n v="0.55200000000000005"/>
    <n v="59"/>
  </r>
  <r>
    <x v="2"/>
    <x v="0"/>
    <n v="0.1978"/>
    <n v="0.86"/>
    <n v="23"/>
  </r>
  <r>
    <x v="0"/>
    <x v="0"/>
    <n v="3.0696296296296298E-2"/>
    <n v="0.65777777777777779"/>
    <n v="21"/>
  </r>
  <r>
    <x v="0"/>
    <x v="0"/>
    <n v="1.3800000000000001"/>
    <n v="0.72000000000000008"/>
    <n v="115"/>
  </r>
  <r>
    <x v="2"/>
    <x v="0"/>
    <n v="6.9722222222222227E-2"/>
    <n v="0.83666666666666667"/>
    <n v="10"/>
  </r>
  <r>
    <x v="2"/>
    <x v="0"/>
    <n v="0.17249999999999999"/>
    <n v="0.7"/>
    <n v="69"/>
  </r>
  <r>
    <x v="0"/>
    <x v="0"/>
    <n v="0.18106508875739644"/>
    <n v="0.7846153846153846"/>
    <n v="30"/>
  </r>
  <r>
    <x v="0"/>
    <x v="0"/>
    <n v="0.89002666666666663"/>
    <n v="0.79466666666666663"/>
    <n v="84"/>
  </r>
  <r>
    <x v="2"/>
    <x v="0"/>
    <n v="0.20716800000000002"/>
    <n v="0.66400000000000003"/>
    <n v="78"/>
  </r>
  <r>
    <x v="2"/>
    <x v="0"/>
    <n v="0.33465600000000001"/>
    <n v="0.66400000000000003"/>
    <n v="126"/>
  </r>
  <r>
    <x v="2"/>
    <x v="0"/>
    <n v="0.48255555555555563"/>
    <n v="0.67333333333333334"/>
    <n v="215"/>
  </r>
  <r>
    <x v="2"/>
    <x v="0"/>
    <n v="0.97149999999999992"/>
    <n v="0.57999999999999996"/>
    <n v="335"/>
  </r>
  <r>
    <x v="2"/>
    <x v="0"/>
    <n v="0.19526666666666667"/>
    <n v="0.57999999999999996"/>
    <n v="101"/>
  </r>
  <r>
    <x v="2"/>
    <x v="0"/>
    <n v="0.43919999999999998"/>
    <n v="0.72"/>
    <n v="183"/>
  </r>
  <r>
    <x v="0"/>
    <x v="0"/>
    <n v="2.4279773156899811"/>
    <n v="0.71594202898550729"/>
    <n v="234"/>
  </r>
  <r>
    <x v="2"/>
    <x v="0"/>
    <n v="0.55249999999999999"/>
    <n v="0.7"/>
    <n v="221"/>
  </r>
  <r>
    <x v="0"/>
    <x v="0"/>
    <n v="0.77163377777777786"/>
    <n v="0.58933333333333338"/>
    <n v="491"/>
  </r>
  <r>
    <x v="0"/>
    <x v="0"/>
    <n v="4.5529257067718607"/>
    <n v="0.64102564102564108"/>
    <n v="277"/>
  </r>
  <r>
    <x v="0"/>
    <x v="0"/>
    <n v="1.6295857988165681"/>
    <n v="0.7846153846153846"/>
    <n v="270"/>
  </r>
  <r>
    <x v="2"/>
    <x v="0"/>
    <n v="0.23765432098765432"/>
    <n v="0.61111111111111116"/>
    <n v="70"/>
  </r>
  <r>
    <x v="0"/>
    <x v="0"/>
    <n v="1.4757023921291736"/>
    <n v="0.68802228412256272"/>
    <n v="770"/>
  </r>
  <r>
    <x v="0"/>
    <x v="0"/>
    <n v="12.980749999999997"/>
    <n v="0.68499999999999994"/>
    <n v="758"/>
  </r>
  <r>
    <x v="0"/>
    <x v="0"/>
    <n v="1.2714666666666667"/>
    <n v="0.79466666666666663"/>
    <n v="120"/>
  </r>
  <r>
    <x v="2"/>
    <x v="0"/>
    <n v="2.9417472"/>
    <n v="0.82079999999999997"/>
    <n v="448"/>
  </r>
  <r>
    <x v="0"/>
    <x v="0"/>
    <n v="0.37953884406079941"/>
    <n v="0.68835616438356162"/>
    <n v="322"/>
  </r>
  <r>
    <x v="0"/>
    <x v="0"/>
    <n v="0.36007119971520113"/>
    <n v="0.7094339622641509"/>
    <n v="269"/>
  </r>
  <r>
    <x v="0"/>
    <x v="0"/>
    <n v="7.9755266272189358"/>
    <n v="0.65538461538461545"/>
    <n v="791"/>
  </r>
  <r>
    <x v="0"/>
    <x v="0"/>
    <n v="10.165178571428571"/>
    <n v="0.75"/>
    <n v="759"/>
  </r>
  <r>
    <x v="0"/>
    <x v="0"/>
    <n v="3.7028571428571433"/>
    <n v="0.72000000000000008"/>
    <n v="180"/>
  </r>
  <r>
    <x v="2"/>
    <x v="0"/>
    <n v="1.1687582899704112"/>
    <n v="0.29292929292929293"/>
    <n v="395"/>
  </r>
  <r>
    <x v="2"/>
    <x v="0"/>
    <n v="1.5696960000000002"/>
    <n v="0.66400000000000003"/>
    <n v="591"/>
  </r>
  <r>
    <x v="0"/>
    <x v="0"/>
    <n v="7.7342222222222228"/>
    <n v="0.44"/>
    <n v="791"/>
  </r>
  <r>
    <x v="2"/>
    <x v="0"/>
    <n v="1.085112426035503"/>
    <n v="0.87076923076923074"/>
    <n v="162"/>
  </r>
  <r>
    <x v="0"/>
    <x v="0"/>
    <n v="4.817479191438764"/>
    <n v="0.63793103448275867"/>
    <n v="438"/>
  </r>
  <r>
    <x v="0"/>
    <x v="0"/>
    <n v="2.0361431701972244"/>
    <n v="0.4702702702702703"/>
    <n v="801"/>
  </r>
  <r>
    <x v="0"/>
    <x v="0"/>
    <n v="2.5153909465020576"/>
    <n v="0.27407407407407408"/>
    <n v="1239"/>
  </r>
  <r>
    <x v="0"/>
    <x v="0"/>
    <n v="6.9942857142857155"/>
    <n v="0.72000000000000008"/>
    <n v="340"/>
  </r>
  <r>
    <x v="0"/>
    <x v="0"/>
    <n v="8.2679289940828422"/>
    <n v="0.65538461538461545"/>
    <n v="820"/>
  </r>
  <r>
    <x v="2"/>
    <x v="0"/>
    <n v="9.6485950413223129"/>
    <n v="0.49090909090909091"/>
    <n v="1081"/>
  </r>
  <r>
    <x v="2"/>
    <x v="0"/>
    <n v="3.0706666666666669"/>
    <n v="0.62666666666666671"/>
    <n v="735"/>
  </r>
  <r>
    <x v="0"/>
    <x v="0"/>
    <n v="22.454671280276816"/>
    <n v="0.83529411764705885"/>
    <n v="2285"/>
  </r>
  <r>
    <x v="0"/>
    <x v="0"/>
    <n v="42.807142857142864"/>
    <n v="0.65000000000000013"/>
    <n v="1844"/>
  </r>
  <r>
    <x v="2"/>
    <x v="0"/>
    <n v="19.636480000000002"/>
    <n v="0.55200000000000005"/>
    <n v="2668"/>
  </r>
  <r>
    <x v="2"/>
    <x v="0"/>
    <n v="26.383999999999997"/>
    <n v="0.77599999999999991"/>
    <n v="1700"/>
  </r>
  <r>
    <x v="0"/>
    <x v="0"/>
    <n v="54.622720000000008"/>
    <n v="0.6080000000000001"/>
    <n v="2246"/>
  </r>
  <r>
    <x v="0"/>
    <x v="0"/>
    <n v="75.632000000000005"/>
    <n v="0.58000000000000007"/>
    <n v="5216"/>
  </r>
  <r>
    <x v="2"/>
    <x v="0"/>
    <n v="3.1980641975308637"/>
    <n v="0.75111111111111106"/>
    <n v="1916"/>
  </r>
  <r>
    <x v="0"/>
    <x v="0"/>
    <n v="47.468571428571423"/>
    <n v="0.6"/>
    <n v="2769"/>
  </r>
  <r>
    <x v="0"/>
    <x v="0"/>
    <n v="133.80864000000003"/>
    <n v="0.6080000000000001"/>
    <n v="5502"/>
  </r>
  <r>
    <x v="0"/>
    <x v="0"/>
    <n v="74.888520710059169"/>
    <n v="0.7846153846153846"/>
    <n v="6204"/>
  </r>
  <r>
    <x v="0"/>
    <x v="0"/>
    <n v="105.01728395061727"/>
    <n v="0.68888888888888888"/>
    <n v="6860"/>
  </r>
  <r>
    <x v="0"/>
    <x v="0"/>
    <n v="154.41175308641974"/>
    <n v="0.75111111111111106"/>
    <n v="9251"/>
  </r>
  <r>
    <x v="0"/>
    <x v="0"/>
    <n v="140.78498765432101"/>
    <n v="0.56444444444444453"/>
    <n v="11224"/>
  </r>
  <r>
    <x v="0"/>
    <x v="0"/>
    <n v="159.68622222222226"/>
    <n v="0.34666666666666673"/>
    <n v="13819"/>
  </r>
  <r>
    <x v="0"/>
    <x v="1"/>
    <n v="5.6160000000000005"/>
    <n v="0.4"/>
    <n v="1053"/>
  </r>
  <r>
    <x v="0"/>
    <x v="2"/>
    <n v="7.1074380165289261E-2"/>
    <n v="0.78181818181818186"/>
    <n v="5"/>
  </r>
  <r>
    <x v="0"/>
    <x v="2"/>
    <n v="0.26"/>
    <n v="0.7"/>
    <n v="13"/>
  </r>
  <r>
    <x v="0"/>
    <x v="2"/>
    <n v="5.8539944903581262E-2"/>
    <n v="0.77272727272727271"/>
    <n v="5"/>
  </r>
  <r>
    <x v="0"/>
    <x v="2"/>
    <n v="2.7880147412273678E-2"/>
    <n v="0.73417721518987344"/>
    <n v="3"/>
  </r>
  <r>
    <x v="0"/>
    <x v="2"/>
    <n v="3.1836734693877551E-2"/>
    <n v="0.74285714285714288"/>
    <n v="3"/>
  </r>
  <r>
    <x v="0"/>
    <x v="2"/>
    <n v="1.04E-2"/>
    <n v="0.52"/>
    <n v="5"/>
  </r>
  <r>
    <x v="0"/>
    <x v="2"/>
    <n v="1.4160766347355268E-2"/>
    <n v="0.69387755102040816"/>
    <n v="1"/>
  </r>
  <r>
    <x v="0"/>
    <x v="2"/>
    <n v="1.0939357907253271E-2"/>
    <n v="0.7931034482758621"/>
    <n v="2"/>
  </r>
  <r>
    <x v="0"/>
    <x v="2"/>
    <n v="1.6835016835016835E-2"/>
    <n v="0.83333333333333337"/>
    <n v="2"/>
  </r>
  <r>
    <x v="0"/>
    <x v="2"/>
    <n v="3.3455076698319943E-3"/>
    <n v="0.61891891891891893"/>
    <n v="2"/>
  </r>
  <r>
    <x v="0"/>
    <x v="2"/>
    <n v="4.8469387755102046E-2"/>
    <n v="0.6785714285714286"/>
    <n v="5"/>
  </r>
  <r>
    <x v="0"/>
    <x v="2"/>
    <n v="1.6666666666666666E-2"/>
    <n v="0.25"/>
    <n v="8"/>
  </r>
  <r>
    <x v="0"/>
    <x v="2"/>
    <n v="0.48888888888888887"/>
    <n v="0.66666666666666663"/>
    <n v="33"/>
  </r>
  <r>
    <x v="0"/>
    <x v="3"/>
    <n v="8.6112000000000008E-2"/>
    <n v="0.55200000000000005"/>
    <n v="39"/>
  </r>
  <r>
    <x v="0"/>
    <x v="4"/>
    <n v="1.9262782401902497E-3"/>
    <n v="0.55862068965517242"/>
    <n v="1"/>
  </r>
  <r>
    <x v="0"/>
    <x v="4"/>
    <n v="5.0204081632653063E-3"/>
    <n v="0.70285714285714285"/>
    <n v="5"/>
  </r>
  <r>
    <x v="0"/>
    <x v="4"/>
    <n v="0.12239999999999999"/>
    <n v="0.36"/>
    <n v="51"/>
  </r>
  <r>
    <x v="0"/>
    <x v="4"/>
    <n v="5.1067518420110425E-2"/>
    <n v="0.67919799498746869"/>
    <n v="30"/>
  </r>
  <r>
    <x v="0"/>
    <x v="4"/>
    <n v="9.5024990388312178E-2"/>
    <n v="0.65490196078431373"/>
    <n v="74"/>
  </r>
  <r>
    <x v="0"/>
    <x v="4"/>
    <n v="0.10678299953731245"/>
    <n v="0.71382113821138216"/>
    <n v="92"/>
  </r>
  <r>
    <x v="0"/>
    <x v="4"/>
    <n v="0.47030400000000006"/>
    <n v="0.55200000000000005"/>
    <n v="213"/>
  </r>
  <r>
    <x v="0"/>
    <x v="5"/>
    <n v="3.2307692307692302E-3"/>
    <n v="0.7"/>
    <n v="3"/>
  </r>
  <r>
    <x v="0"/>
    <x v="5"/>
    <n v="4.7400000000000005E-2"/>
    <n v="0.79"/>
    <n v="3"/>
  </r>
  <r>
    <x v="0"/>
    <x v="5"/>
    <n v="0.1683673469387755"/>
    <n v="0.7857142857142857"/>
    <n v="15"/>
  </r>
  <r>
    <x v="0"/>
    <x v="5"/>
    <n v="0.42710743801652895"/>
    <n v="0.61818181818181817"/>
    <n v="38"/>
  </r>
  <r>
    <x v="0"/>
    <x v="6"/>
    <n v="9.555555555555555E-3"/>
    <n v="0.57333333333333336"/>
    <n v="5"/>
  </r>
  <r>
    <x v="0"/>
    <x v="6"/>
    <n v="1.56E-3"/>
    <n v="0.624"/>
    <n v="1"/>
  </r>
  <r>
    <x v="0"/>
    <x v="6"/>
    <n v="1.6040905770635498E-3"/>
    <n v="0.59351351351351345"/>
    <n v="1"/>
  </r>
  <r>
    <x v="0"/>
    <x v="6"/>
    <n v="1.2960000000000001E-3"/>
    <n v="0.64800000000000002"/>
    <n v="1"/>
  </r>
  <r>
    <x v="1"/>
    <x v="6"/>
    <n v="0"/>
    <n v="-0.20888888888888901"/>
    <n v="0"/>
  </r>
  <r>
    <x v="1"/>
    <x v="6"/>
    <n v="0"/>
    <n v="0.58588235294117641"/>
    <n v="0"/>
  </r>
  <r>
    <x v="0"/>
    <x v="6"/>
    <n v="1.0493827160493827E-2"/>
    <n v="0.37777777777777777"/>
    <n v="5"/>
  </r>
  <r>
    <x v="0"/>
    <x v="6"/>
    <n v="5.4201183431952663E-3"/>
    <n v="0.70461538461538464"/>
    <n v="5"/>
  </r>
  <r>
    <x v="0"/>
    <x v="6"/>
    <n v="9.6313912009512483E-3"/>
    <n v="0.55862068965517242"/>
    <n v="5"/>
  </r>
  <r>
    <x v="0"/>
    <x v="6"/>
    <n v="0.7088888888888889"/>
    <n v="0.73333333333333328"/>
    <n v="58"/>
  </r>
  <r>
    <x v="0"/>
    <x v="7"/>
    <n v="5.0784000000000003E-2"/>
    <n v="0.55200000000000005"/>
    <n v="23"/>
  </r>
  <r>
    <x v="0"/>
    <x v="8"/>
    <n v="5.0204081632653063E-3"/>
    <n v="0.70285714285714285"/>
    <n v="5"/>
  </r>
  <r>
    <x v="0"/>
    <x v="9"/>
    <n v="7.1074380165289261E-2"/>
    <n v="0.78181818181818186"/>
    <n v="5"/>
  </r>
  <r>
    <x v="0"/>
    <x v="9"/>
    <n v="1.1707988980716254E-2"/>
    <n v="0.77272727272727271"/>
    <n v="1"/>
  </r>
  <r>
    <x v="0"/>
    <x v="9"/>
    <n v="0.24937499999999999"/>
    <n v="0.47499999999999998"/>
    <n v="21"/>
  </r>
  <r>
    <x v="0"/>
    <x v="10"/>
    <n v="0.18679012345679011"/>
    <n v="0.37777777777777777"/>
    <n v="89"/>
  </r>
  <r>
    <x v="0"/>
    <x v="10"/>
    <n v="9.555555555555555E-3"/>
    <n v="0.57333333333333336"/>
    <n v="5"/>
  </r>
  <r>
    <x v="0"/>
    <x v="10"/>
    <n v="1.6040905770635498E-3"/>
    <n v="0.59351351351351345"/>
    <n v="1"/>
  </r>
  <r>
    <x v="0"/>
    <x v="10"/>
    <n v="1.2960000000000001E-3"/>
    <n v="0.64800000000000002"/>
    <n v="1"/>
  </r>
  <r>
    <x v="0"/>
    <x v="10"/>
    <n v="4.0666666666666657E-2"/>
    <n v="0.81333333333333324"/>
    <n v="3"/>
  </r>
  <r>
    <x v="0"/>
    <x v="10"/>
    <n v="3.25207100591716E-3"/>
    <n v="0.70461538461538464"/>
    <n v="3"/>
  </r>
  <r>
    <x v="0"/>
    <x v="10"/>
    <n v="5.9881656804733736E-2"/>
    <n v="0.77846153846153854"/>
    <n v="5"/>
  </r>
  <r>
    <x v="0"/>
    <x v="10"/>
    <n v="4.110726643598616E-2"/>
    <n v="0.69882352941176473"/>
    <n v="5"/>
  </r>
  <r>
    <x v="0"/>
    <x v="10"/>
    <n v="7.8000000000000005E-3"/>
    <n v="0.624"/>
    <n v="5"/>
  </r>
  <r>
    <x v="0"/>
    <x v="10"/>
    <n v="9.6313912009512483E-3"/>
    <n v="0.55862068965517242"/>
    <n v="5"/>
  </r>
  <r>
    <x v="0"/>
    <x v="10"/>
    <n v="0.12361474435196196"/>
    <n v="0.77931034482758621"/>
    <n v="23"/>
  </r>
  <r>
    <x v="0"/>
    <x v="10"/>
    <n v="0.19102132435465768"/>
    <n v="0.8222222222222223"/>
    <n v="23"/>
  </r>
  <r>
    <x v="0"/>
    <x v="10"/>
    <n v="0.20864197530864195"/>
    <n v="0.75111111111111106"/>
    <n v="25"/>
  </r>
  <r>
    <x v="0"/>
    <x v="10"/>
    <n v="6.1637831603229533E-2"/>
    <n v="0.65490196078431373"/>
    <n v="48"/>
  </r>
  <r>
    <x v="0"/>
    <x v="10"/>
    <n v="5.7711111111111109E-2"/>
    <n v="0.70666666666666667"/>
    <n v="49"/>
  </r>
  <r>
    <x v="0"/>
    <x v="10"/>
    <n v="0.44568047337278099"/>
    <n v="0.82769230769230762"/>
    <n v="35"/>
  </r>
  <r>
    <x v="0"/>
    <x v="10"/>
    <n v="0.3001662049861496"/>
    <n v="0.8147368421052632"/>
    <n v="35"/>
  </r>
  <r>
    <x v="0"/>
    <x v="10"/>
    <n v="0.49299999999999999"/>
    <n v="0.67999999999999994"/>
    <n v="58"/>
  </r>
  <r>
    <x v="0"/>
    <x v="10"/>
    <n v="0.34666666666666668"/>
    <n v="0.2"/>
    <n v="208"/>
  </r>
  <r>
    <x v="0"/>
    <x v="10"/>
    <n v="8.133061224489796E-2"/>
    <n v="0.70285714285714285"/>
    <n v="81"/>
  </r>
  <r>
    <x v="0"/>
    <x v="10"/>
    <n v="0.17022506140036808"/>
    <n v="0.67919799498746869"/>
    <n v="100"/>
  </r>
  <r>
    <x v="0"/>
    <x v="10"/>
    <n v="0.27500000000000002"/>
    <n v="0.8"/>
    <n v="55"/>
  </r>
  <r>
    <x v="0"/>
    <x v="10"/>
    <n v="0.28924800000000006"/>
    <n v="0.55200000000000005"/>
    <n v="131"/>
  </r>
  <r>
    <x v="0"/>
    <x v="10"/>
    <n v="7.8700826446280985"/>
    <n v="0.65090909090909088"/>
    <n v="665"/>
  </r>
  <r>
    <x v="0"/>
    <x v="11"/>
    <n v="1.04E-2"/>
    <n v="0.52"/>
    <n v="5"/>
  </r>
  <r>
    <x v="0"/>
    <x v="11"/>
    <n v="1.4160766347355268E-2"/>
    <n v="0.69387755102040816"/>
    <n v="1"/>
  </r>
  <r>
    <x v="0"/>
    <x v="11"/>
    <n v="2.0710059171597634E-3"/>
    <n v="0.53846153846153844"/>
    <n v="1"/>
  </r>
  <r>
    <x v="0"/>
    <x v="11"/>
    <n v="7.1074380165289261E-2"/>
    <n v="0.78181818181818186"/>
    <n v="5"/>
  </r>
  <r>
    <x v="0"/>
    <x v="11"/>
    <n v="1.0416666666666666E-2"/>
    <n v="0.25"/>
    <n v="5"/>
  </r>
  <r>
    <x v="0"/>
    <x v="11"/>
    <n v="0.31428571428571428"/>
    <n v="0.7857142857142857"/>
    <n v="28"/>
  </r>
  <r>
    <x v="0"/>
    <x v="11"/>
    <n v="2.149375"/>
    <n v="0.47499999999999998"/>
    <n v="181"/>
  </r>
  <r>
    <x v="0"/>
    <x v="12"/>
    <n v="2.0800000000000003E-3"/>
    <n v="0.52"/>
    <n v="1"/>
  </r>
  <r>
    <x v="0"/>
    <x v="12"/>
    <n v="1.7214532871972319E-3"/>
    <n v="0.58529411764705885"/>
    <n v="1"/>
  </r>
  <r>
    <x v="0"/>
    <x v="12"/>
    <n v="2.7614305115436851E-3"/>
    <n v="0.64893617021276595"/>
    <n v="2"/>
  </r>
  <r>
    <x v="0"/>
    <x v="12"/>
    <n v="3.1836734693877551E-2"/>
    <n v="0.74285714285714288"/>
    <n v="3"/>
  </r>
  <r>
    <x v="0"/>
    <x v="12"/>
    <n v="5.0182615047479912E-3"/>
    <n v="0.61891891891891893"/>
    <n v="3"/>
  </r>
  <r>
    <x v="0"/>
    <x v="12"/>
    <n v="7.9000000000000001E-2"/>
    <n v="0.79"/>
    <n v="5"/>
  </r>
  <r>
    <x v="0"/>
    <x v="12"/>
    <n v="5.4696789536266353E-2"/>
    <n v="0.7931034482758621"/>
    <n v="10"/>
  </r>
  <r>
    <x v="0"/>
    <x v="12"/>
    <n v="9.4809688581314874E-2"/>
    <n v="0.80588235294117649"/>
    <n v="10"/>
  </r>
  <r>
    <x v="0"/>
    <x v="12"/>
    <n v="1.1789427564200495E-2"/>
    <n v="0.69439728353140917"/>
    <n v="10"/>
  </r>
  <r>
    <x v="0"/>
    <x v="12"/>
    <n v="0.40888888888888891"/>
    <n v="0.76666666666666672"/>
    <n v="24"/>
  </r>
  <r>
    <x v="0"/>
    <x v="12"/>
    <n v="0.39656249999999998"/>
    <n v="0.58750000000000002"/>
    <n v="270"/>
  </r>
  <r>
    <x v="0"/>
    <x v="12"/>
    <n v="3.0367999999999999"/>
    <n v="0.73"/>
    <n v="208"/>
  </r>
  <r>
    <x v="0"/>
    <x v="12"/>
    <n v="2.0538375260374937"/>
    <n v="0.73417721518987344"/>
    <n v="221"/>
  </r>
  <r>
    <x v="0"/>
    <x v="12"/>
    <n v="1.0665873959571939"/>
    <n v="0.7931034482758621"/>
    <n v="195"/>
  </r>
  <r>
    <x v="0"/>
    <x v="12"/>
    <n v="0.25495833333333334"/>
    <n v="0.72499999999999998"/>
    <n v="211"/>
  </r>
  <r>
    <x v="0"/>
    <x v="12"/>
    <n v="3.4269054560599748"/>
    <n v="0.69387755102040816"/>
    <n v="242"/>
  </r>
  <r>
    <x v="0"/>
    <x v="12"/>
    <n v="4.1446280991735538"/>
    <n v="0.77272727272727271"/>
    <n v="354"/>
  </r>
  <r>
    <x v="0"/>
    <x v="12"/>
    <n v="5.2042666666666673"/>
    <n v="0.68"/>
    <n v="574"/>
  </r>
  <r>
    <x v="0"/>
    <x v="12"/>
    <n v="0.56107692307692303"/>
    <n v="0.7"/>
    <n v="521"/>
  </r>
  <r>
    <x v="0"/>
    <x v="12"/>
    <n v="1.7439446366782005"/>
    <n v="0.82352941176470584"/>
    <n v="180"/>
  </r>
  <r>
    <x v="0"/>
    <x v="12"/>
    <n v="5.5737499999999995"/>
    <n v="0.7"/>
    <n v="637"/>
  </r>
  <r>
    <x v="0"/>
    <x v="12"/>
    <n v="2.48046875"/>
    <n v="0.79374999999999996"/>
    <n v="250"/>
  </r>
  <r>
    <x v="0"/>
    <x v="12"/>
    <n v="2.1506399999999997"/>
    <n v="0.57999999999999996"/>
    <n v="927"/>
  </r>
  <r>
    <x v="0"/>
    <x v="12"/>
    <n v="6.3960330578512394"/>
    <n v="0.50909090909090904"/>
    <n v="691"/>
  </r>
  <r>
    <x v="0"/>
    <x v="12"/>
    <n v="29.511111111111113"/>
    <n v="0.66666666666666663"/>
    <n v="1992"/>
  </r>
  <r>
    <x v="0"/>
    <x v="12"/>
    <n v="8.1040816326530614"/>
    <n v="0.6785714285714286"/>
    <n v="836"/>
  </r>
  <r>
    <x v="0"/>
    <x v="12"/>
    <n v="27.56"/>
    <n v="0.7"/>
    <n v="1378"/>
  </r>
  <r>
    <x v="0"/>
    <x v="12"/>
    <n v="24.301666666666666"/>
    <n v="0.7"/>
    <n v="2083"/>
  </r>
  <r>
    <x v="0"/>
    <x v="12"/>
    <n v="27.008000000000003"/>
    <n v="0.64"/>
    <n v="2110"/>
  </r>
  <r>
    <x v="0"/>
    <x v="12"/>
    <n v="45.54"/>
    <n v="0.7"/>
    <n v="2277"/>
  </r>
  <r>
    <x v="0"/>
    <x v="12"/>
    <n v="45.275999999999996"/>
    <n v="0.7"/>
    <n v="3234"/>
  </r>
  <r>
    <x v="0"/>
    <x v="12"/>
    <n v="46.357142857142854"/>
    <n v="0.7857142857142857"/>
    <n v="4130"/>
  </r>
  <r>
    <x v="0"/>
    <x v="12"/>
    <n v="87.28125"/>
    <n v="0.47499999999999998"/>
    <n v="7350"/>
  </r>
  <r>
    <x v="0"/>
    <x v="12"/>
    <n v="102.13999999999999"/>
    <n v="0.7"/>
    <n v="5107"/>
  </r>
  <r>
    <x v="0"/>
    <x v="12"/>
    <n v="71.813553719008269"/>
    <n v="0.78181818181818186"/>
    <n v="5052"/>
  </r>
  <r>
    <x v="0"/>
    <x v="12"/>
    <n v="114.64462809917354"/>
    <n v="0.61818181818181817"/>
    <n v="10200"/>
  </r>
  <r>
    <x v="1"/>
    <x v="13"/>
    <n v="0.514892578125"/>
    <n v="0.578125"/>
    <n v="57"/>
  </r>
  <r>
    <x v="1"/>
    <x v="13"/>
    <n v="8.3199999999999996E-2"/>
    <n v="0.48"/>
    <n v="13"/>
  </r>
  <r>
    <x v="1"/>
    <x v="13"/>
    <n v="9.994834710743801E-2"/>
    <n v="0.48863636363636365"/>
    <n v="18"/>
  </r>
  <r>
    <x v="1"/>
    <x v="13"/>
    <n v="0.36000000000000004"/>
    <n v="0.45"/>
    <n v="48"/>
  </r>
  <r>
    <x v="1"/>
    <x v="13"/>
    <n v="0.25"/>
    <n v="0.1"/>
    <n v="125"/>
  </r>
  <r>
    <x v="1"/>
    <x v="13"/>
    <n v="0.51674411152058963"/>
    <n v="0.54430379746835444"/>
    <n v="75"/>
  </r>
  <r>
    <x v="1"/>
    <x v="13"/>
    <n v="7.03125E-2"/>
    <n v="6.25E-2"/>
    <n v="54"/>
  </r>
  <r>
    <x v="1"/>
    <x v="13"/>
    <n v="0"/>
    <n v="0"/>
    <n v="97"/>
  </r>
  <r>
    <x v="1"/>
    <x v="13"/>
    <n v="-0.45375000000000004"/>
    <n v="-0.27500000000000002"/>
    <n v="66"/>
  </r>
  <r>
    <x v="1"/>
    <x v="13"/>
    <n v="0.62131732032276232"/>
    <n v="0.58904109589041098"/>
    <n v="77"/>
  </r>
  <r>
    <x v="1"/>
    <x v="13"/>
    <n v="1.6"/>
    <n v="0.66666666666666663"/>
    <n v="108"/>
  </r>
  <r>
    <x v="1"/>
    <x v="13"/>
    <n v="2.2412109375"/>
    <n v="0.53125"/>
    <n v="135"/>
  </r>
  <r>
    <x v="1"/>
    <x v="13"/>
    <n v="1.453287197231834"/>
    <n v="0.52941176470588236"/>
    <n v="140"/>
  </r>
  <r>
    <x v="1"/>
    <x v="13"/>
    <n v="0"/>
    <n v="0"/>
    <n v="184"/>
  </r>
  <r>
    <x v="1"/>
    <x v="13"/>
    <n v="1.3115196491819869"/>
    <n v="0.41558441558441561"/>
    <n v="243"/>
  </r>
  <r>
    <x v="1"/>
    <x v="13"/>
    <n v="3.2"/>
    <n v="0.66666666666666663"/>
    <n v="216"/>
  </r>
  <r>
    <x v="1"/>
    <x v="13"/>
    <n v="1.6352000000000002"/>
    <n v="0.56000000000000005"/>
    <n v="219"/>
  </r>
  <r>
    <x v="1"/>
    <x v="13"/>
    <n v="1.1266666666666667"/>
    <n v="0.43333333333333335"/>
    <n v="234"/>
  </r>
  <r>
    <x v="1"/>
    <x v="13"/>
    <n v="-0.77142857142857146"/>
    <n v="-0.2"/>
    <n v="135"/>
  </r>
  <r>
    <x v="1"/>
    <x v="13"/>
    <n v="0.86250000000000004"/>
    <n v="0.25"/>
    <n v="207"/>
  </r>
  <r>
    <x v="1"/>
    <x v="13"/>
    <n v="1.7535999999999998"/>
    <n v="0.48"/>
    <n v="274"/>
  </r>
  <r>
    <x v="1"/>
    <x v="13"/>
    <n v="1.1294117647058823"/>
    <n v="0.47058823529411764"/>
    <n v="204"/>
  </r>
  <r>
    <x v="1"/>
    <x v="13"/>
    <n v="3.5081481481481482"/>
    <n v="0.53333333333333333"/>
    <n v="296"/>
  </r>
  <r>
    <x v="1"/>
    <x v="13"/>
    <n v="3.5155555555555553"/>
    <n v="0.46666666666666667"/>
    <n v="339"/>
  </r>
  <r>
    <x v="1"/>
    <x v="13"/>
    <n v="2.4826199367997699"/>
    <n v="0.49152542372881358"/>
    <n v="298"/>
  </r>
  <r>
    <x v="1"/>
    <x v="13"/>
    <n v="1.0761245674740485"/>
    <n v="0.29411764705882354"/>
    <n v="311"/>
  </r>
  <r>
    <x v="1"/>
    <x v="13"/>
    <n v="4.6514285714285721"/>
    <n v="0.4"/>
    <n v="407"/>
  </r>
  <r>
    <x v="1"/>
    <x v="13"/>
    <n v="0.65799999999999992"/>
    <n v="0.1"/>
    <n v="329"/>
  </r>
  <r>
    <x v="1"/>
    <x v="13"/>
    <n v="6.9666666666666668"/>
    <n v="0.5"/>
    <n v="418"/>
  </r>
  <r>
    <x v="1"/>
    <x v="13"/>
    <n v="2.9171597633136095"/>
    <n v="0.44615384615384618"/>
    <n v="425"/>
  </r>
  <r>
    <x v="1"/>
    <x v="13"/>
    <n v="5.3370247933884292"/>
    <n v="0.42727272727272725"/>
    <n v="687"/>
  </r>
  <r>
    <x v="1"/>
    <x v="13"/>
    <n v="4"/>
    <n v="0.4"/>
    <n v="450"/>
  </r>
  <r>
    <x v="1"/>
    <x v="13"/>
    <n v="6.75"/>
    <n v="0.5"/>
    <n v="810"/>
  </r>
  <r>
    <x v="0"/>
    <x v="14"/>
    <n v="1.0493827160493827E-2"/>
    <n v="0.37777777777777777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5BF37-3F0D-4FAA-8EDA-F74A886E76C8}" name="PivotTable1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5">
    <pivotField showAll="0">
      <items count="4">
        <item x="2"/>
        <item x="1"/>
        <item x="0"/>
        <item t="default"/>
      </items>
    </pivotField>
    <pivotField showAll="0"/>
    <pivotField axis="axisRow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numFmtId="9" showAll="0"/>
  </pivotFields>
  <rowFields count="1">
    <field x="2"/>
  </rowFields>
  <rowItems count="16">
    <i>
      <x v="5"/>
    </i>
    <i>
      <x v="8"/>
    </i>
    <i>
      <x v="12"/>
    </i>
    <i>
      <x v="9"/>
    </i>
    <i>
      <x v="2"/>
    </i>
    <i>
      <x v="10"/>
    </i>
    <i>
      <x/>
    </i>
    <i>
      <x v="4"/>
    </i>
    <i>
      <x v="11"/>
    </i>
    <i>
      <x v="3"/>
    </i>
    <i>
      <x v="7"/>
    </i>
    <i>
      <x v="6"/>
    </i>
    <i>
      <x v="1"/>
    </i>
    <i>
      <x v="14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 Margin" fld="4" subtotal="average" baseField="0" baseItem="0" numFmtId="9"/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992F7-9E76-4B96-A901-EA56AD2DB09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D18" firstHeaderRow="0" firstDataRow="1" firstDataCol="1" rowPageCount="1" colPageCount="1"/>
  <pivotFields count="17">
    <pivotField axis="axisPage" showAll="0">
      <items count="98">
        <item x="86"/>
        <item x="89"/>
        <item x="78"/>
        <item x="17"/>
        <item x="1"/>
        <item x="11"/>
        <item x="5"/>
        <item x="6"/>
        <item x="4"/>
        <item x="0"/>
        <item x="8"/>
        <item x="12"/>
        <item x="27"/>
        <item x="92"/>
        <item x="3"/>
        <item x="25"/>
        <item x="30"/>
        <item x="29"/>
        <item x="87"/>
        <item x="94"/>
        <item x="14"/>
        <item x="28"/>
        <item x="26"/>
        <item x="16"/>
        <item x="24"/>
        <item x="32"/>
        <item x="3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9"/>
        <item x="35"/>
        <item x="36"/>
        <item x="13"/>
        <item x="37"/>
        <item x="2"/>
        <item x="38"/>
        <item x="39"/>
        <item x="40"/>
        <item x="77"/>
        <item x="15"/>
        <item x="88"/>
        <item x="81"/>
        <item x="95"/>
        <item x="93"/>
        <item x="85"/>
        <item x="96"/>
        <item x="90"/>
        <item x="91"/>
        <item x="82"/>
        <item x="79"/>
        <item x="84"/>
        <item x="34"/>
        <item x="10"/>
        <item x="22"/>
        <item x="7"/>
        <item x="20"/>
        <item x="31"/>
        <item x="21"/>
        <item x="18"/>
        <item x="23"/>
        <item x="19"/>
        <item x="80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Cost" fld="15" baseField="0" baseItem="0"/>
    <dataField name="Sum of Profit Margin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B4744-7439-4F50-8CC0-61AD747CAF9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owder Cos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6DE20-7EEE-4A20-9502-2F310185536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17">
    <pivotField axis="axisRow" showAll="0">
      <items count="98">
        <item x="86"/>
        <item x="89"/>
        <item x="78"/>
        <item x="17"/>
        <item x="1"/>
        <item x="11"/>
        <item x="5"/>
        <item x="6"/>
        <item x="4"/>
        <item x="0"/>
        <item x="8"/>
        <item x="12"/>
        <item x="27"/>
        <item x="92"/>
        <item x="3"/>
        <item x="25"/>
        <item x="30"/>
        <item x="29"/>
        <item x="87"/>
        <item x="94"/>
        <item x="14"/>
        <item x="28"/>
        <item x="26"/>
        <item x="16"/>
        <item x="24"/>
        <item x="32"/>
        <item x="3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9"/>
        <item x="35"/>
        <item x="36"/>
        <item x="13"/>
        <item x="37"/>
        <item x="2"/>
        <item x="38"/>
        <item x="39"/>
        <item x="40"/>
        <item x="77"/>
        <item x="15"/>
        <item x="88"/>
        <item x="81"/>
        <item x="95"/>
        <item x="93"/>
        <item x="85"/>
        <item x="96"/>
        <item x="90"/>
        <item x="91"/>
        <item x="82"/>
        <item x="79"/>
        <item x="84"/>
        <item x="34"/>
        <item x="10"/>
        <item x="22"/>
        <item x="7"/>
        <item x="20"/>
        <item x="31"/>
        <item x="21"/>
        <item x="18"/>
        <item x="23"/>
        <item x="19"/>
        <item x="80"/>
        <item x="83"/>
        <item t="default"/>
      </items>
    </pivotField>
    <pivotField showAll="0"/>
    <pivotField axis="axisPage" showAll="0">
      <items count="16">
        <item x="0"/>
        <item x="9"/>
        <item x="13"/>
        <item x="5"/>
        <item x="6"/>
        <item x="8"/>
        <item x="11"/>
        <item x="7"/>
        <item x="10"/>
        <item x="2"/>
        <item x="4"/>
        <item x="3"/>
        <item x="1"/>
        <item x="14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  <pivotField showAll="0"/>
    <pivotField dataField="1" showAll="0"/>
    <pivotField dataField="1" showAll="0"/>
    <pivotField dataField="1" showAll="0"/>
  </pivotFields>
  <rowFields count="2">
    <field x="12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Cost" fld="15" baseField="0" baseItem="0"/>
    <dataField name="Sum of Profit Margin" fld="16" baseField="0" baseItem="0"/>
    <dataField name="Sum of Powder Cos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4AB1D-1CBA-4715-8629-CC08F7B288B7}" name="PivotTable1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22" firstHeaderRow="1" firstDataRow="1" firstDataCol="1"/>
  <pivotFields count="2">
    <pivotField axis="axisRow" compact="0" outline="0" showAll="0" sortType="descending">
      <items count="20">
        <item x="2"/>
        <item x="1"/>
        <item x="18"/>
        <item x="4"/>
        <item x="15"/>
        <item x="16"/>
        <item x="8"/>
        <item x="14"/>
        <item x="17"/>
        <item x="13"/>
        <item x="7"/>
        <item x="5"/>
        <item x="11"/>
        <item x="6"/>
        <item x="9"/>
        <item x="3"/>
        <item x="12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20">
    <i>
      <x v="7"/>
    </i>
    <i>
      <x v="12"/>
    </i>
    <i>
      <x v="8"/>
    </i>
    <i>
      <x v="4"/>
    </i>
    <i>
      <x v="18"/>
    </i>
    <i>
      <x v="5"/>
    </i>
    <i>
      <x v="9"/>
    </i>
    <i>
      <x v="15"/>
    </i>
    <i>
      <x v="13"/>
    </i>
    <i>
      <x v="17"/>
    </i>
    <i>
      <x/>
    </i>
    <i>
      <x v="14"/>
    </i>
    <i>
      <x v="10"/>
    </i>
    <i>
      <x v="16"/>
    </i>
    <i>
      <x v="11"/>
    </i>
    <i>
      <x v="6"/>
    </i>
    <i>
      <x v="3"/>
    </i>
    <i>
      <x v="2"/>
    </i>
    <i>
      <x v="1"/>
    </i>
    <i t="grand">
      <x/>
    </i>
  </rowItems>
  <colItems count="1">
    <i/>
  </colItems>
  <dataFields count="1">
    <dataField name="Sum of Cost" fld="1" baseField="0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F06BA-944A-4C3E-ABB2-68D080639A0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H62" firstHeaderRow="0" firstDataRow="1" firstDataCol="1"/>
  <pivotFields count="12">
    <pivotField compact="0" outline="0" showAll="0"/>
    <pivotField axis="axisRow" compact="0" outline="0" showAll="0" sortType="descending">
      <items count="60">
        <item x="28"/>
        <item x="46"/>
        <item x="1"/>
        <item x="9"/>
        <item x="39"/>
        <item x="4"/>
        <item x="5"/>
        <item x="42"/>
        <item x="10"/>
        <item x="0"/>
        <item x="49"/>
        <item x="7"/>
        <item x="3"/>
        <item x="26"/>
        <item x="37"/>
        <item x="48"/>
        <item x="51"/>
        <item x="36"/>
        <item x="44"/>
        <item x="47"/>
        <item x="12"/>
        <item x="14"/>
        <item x="57"/>
        <item x="13"/>
        <item x="19"/>
        <item x="6"/>
        <item x="17"/>
        <item x="16"/>
        <item x="8"/>
        <item x="20"/>
        <item x="21"/>
        <item x="11"/>
        <item x="22"/>
        <item x="2"/>
        <item x="23"/>
        <item x="24"/>
        <item x="25"/>
        <item x="27"/>
        <item x="38"/>
        <item x="31"/>
        <item x="56"/>
        <item x="45"/>
        <item x="52"/>
        <item x="35"/>
        <item x="40"/>
        <item x="41"/>
        <item x="53"/>
        <item x="32"/>
        <item x="29"/>
        <item x="54"/>
        <item x="55"/>
        <item x="34"/>
        <item x="50"/>
        <item x="18"/>
        <item x="15"/>
        <item x="30"/>
        <item x="33"/>
        <item x="43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1"/>
  </rowFields>
  <rowItems count="60">
    <i>
      <x v="25"/>
    </i>
    <i>
      <x v="37"/>
    </i>
    <i>
      <x v="6"/>
    </i>
    <i>
      <x v="12"/>
    </i>
    <i>
      <x v="5"/>
    </i>
    <i>
      <x v="20"/>
    </i>
    <i>
      <x v="33"/>
    </i>
    <i>
      <x v="9"/>
    </i>
    <i>
      <x v="11"/>
    </i>
    <i>
      <x v="3"/>
    </i>
    <i>
      <x v="28"/>
    </i>
    <i>
      <x v="27"/>
    </i>
    <i>
      <x v="55"/>
    </i>
    <i>
      <x v="10"/>
    </i>
    <i>
      <x v="31"/>
    </i>
    <i>
      <x v="1"/>
    </i>
    <i>
      <x/>
    </i>
    <i>
      <x v="2"/>
    </i>
    <i>
      <x v="23"/>
    </i>
    <i>
      <x v="26"/>
    </i>
    <i>
      <x v="21"/>
    </i>
    <i>
      <x v="8"/>
    </i>
    <i>
      <x v="18"/>
    </i>
    <i>
      <x v="51"/>
    </i>
    <i>
      <x v="56"/>
    </i>
    <i>
      <x v="30"/>
    </i>
    <i>
      <x v="52"/>
    </i>
    <i>
      <x v="54"/>
    </i>
    <i>
      <x v="39"/>
    </i>
    <i>
      <x v="48"/>
    </i>
    <i>
      <x v="57"/>
    </i>
    <i>
      <x v="16"/>
    </i>
    <i>
      <x v="29"/>
    </i>
    <i>
      <x v="17"/>
    </i>
    <i>
      <x v="53"/>
    </i>
    <i>
      <x v="44"/>
    </i>
    <i>
      <x v="42"/>
    </i>
    <i>
      <x v="14"/>
    </i>
    <i>
      <x v="4"/>
    </i>
    <i>
      <x v="7"/>
    </i>
    <i>
      <x v="47"/>
    </i>
    <i>
      <x v="38"/>
    </i>
    <i>
      <x v="19"/>
    </i>
    <i>
      <x v="24"/>
    </i>
    <i>
      <x v="58"/>
    </i>
    <i>
      <x v="43"/>
    </i>
    <i>
      <x v="46"/>
    </i>
    <i>
      <x v="40"/>
    </i>
    <i>
      <x v="45"/>
    </i>
    <i>
      <x v="35"/>
    </i>
    <i>
      <x v="50"/>
    </i>
    <i>
      <x v="36"/>
    </i>
    <i>
      <x v="41"/>
    </i>
    <i>
      <x v="22"/>
    </i>
    <i>
      <x v="34"/>
    </i>
    <i>
      <x v="32"/>
    </i>
    <i>
      <x v="15"/>
    </i>
    <i>
      <x v="49"/>
    </i>
    <i>
      <x v="1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Profitin_2011" fld="5" baseField="0" baseItem="0"/>
    <dataField name="Sum of Profitin_2006" fld="10" baseField="0" baseItem="0"/>
    <dataField name="Sum of Profitin_2007" fld="9" baseField="0" baseItem="0"/>
    <dataField name="Sum of Profitin_2008" fld="8" baseField="0" baseItem="0"/>
    <dataField name="Sum of Profitin_2009" fld="7" baseField="0" baseItem="0"/>
    <dataField name="Sum of Profitin_2010" fld="6" baseField="0" baseItem="0"/>
    <dataField name="Sum of Profitin_20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C554E-78D2-4C1F-9E70-76308A24AF22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C15" firstHeaderRow="0" firstDataRow="1" firstDataCol="1"/>
  <pivotFields count="3">
    <pivotField axis="axisRow" compact="0" outline="0" showAll="0" sortType="descending">
      <items count="13">
        <item x="0"/>
        <item x="3"/>
        <item x="1"/>
        <item x="4"/>
        <item x="9"/>
        <item x="10"/>
        <item x="11"/>
        <item x="5"/>
        <item x="6"/>
        <item x="7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</pivotFields>
  <rowFields count="1">
    <field x="0"/>
  </rowFields>
  <rowItems count="13">
    <i>
      <x v="5"/>
    </i>
    <i>
      <x v="4"/>
    </i>
    <i>
      <x v="6"/>
    </i>
    <i>
      <x v="2"/>
    </i>
    <i>
      <x/>
    </i>
    <i>
      <x v="10"/>
    </i>
    <i>
      <x v="11"/>
    </i>
    <i>
      <x v="9"/>
    </i>
    <i>
      <x v="8"/>
    </i>
    <i>
      <x v="1"/>
    </i>
    <i>
      <x v="7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mand of Bins" fld="2" baseField="0" baseItem="0"/>
    <dataField name="Sum of Demand of Plante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C47B4-53D2-45D6-AE83-67ED94C6455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O18" firstHeaderRow="0" firstDataRow="1" firstDataCol="1"/>
  <pivotFields count="24">
    <pivotField compact="0" outline="0" showAll="0">
      <items count="98">
        <item x="29"/>
        <item x="18"/>
        <item x="45"/>
        <item x="39"/>
        <item x="51"/>
        <item x="54"/>
        <item x="31"/>
        <item x="30"/>
        <item x="60"/>
        <item x="59"/>
        <item x="56"/>
        <item x="53"/>
        <item x="33"/>
        <item x="15"/>
        <item x="58"/>
        <item x="46"/>
        <item x="23"/>
        <item x="20"/>
        <item x="17"/>
        <item x="21"/>
        <item x="26"/>
        <item x="32"/>
        <item x="42"/>
        <item x="37"/>
        <item x="27"/>
        <item x="12"/>
        <item x="13"/>
        <item x="82"/>
        <item x="3"/>
        <item x="73"/>
        <item x="4"/>
        <item x="62"/>
        <item x="72"/>
        <item x="63"/>
        <item x="83"/>
        <item x="89"/>
        <item x="80"/>
        <item x="88"/>
        <item x="84"/>
        <item x="81"/>
        <item x="87"/>
        <item x="96"/>
        <item x="79"/>
        <item x="75"/>
        <item x="76"/>
        <item x="86"/>
        <item x="77"/>
        <item x="68"/>
        <item x="78"/>
        <item x="71"/>
        <item x="69"/>
        <item x="91"/>
        <item x="74"/>
        <item x="70"/>
        <item x="85"/>
        <item x="92"/>
        <item x="90"/>
        <item x="95"/>
        <item x="94"/>
        <item x="93"/>
        <item x="66"/>
        <item x="67"/>
        <item x="65"/>
        <item x="41"/>
        <item x="0"/>
        <item x="5"/>
        <item x="22"/>
        <item x="1"/>
        <item x="40"/>
        <item x="6"/>
        <item x="2"/>
        <item x="8"/>
        <item x="52"/>
        <item x="61"/>
        <item x="11"/>
        <item x="36"/>
        <item x="10"/>
        <item x="19"/>
        <item x="14"/>
        <item x="7"/>
        <item x="38"/>
        <item x="35"/>
        <item x="25"/>
        <item x="44"/>
        <item x="16"/>
        <item x="64"/>
        <item x="57"/>
        <item x="50"/>
        <item x="55"/>
        <item x="47"/>
        <item x="9"/>
        <item x="43"/>
        <item x="34"/>
        <item x="24"/>
        <item x="28"/>
        <item x="48"/>
        <item x="49"/>
        <item t="default"/>
      </items>
    </pivotField>
    <pivotField compact="0" outline="0" showAll="0"/>
    <pivotField axis="axisRow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Sum of Salesin_2006" fld="19" baseField="0" baseItem="0"/>
    <dataField name="Sum of Profitin_2006" fld="20" baseField="0" baseItem="0"/>
    <dataField name="Sum of Salesin_2007" fld="17" baseField="0" baseItem="0"/>
    <dataField name="Sum of Profitin_2007" fld="18" baseField="0" baseItem="0"/>
    <dataField name="Sum of Salesin_2008" fld="15" baseField="0" baseItem="0"/>
    <dataField name="Sum of Profitin_2008" fld="16" baseField="0" baseItem="0"/>
    <dataField name="Sum of Salesin_2009" fld="13" baseField="0" baseItem="0"/>
    <dataField name="Sum of Profitin_2009" fld="14" baseField="0" baseItem="0"/>
    <dataField name="Sum of Salesin_2010" fld="11" baseField="0" baseItem="0"/>
    <dataField name="Sum of Profitin_2010" fld="12" baseField="0" baseItem="0"/>
    <dataField name="Sum of Salesin_2011" fld="9" baseField="0" baseItem="0"/>
    <dataField name="Sum of Profitin_2011" fld="10" baseField="0" baseItem="0"/>
    <dataField name="Sum of Salesin_2012" fld="7" baseField="0" baseItem="0"/>
    <dataField name="Sum of Profitin_201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74B09-765C-45FD-A313-A1B3B69895BA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6" firstHeaderRow="0" firstDataRow="1" firstDataCol="1"/>
  <pivotFields count="3">
    <pivotField axis="axisRow" compact="0" outline="0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</pivotFields>
  <rowFields count="1">
    <field x="0"/>
  </rowFields>
  <rowItems count="14">
    <i>
      <x v="9"/>
    </i>
    <i>
      <x/>
    </i>
    <i>
      <x v="11"/>
    </i>
    <i>
      <x v="3"/>
    </i>
    <i>
      <x v="10"/>
    </i>
    <i>
      <x v="1"/>
    </i>
    <i>
      <x v="4"/>
    </i>
    <i>
      <x v="5"/>
    </i>
    <i>
      <x v="2"/>
    </i>
    <i>
      <x v="6"/>
    </i>
    <i>
      <x v="8"/>
    </i>
    <i>
      <x v="12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in_2012" fld="1" baseField="0" baseItem="0"/>
    <dataField name="Sum of Salesin_2011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9041E-E706-4658-BC29-9F8685EA9782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:E10" firstHeaderRow="0" firstDataRow="1" firstDataCol="1"/>
  <pivotFields count="5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fit of Bins" fld="1" baseField="0" baseItem="0" numFmtId="3"/>
    <dataField name="Profit of Self Watering" fld="3" baseField="0" baseItem="0" numFmtId="3"/>
    <dataField name="Profit of Planterware" fld="2" baseField="0" baseItem="0"/>
    <dataField name="Sum of Total 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0AAA0-8CAC-43F7-B119-CF4E795EFAE0}" name="PivotTable1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19" firstHeaderRow="1" firstDataRow="2" firstDataCol="1"/>
  <pivotFields count="6">
    <pivotField axis="axisCol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9" outline="0" showAll="0"/>
    <pivotField compact="0" outline="0" showAll="0"/>
    <pivotField compact="0" outline="0" showAll="0"/>
    <pivotField dataField="1" compact="0" numFmtId="167" outline="0" showAll="0"/>
  </pivotFields>
  <rowFields count="1">
    <field x="1"/>
  </rowFields>
  <rowItems count="16">
    <i>
      <x/>
    </i>
    <i>
      <x v="12"/>
    </i>
    <i>
      <x v="1"/>
    </i>
    <i>
      <x v="13"/>
    </i>
    <i>
      <x v="10"/>
    </i>
    <i>
      <x v="11"/>
    </i>
    <i>
      <x v="5"/>
    </i>
    <i>
      <x v="4"/>
    </i>
    <i>
      <x v="9"/>
    </i>
    <i>
      <x v="3"/>
    </i>
    <i>
      <x v="2"/>
    </i>
    <i>
      <x v="6"/>
    </i>
    <i>
      <x v="7"/>
    </i>
    <i>
      <x v="14"/>
    </i>
    <i>
      <x v="8"/>
    </i>
    <i t="grand">
      <x/>
    </i>
  </rowItems>
  <colFields count="1">
    <field x="0"/>
  </colFields>
  <colItems count="4">
    <i>
      <x v="2"/>
    </i>
    <i>
      <x/>
    </i>
    <i>
      <x v="1"/>
    </i>
    <i t="grand">
      <x/>
    </i>
  </colItems>
  <dataFields count="1">
    <dataField name="Average of Performance Score (Number of Sales * Profit Margin) / Selling Price)" fld="5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882FD-2756-42BB-AA5E-1F36E177CD04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B8" firstHeaderRow="1" firstDataRow="1" firstDataCol="1"/>
  <pivotFields count="25">
    <pivotField compact="0" outline="0" showAll="0"/>
    <pivotField compact="0" outline="0" showAll="0">
      <items count="60">
        <item x="34"/>
        <item x="46"/>
        <item x="39"/>
        <item x="41"/>
        <item x="17"/>
        <item x="26"/>
        <item x="25"/>
        <item x="14"/>
        <item x="27"/>
        <item x="45"/>
        <item x="50"/>
        <item x="43"/>
        <item x="44"/>
        <item x="3"/>
        <item x="16"/>
        <item x="48"/>
        <item x="57"/>
        <item x="24"/>
        <item x="20"/>
        <item x="47"/>
        <item x="23"/>
        <item x="30"/>
        <item x="52"/>
        <item x="11"/>
        <item x="12"/>
        <item x="42"/>
        <item x="35"/>
        <item x="36"/>
        <item x="32"/>
        <item x="0"/>
        <item x="4"/>
        <item x="21"/>
        <item x="1"/>
        <item x="31"/>
        <item x="5"/>
        <item x="2"/>
        <item x="7"/>
        <item x="40"/>
        <item x="10"/>
        <item x="29"/>
        <item x="58"/>
        <item x="9"/>
        <item x="56"/>
        <item x="13"/>
        <item x="6"/>
        <item x="28"/>
        <item x="53"/>
        <item x="22"/>
        <item x="33"/>
        <item x="54"/>
        <item x="55"/>
        <item x="15"/>
        <item x="49"/>
        <item x="19"/>
        <item x="8"/>
        <item x="37"/>
        <item x="38"/>
        <item x="18"/>
        <item x="51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9">
        <item x="3"/>
        <item x="112"/>
        <item x="4"/>
        <item x="72"/>
        <item x="119"/>
        <item x="111"/>
        <item x="110"/>
        <item x="108"/>
        <item x="87"/>
        <item x="57"/>
        <item x="34"/>
        <item x="29"/>
        <item x="124"/>
        <item x="45"/>
        <item x="61"/>
        <item x="74"/>
        <item x="46"/>
        <item x="116"/>
        <item x="127"/>
        <item x="118"/>
        <item x="30"/>
        <item x="126"/>
        <item x="107"/>
        <item x="122"/>
        <item x="33"/>
        <item x="120"/>
        <item x="77"/>
        <item x="105"/>
        <item x="106"/>
        <item x="0"/>
        <item x="123"/>
        <item x="125"/>
        <item x="102"/>
        <item x="51"/>
        <item x="115"/>
        <item x="114"/>
        <item x="121"/>
        <item x="90"/>
        <item x="109"/>
        <item x="6"/>
        <item x="59"/>
        <item x="117"/>
        <item x="44"/>
        <item x="68"/>
        <item x="104"/>
        <item x="16"/>
        <item x="40"/>
        <item x="2"/>
        <item x="91"/>
        <item x="73"/>
        <item x="96"/>
        <item x="113"/>
        <item x="19"/>
        <item x="70"/>
        <item x="42"/>
        <item x="39"/>
        <item x="21"/>
        <item x="5"/>
        <item x="67"/>
        <item x="55"/>
        <item x="69"/>
        <item x="35"/>
        <item x="32"/>
        <item x="103"/>
        <item x="20"/>
        <item x="71"/>
        <item x="92"/>
        <item x="37"/>
        <item x="89"/>
        <item x="63"/>
        <item x="27"/>
        <item x="8"/>
        <item x="14"/>
        <item x="58"/>
        <item x="15"/>
        <item x="56"/>
        <item x="62"/>
        <item x="86"/>
        <item x="99"/>
        <item x="23"/>
        <item x="22"/>
        <item x="25"/>
        <item x="43"/>
        <item x="52"/>
        <item x="94"/>
        <item x="80"/>
        <item x="11"/>
        <item x="60"/>
        <item x="75"/>
        <item x="83"/>
        <item x="26"/>
        <item x="1"/>
        <item x="64"/>
        <item x="18"/>
        <item x="17"/>
        <item x="9"/>
        <item x="98"/>
        <item x="97"/>
        <item x="76"/>
        <item x="49"/>
        <item x="50"/>
        <item x="28"/>
        <item x="41"/>
        <item x="95"/>
        <item x="48"/>
        <item x="38"/>
        <item x="79"/>
        <item x="81"/>
        <item x="47"/>
        <item x="12"/>
        <item x="66"/>
        <item x="65"/>
        <item x="53"/>
        <item x="101"/>
        <item x="13"/>
        <item x="88"/>
        <item x="93"/>
        <item x="78"/>
        <item x="85"/>
        <item x="24"/>
        <item x="82"/>
        <item x="100"/>
        <item x="84"/>
        <item x="54"/>
        <item x="36"/>
        <item x="10"/>
        <item x="7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Nr of Sales" fld="22" baseField="0" baseItem="0" numFmtId="1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B31E0-6837-41A2-8ABC-7CE513A11890}" name="PivotTable11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B6" firstHeaderRow="1" firstDataRow="1" firstDataCol="1"/>
  <pivotFields count="5"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7" outline="0" showAll="0"/>
    <pivotField compact="0" numFmtId="9" outline="0" showAll="0"/>
    <pivotField compact="0" outline="0" showAl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erage of Performance Score (Number of Sales * Profit Margin) / Selling Price)" fld="2" subtotal="average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9F17E1B-48EF-479A-BF67-E43CB174DBEE}" name="Table18" displayName="Table18" ref="A1:E13" totalsRowShown="0">
  <autoFilter ref="A1:E13" xr:uid="{59F17E1B-48EF-479A-BF67-E43CB174DBEE}"/>
  <tableColumns count="5">
    <tableColumn id="1" xr3:uid="{E7C593D4-C570-4D89-857B-226D13A446A7}" name="Years"/>
    <tableColumn id="2" xr3:uid="{71212D06-5617-4519-8AE1-8EB6ED1E735E}" name="Planterware Profit %"/>
    <tableColumn id="3" xr3:uid="{B7231F9D-DDDE-45DA-810F-BBF3B3C1EA66}" name="Forecast(Planterware Profit %)" dataDxfId="52">
      <calculatedColumnFormula>_xlfn.FORECAST.ETS(A2,$B$2:$B$8,$A$2:$A$8,1,1)</calculatedColumnFormula>
    </tableColumn>
    <tableColumn id="4" xr3:uid="{E06F77B1-FC03-4A9F-B832-AB52578C5FFD}" name="Lower Confidence Bound(Planterware Profit %)" dataDxfId="51">
      <calculatedColumnFormula>C2-_xlfn.FORECAST.ETS.CONFINT(A2,$B$2:$B$8,$A$2:$A$8,0.95,1,1)</calculatedColumnFormula>
    </tableColumn>
    <tableColumn id="5" xr3:uid="{AAFD26C5-61AD-4B5F-BF41-3217840031D7}" name="Upper Confidence Bound(Planterware Profit %)" dataDxfId="50">
      <calculatedColumnFormula>C2+_xlfn.FORECAST.ETS.CONFINT(A2,$B$2:$B$8,$A$2:$A$8,0.95,1,1)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FAADD17-416D-492D-A830-34B0CC4B8A78}" name="Table22" displayName="Table22" ref="A1:E13" totalsRowShown="0">
  <autoFilter ref="A1:E13" xr:uid="{3FAADD17-416D-492D-A830-34B0CC4B8A78}"/>
  <tableColumns count="5">
    <tableColumn id="1" xr3:uid="{7070F2D3-F1F2-4158-BBFF-6C57DB4FE397}" name="Years"/>
    <tableColumn id="2" xr3:uid="{439C1414-8000-4B00-B4B1-1A94D77D8021}" name="Self Watering  Profit %"/>
    <tableColumn id="3" xr3:uid="{15F019B9-D8B0-471E-AF08-9E11863133EC}" name="Forecast(Self Watering  Profit %)" dataDxfId="49">
      <calculatedColumnFormula>_xlfn.FORECAST.ETS(A2,$B$2:$B$8,$A$2:$A$8,1,1)</calculatedColumnFormula>
    </tableColumn>
    <tableColumn id="4" xr3:uid="{FC337525-6A46-4158-8C64-72F94F277AB2}" name="Lower Confidence Bound(Self Watering  Profit %)" dataDxfId="48">
      <calculatedColumnFormula>C2-_xlfn.FORECAST.ETS.CONFINT(A2,$B$2:$B$8,$A$2:$A$8,0.95,1,1)</calculatedColumnFormula>
    </tableColumn>
    <tableColumn id="5" xr3:uid="{E2F2E089-29BD-409A-87CA-D3A429039D19}" name="Upper Confidence Bound(Self Watering  Profit %)" dataDxfId="47">
      <calculatedColumnFormula>C2+_xlfn.FORECAST.ETS.CONFINT(A2,$B$2:$B$8,$A$2:$A$8,0.95,1,1)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A38AA0-C155-4870-9436-03426529123E}" name="Table12" displayName="Table12" ref="A1:H203" totalsRowShown="0" headerRowDxfId="57" dataDxfId="58" tableBorderDxfId="67">
  <autoFilter ref="A1:H203" xr:uid="{B3A38AA0-C155-4870-9436-03426529123E}"/>
  <sortState xmlns:xlrd2="http://schemas.microsoft.com/office/spreadsheetml/2017/richdata2" ref="A2:H203">
    <sortCondition ref="A1:A203"/>
  </sortState>
  <tableColumns count="8">
    <tableColumn id="1" xr3:uid="{4A53F9AE-CF0D-4E99-8104-2CBD40E2FFD2}" name="Profitin_2012" dataDxfId="66"/>
    <tableColumn id="2" xr3:uid="{AAF75385-6F43-40AA-88A9-C5FEC9666D34}" name="Profitin_2011" dataDxfId="65"/>
    <tableColumn id="3" xr3:uid="{19AC0E00-230B-4DBC-9EEC-D5B3EFAB8162}" name="Profitin_2010" dataDxfId="64"/>
    <tableColumn id="4" xr3:uid="{E6B1771B-E2A4-47A0-A824-4E54583B5A53}" name="Profitin_2009" dataDxfId="63"/>
    <tableColumn id="5" xr3:uid="{110CCD58-6100-475D-8307-C37F65A36D78}" name="Profitin_2008" dataDxfId="62"/>
    <tableColumn id="6" xr3:uid="{3BFC88B0-D15C-4008-9A12-AEA16475A5A8}" name="Profitin_2007" dataDxfId="61"/>
    <tableColumn id="7" xr3:uid="{164EA191-2D14-48BC-882F-D146FE3C0DF2}" name="Profitin_2006" dataDxfId="60"/>
    <tableColumn id="8" xr3:uid="{C747D88D-A67D-4AA3-84CE-2EAE1BC746EA}" name="Product Family" dataDxfId="59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F23B39-FBA6-4DFB-8EE3-54E5E4962A24}" name="Table26" displayName="Table26" ref="E643:L845" totalsRowShown="0">
  <autoFilter ref="E643:L845" xr:uid="{00F23B39-FBA6-4DFB-8EE3-54E5E4962A24}"/>
  <tableColumns count="8">
    <tableColumn id="1" xr3:uid="{AEF0B08E-0088-4F9C-8C37-0EEE1843698C}" name="Salesin_2012"/>
    <tableColumn id="2" xr3:uid="{F8B92E71-E24F-4436-8FC5-30A9A00D1D5E}" name="Salesin_2011"/>
    <tableColumn id="3" xr3:uid="{177D36F5-9D61-4246-9D1D-4EC379140406}" name="Salesin_2010"/>
    <tableColumn id="4" xr3:uid="{97DEDFF1-E0F0-4269-97B1-7271893AB8A3}" name="Salesin_2009"/>
    <tableColumn id="5" xr3:uid="{82D14827-45BE-4A0D-BB2B-F5D085CF217E}" name="Salesin_2008"/>
    <tableColumn id="6" xr3:uid="{5567BE45-8AC1-4F16-A31D-7A991F447101}" name="Salesin_2007"/>
    <tableColumn id="7" xr3:uid="{3F85D68E-376D-4B1C-89C0-BDFED12FA625}" name="Salesin_2006"/>
    <tableColumn id="8" xr3:uid="{6DC7BDA8-AF3A-41B6-81C6-AE18E9051338}" name="Product Family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5CEA6F-66D0-467A-849E-C01E4E9CD798}" name="Table8" displayName="Table8" ref="A1:X97" totalsRowShown="0">
  <autoFilter ref="A1:X97" xr:uid="{AC5CEA6F-66D0-467A-849E-C01E4E9CD798}"/>
  <tableColumns count="24">
    <tableColumn id="1" xr3:uid="{40EF0E26-4136-4BBD-B901-CE071BAA3E93}" name="Product"/>
    <tableColumn id="2" xr3:uid="{BF914729-00B0-4F3A-8560-466DF4E8FA47}" name="Description"/>
    <tableColumn id="3" xr3:uid="{9548A1E7-4995-46E9-B6CB-086DDA0C17CE}" name="Colour"/>
    <tableColumn id="4" xr3:uid="{F2706035-5431-421C-97BF-B54B8B81B54C}" name="Powder_weight_kg"/>
    <tableColumn id="5" xr3:uid="{4F9738E6-73BC-4711-B8D9-0E4042C15B72}" name="Powder_Cost"/>
    <tableColumn id="6" xr3:uid="{96239001-6835-40C5-988E-69EABE4379DB}" name="Selling_Price_Pound"/>
    <tableColumn id="7" xr3:uid="{AC7A2722-5651-414D-BF94-AD65AFE77212}" name=" Profit"/>
    <tableColumn id="8" xr3:uid="{9D671256-AFE5-43D8-9DBB-65495E660D48}" name="Sales_in2012"/>
    <tableColumn id="9" xr3:uid="{3CD9520B-63DB-4946-BDF9-BD0D939FA4FD}" name="Profit_in2012"/>
    <tableColumn id="10" xr3:uid="{E469C5CC-4F19-4FFB-BDD7-57C8EA3FAC10}" name="Sales_in2011"/>
    <tableColumn id="11" xr3:uid="{AC0DD12E-95CA-4A52-8348-933E9ACBD868}" name="Profit_in2011"/>
    <tableColumn id="12" xr3:uid="{29D56E4B-40F0-49F5-A812-948FA89F9688}" name="Sales_in2010"/>
    <tableColumn id="13" xr3:uid="{117F90C4-308E-4B11-875F-D921D19D65B5}" name="Profit_in2010"/>
    <tableColumn id="14" xr3:uid="{CA422756-38A1-43CA-9379-30FC5CB4882B}" name="Sales_in2009"/>
    <tableColumn id="15" xr3:uid="{4773B100-1AFF-4878-8F38-72B00E7EC95F}" name="Profit_in2009"/>
    <tableColumn id="16" xr3:uid="{9BD6E89E-05E3-4911-9061-733F58035321}" name="Sales_in2008"/>
    <tableColumn id="17" xr3:uid="{AD35135A-F550-4EE7-8674-14AFFFAB5E50}" name="Profit_in2008"/>
    <tableColumn id="18" xr3:uid="{6DFAA415-C299-47CC-85BC-377E56145EAB}" name="Sales_in2007"/>
    <tableColumn id="19" xr3:uid="{94DE2D6C-AECD-4C68-A523-1518BC814756}" name="Profit_in2007"/>
    <tableColumn id="20" xr3:uid="{E7E24782-BE4F-44F9-9810-6C7449E3692C}" name="Sales_in_2006"/>
    <tableColumn id="21" xr3:uid="{7348AF38-9EAC-4BCD-87CF-AD02FD8CCD58}" name="Profit_in2006"/>
    <tableColumn id="22" xr3:uid="{2DC6CFE4-A2DE-4970-9275-3AF46FFCE0C1}" name="Total_of_Sales"/>
    <tableColumn id="23" xr3:uid="{B1496733-E591-4F6B-818E-534875168D62}" name="Product Family"/>
    <tableColumn id="24" xr3:uid="{22E2BD94-9E4B-40F4-A676-DF7311572A32}" name="Due Date Performanc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EF06701-10FE-462C-8C25-F4BCE08A1825}" name="Table37" displayName="Table37" ref="K1:O203" totalsRowShown="0" headerRowDxfId="30" dataDxfId="31" tableBorderDxfId="37">
  <autoFilter ref="K1:O203" xr:uid="{6EF06701-10FE-462C-8C25-F4BCE08A1825}"/>
  <tableColumns count="5">
    <tableColumn id="1" xr3:uid="{B8661625-AB2B-4471-9F66-8F13FA3E082A}" name="Product Family" dataDxfId="36"/>
    <tableColumn id="2" xr3:uid="{1B2F26F6-FB2A-43FC-B7A8-26894026B5DB}" name="Column1" dataDxfId="35"/>
    <tableColumn id="3" xr3:uid="{3A825153-8909-4A4D-8EDD-51C896B28326}" name="Colour" dataDxfId="34"/>
    <tableColumn id="4" xr3:uid="{F9842237-F261-4ABD-BE56-DD814361CD4C}" name="Sales" dataDxfId="33"/>
    <tableColumn id="5" xr3:uid="{DACEBE00-60DE-4B63-9455-1003C59417D4}" name="Profit Margin" dataDxfId="32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FEBDC8E-AC8B-48D5-B8A7-77E6FECD3BAD}" name="Table29" displayName="Table29" ref="A1:E13" totalsRowShown="0">
  <autoFilter ref="A1:E13" xr:uid="{9FEBDC8E-AC8B-48D5-B8A7-77E6FECD3BAD}"/>
  <tableColumns count="5">
    <tableColumn id="1" xr3:uid="{9BCDF360-D3E8-456E-9088-93E63DE14034}" name="Product Family"/>
    <tableColumn id="2" xr3:uid="{98E6D068-F487-4DB9-A2A1-9E8AD3D68C38}" name="Bins"/>
    <tableColumn id="3" xr3:uid="{E6B09529-B769-42DB-A392-16DFBE56A36A}" name="Forecast(Bins)">
      <calculatedColumnFormula>_xlfn.FORECAST.ETS(A2,$B$2:$B$8,$A$2:$A$8,1,1)</calculatedColumnFormula>
    </tableColumn>
    <tableColumn id="4" xr3:uid="{7DDF71DF-9D2B-4490-9EAC-8F089BE40AC9}" name="Lower Confidence Bound(Bins)" dataDxfId="46">
      <calculatedColumnFormula>C2-_xlfn.FORECAST.ETS.CONFINT(A2,$B$2:$B$8,$A$2:$A$8,0.95,1,1)</calculatedColumnFormula>
    </tableColumn>
    <tableColumn id="5" xr3:uid="{60CBD6A7-E092-4C70-A85A-DF3F2ABB4C4A}" name="Upper Confidence Bound(Bins)" dataDxfId="45">
      <calculatedColumnFormula>C2+_xlfn.FORECAST.ETS.CONFINT(A2,$B$2:$B$8,$A$2:$A$8,0.95,1,1)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C848E-A4A4-4294-8514-7419E978887B}" name="Table1" displayName="Table1" ref="B23:C42" totalsRowShown="0" headerRowDxfId="109" headerRowBorderDxfId="108" tableBorderDxfId="107" totalsRowBorderDxfId="106">
  <autoFilter ref="B23:C42" xr:uid="{352C848E-A4A4-4294-8514-7419E978887B}"/>
  <tableColumns count="2">
    <tableColumn id="1" xr3:uid="{9E29E52C-6E51-49B0-A9F8-914C6102458F}" name="Colour" dataDxfId="105"/>
    <tableColumn id="2" xr3:uid="{0857EE8E-9FA9-4320-ABC5-AE14B3995217}" name="Cost" dataDxfId="10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3C0086-E4D1-4B7D-8D1F-EE35CDF50BDE}" name="Table3" displayName="Table3" ref="F23:H36" totalsRowShown="0" headerRowBorderDxfId="103" tableBorderDxfId="102" totalsRowBorderDxfId="101">
  <autoFilter ref="F23:H36" xr:uid="{D93C0086-E4D1-4B7D-8D1F-EE35CDF50BDE}"/>
  <tableColumns count="3">
    <tableColumn id="1" xr3:uid="{6B1E2DE9-D743-4365-AA2C-904B1177E143}" name="Month" dataDxfId="100"/>
    <tableColumn id="2" xr3:uid="{CEBEC8CA-304A-4609-996F-A5C766C437A3}" name="Demand of Planters" dataDxfId="99"/>
    <tableColumn id="3" xr3:uid="{354541BA-DE93-4092-805E-D4C5D3C3CBB6}" name="Demand of Bins" dataDxfId="9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C7E44-946E-466D-8137-169F52872812}" name="Table7" displayName="Table7" ref="A1:C14" totalsRowShown="0">
  <autoFilter ref="A1:C14" xr:uid="{D88C7E44-946E-466D-8137-169F52872812}"/>
  <tableColumns count="3">
    <tableColumn id="1" xr3:uid="{05A9F665-D4E2-4601-A576-CD98747BBCD2}" name="Colours"/>
    <tableColumn id="2" xr3:uid="{E5046DAB-382E-40F2-A999-E19847E2617D}" name="Sales_2012"/>
    <tableColumn id="3" xr3:uid="{11363F24-1E0C-47FE-85C5-7554B10E506D}" name="Sales_201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1D92F3-00E9-4B69-B701-84424FA6C45C}" name="Table2" displayName="Table2" ref="A1:R203" totalsRowShown="0" headerRowDxfId="97">
  <autoFilter ref="A1:R203" xr:uid="{931D92F3-00E9-4B69-B701-84424FA6C45C}">
    <filterColumn colId="8">
      <filters>
        <filter val="0"/>
      </filters>
    </filterColumn>
    <filterColumn colId="9">
      <filters>
        <filter val="0"/>
      </filters>
    </filterColumn>
  </autoFilter>
  <sortState xmlns:xlrd2="http://schemas.microsoft.com/office/spreadsheetml/2017/richdata2" ref="A2:R203">
    <sortCondition descending="1" ref="Q1:Q203"/>
  </sortState>
  <tableColumns count="18">
    <tableColumn id="1" xr3:uid="{9D167C11-1257-46B7-9658-B0980948C89F}" name="Product"/>
    <tableColumn id="2" xr3:uid="{E1D5BFEE-488D-4012-9189-9D9DC09E62C9}" name="Description" dataDxfId="96"/>
    <tableColumn id="3" xr3:uid="{82148A9F-10D8-436C-BB61-B34AF008A05C}" name="Colour" dataDxfId="95"/>
    <tableColumn id="4" xr3:uid="{09B3F2BE-CE96-444B-BD86-B02239FB1D83}" name="Powder weight (kg)" dataDxfId="94"/>
    <tableColumn id="5" xr3:uid="{85AD56F9-8A35-4E74-808F-5C464229DE37}" name="Selling Price £" dataDxfId="93"/>
    <tableColumn id="6" xr3:uid="{B03BDB98-5D2F-42E3-B5B4-8A523CEC850B}" name="Salesin_2012" dataDxfId="92"/>
    <tableColumn id="7" xr3:uid="{8AEF6C52-0A1D-4DD5-A31C-68A65C3113C7}" name="Salesin_2011" dataDxfId="91"/>
    <tableColumn id="8" xr3:uid="{FEE96FF1-8745-4FFF-86F9-6B5BAF0661C2}" name="Salesin_2010" dataDxfId="90"/>
    <tableColumn id="9" xr3:uid="{297F7F77-7879-475F-94F0-CA38972B8795}" name="Salesin_2009" dataDxfId="89"/>
    <tableColumn id="10" xr3:uid="{ADD4D88E-63C1-4988-BF5E-70E7B8B9D6D6}" name="Salesin_2008" dataDxfId="88"/>
    <tableColumn id="11" xr3:uid="{33EB9892-7B0B-430A-A4B4-1DE7F6BA6974}" name="Salesin_2007" dataDxfId="87"/>
    <tableColumn id="12" xr3:uid="{A9470829-E12C-476A-A149-46FC476B9F43}" name="Salesin_2006" dataDxfId="86"/>
    <tableColumn id="13" xr3:uid="{B8451D56-AABB-4B2A-8E26-AD3CAA900734}" name="Product Family" dataDxfId="85"/>
    <tableColumn id="14" xr3:uid="{DACC1BC0-142E-44B4-983A-D718326B32FE}" name="Due Date Performance/%"/>
    <tableColumn id="15" xr3:uid="{E391B916-DD58-4AC2-8571-EBEADF0A4BE3}" name="Powder Cost">
      <calculatedColumnFormula array="1">_xlfn.XLOOKUP(C2,Table1[[#All],[Colour]],Table1[[#All],[Cost]],0)</calculatedColumnFormula>
    </tableColumn>
    <tableColumn id="16" xr3:uid="{FA32462D-E765-420F-89F7-0E375A97B064}" name="Cost">
      <calculatedColumnFormula>O2*D2</calculatedColumnFormula>
    </tableColumn>
    <tableColumn id="17" xr3:uid="{24CE4D97-8B9A-4FAF-8B9C-86EB650A2204}" name="Net Profit">
      <calculatedColumnFormula>E2-P2</calculatedColumnFormula>
    </tableColumn>
    <tableColumn id="18" xr3:uid="{EE3942E2-26DE-4218-AD73-F2F72E9D8804}" name="Profit Margin %" dataDxfId="69">
      <calculatedColumnFormula>Q2/E2*100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B09E318-FADB-43AF-B266-77B49EFDC5EF}" name="Table43" displayName="Table43" ref="O13:P32" totalsRowShown="0">
  <autoFilter ref="O13:P32" xr:uid="{6B09E318-FADB-43AF-B266-77B49EFDC5EF}"/>
  <tableColumns count="2">
    <tableColumn id="1" xr3:uid="{4DA6DE89-83DB-4355-ADA0-D0AEE4150524}" name="Color"/>
    <tableColumn id="2" xr3:uid="{40B8D0B4-4BFC-4709-A708-09AC4EAC468B}" name="Cos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DBE5433-A1F1-4FF4-92F7-7DA6E79236F0}" name="Table13" displayName="Table13" ref="D1:J203" totalsRowShown="0">
  <autoFilter ref="D1:J203" xr:uid="{3DBE5433-A1F1-4FF4-92F7-7DA6E79236F0}"/>
  <tableColumns count="7">
    <tableColumn id="1" xr3:uid="{5A4C957F-4316-454A-9C64-AB22E4002DCE}" name="Salesin_2012"/>
    <tableColumn id="2" xr3:uid="{E208BD42-6E68-447F-8B9A-26AFC8641E27}" name="Salesin_2011"/>
    <tableColumn id="3" xr3:uid="{1DA84904-5CE6-4DC6-8755-AC1EAF934395}" name="Salesin_2010"/>
    <tableColumn id="4" xr3:uid="{8F6E2DE8-4BB5-4DCF-906F-03FB5B6D9069}" name="Salesin_2009"/>
    <tableColumn id="5" xr3:uid="{20A53462-AB66-4820-A998-9A827ED53766}" name="Salesin_2008"/>
    <tableColumn id="6" xr3:uid="{AFF6FA30-9A64-4102-A538-DACE932E1FD0}" name="Salesin_2007"/>
    <tableColumn id="7" xr3:uid="{D67A963B-B865-4DAF-AFDA-47442403F0F3}" name="Salesin_200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F551656-3174-4D69-8579-F2EB35A3BE43}" name="Table14" displayName="Table14" ref="M2:N9" totalsRowShown="0">
  <autoFilter ref="M2:N9" xr:uid="{8F551656-3174-4D69-8579-F2EB35A3BE43}"/>
  <tableColumns count="2">
    <tableColumn id="1" xr3:uid="{A05ED505-CD48-4A32-B216-6A4D98DD73C3}" name="Years" dataDxfId="84">
      <calculatedColumnFormula>M2+1</calculatedColumnFormula>
    </tableColumn>
    <tableColumn id="2" xr3:uid="{C73F75AF-8A1C-465F-B1C2-13ED711912B5}" name="Total Sales" dataDxfId="83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E318F8-F6FA-42DF-A669-3B7443245DE7}" name="Table16" displayName="Table16" ref="M14:N21" totalsRowShown="0">
  <autoFilter ref="M14:N21" xr:uid="{30E318F8-F6FA-42DF-A669-3B7443245DE7}"/>
  <tableColumns count="2">
    <tableColumn id="1" xr3:uid="{A6B7A9BF-7FA3-4AEC-A8B6-F0388FFBF128}" name="Years">
      <calculatedColumnFormula>M14+1</calculatedColumnFormula>
    </tableColumn>
    <tableColumn id="2" xr3:uid="{D3F4BDF5-5625-4836-A528-C0408244CDE8}" name="Annual Total Profit " dataDxfId="8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96358D-D8ED-4B22-A8DF-EFA179807E59}" name="Table10" displayName="Table10" ref="K2:L9" totalsRowShown="0">
  <autoFilter ref="K2:L9" xr:uid="{0696358D-D8ED-4B22-A8DF-EFA179807E59}"/>
  <tableColumns count="2">
    <tableColumn id="1" xr3:uid="{FBCCCB70-1D17-4E0C-B255-6E09B71B2CD3}" name="Years" dataDxfId="81">
      <calculatedColumnFormula>K2+1</calculatedColumnFormula>
    </tableColumn>
    <tableColumn id="2" xr3:uid="{13BC2030-2A35-4C91-9808-DABB2757DCB2}" name="Profit" dataDxfId="8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A9F66F6-06AC-4A3B-8C3F-5CC17F959F90}" name="Table19" displayName="Table19" ref="A1:D12" totalsRowShown="0">
  <autoFilter ref="A1:D12" xr:uid="{3A9F66F6-06AC-4A3B-8C3F-5CC17F959F90}"/>
  <tableColumns count="4">
    <tableColumn id="1" xr3:uid="{8C2B90FE-2CBA-4B6F-B987-95E41778D774}" name="Years"/>
    <tableColumn id="2" xr3:uid="{47459144-F5F2-4982-B305-1C6C287B89FC}" name="Annual Total Profit "/>
    <tableColumn id="3" xr3:uid="{A10AE730-11D0-4984-809E-5A3DA4ECDD90}" name="Forecast(Annual Total Profit )" dataDxfId="112">
      <calculatedColumnFormula>_xlfn.FORECAST.ETS(A2,$B$2:$B$8,$A$2:$A$8,1,1)</calculatedColumnFormula>
    </tableColumn>
    <tableColumn id="4" xr3:uid="{2DA6F9D7-3303-49DD-BEEA-3575614611B3}" name="Confidence Interval(Annual Total Profit )" dataDxfId="111">
      <calculatedColumnFormula>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22DE6E6-5042-46EA-8160-C4910D585162}" name="Table20" displayName="Table20" ref="G1:H8" totalsRowShown="0">
  <autoFilter ref="G1:H8" xr:uid="{522DE6E6-5042-46EA-8160-C4910D585162}"/>
  <tableColumns count="2">
    <tableColumn id="1" xr3:uid="{AE2AFE43-529D-477E-8EFC-3F271AD58231}" name="Statistic"/>
    <tableColumn id="2" xr3:uid="{499A0D51-0770-4936-8634-14007F0AB2D0}" name="Value" dataDxfId="11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696FE6-9FAA-472A-9436-A8714C8B505F}" name="Table15" displayName="Table15" ref="A1:E12" totalsRowShown="0">
  <autoFilter ref="A1:E12" xr:uid="{23696FE6-9FAA-472A-9436-A8714C8B505F}"/>
  <tableColumns count="5">
    <tableColumn id="1" xr3:uid="{57305C19-2601-41DA-ABA7-C35561DB9059}" name="Years"/>
    <tableColumn id="2" xr3:uid="{945854A4-48BC-4BC9-88F3-DB2ACF3E8FA4}" name="Total Sales"/>
    <tableColumn id="3" xr3:uid="{CB197189-0F72-4EB8-8D1A-CD80B544DD24}" name="Forecast(Total Sales)" dataDxfId="79">
      <calculatedColumnFormula>_xlfn.FORECAST.ETS(A2,$B$2:$B$8,$A$2:$A$8,1,1)</calculatedColumnFormula>
    </tableColumn>
    <tableColumn id="4" xr3:uid="{49E34062-D1E2-4D78-AC11-F87494F18613}" name="Lower Confidence Bound(Total Sales)" dataDxfId="78">
      <calculatedColumnFormula>C2-_xlfn.FORECAST.ETS.CONFINT(A2,$B$2:$B$8,$A$2:$A$8,0.95,1,1)</calculatedColumnFormula>
    </tableColumn>
    <tableColumn id="5" xr3:uid="{871E26AE-003D-478A-9012-489138A5B2C5}" name="Upper Confidence Bound(Total Sales)" dataDxfId="77">
      <calculatedColumnFormula>C2+_xlfn.FORECAST.ETS.CONFINT(A2,$B$2:$B$8,$A$2:$A$8,0.95,1,1)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C37A829-A14F-459B-9403-B037E9F69031}" name="Table1926" displayName="Table1926" ref="A41:D52" totalsRowShown="0">
  <autoFilter ref="A41:D52" xr:uid="{EC37A829-A14F-459B-9403-B037E9F69031}"/>
  <tableColumns count="4">
    <tableColumn id="1" xr3:uid="{4865CF63-F76E-44F5-98A4-5DB92812EF1F}" name="Years"/>
    <tableColumn id="2" xr3:uid="{221964B1-0A95-45DD-BE94-7CA4437EF064}" name="Annual Total Profit "/>
    <tableColumn id="3" xr3:uid="{1421138C-A533-4472-9ACB-51EFA5EF011E}" name="Forecast(Annual Total Profit )" dataDxfId="76">
      <calculatedColumnFormula>_xlfn.FORECAST.ETS(A42,$B$2:$B$8,$A$2:$A$8,1,1)</calculatedColumnFormula>
    </tableColumn>
    <tableColumn id="4" xr3:uid="{60EC2445-D961-4BAE-A53D-12B1BEFEBCD2}" name="Confidence Interval(Annual Total Profit )" dataDxfId="75">
      <calculatedColumnFormula>_xlfn.FORECAST.ETS.CONFINT(A42,$B$2:$B$8,$A$2:$A$8,0.95,1,1)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35F881B-4F46-4B77-846F-101CB8DD8D33}" name="Table2028" displayName="Table2028" ref="A54:B61" totalsRowShown="0">
  <autoFilter ref="A54:B61" xr:uid="{F35F881B-4F46-4B77-846F-101CB8DD8D33}"/>
  <tableColumns count="2">
    <tableColumn id="1" xr3:uid="{6A110ADB-AB8C-4682-BA7F-2A20BB5C58B5}" name="Statistic"/>
    <tableColumn id="2" xr3:uid="{6EE678CC-06B9-4A11-8655-BC586BE23803}" name="Value" dataDxfId="7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C6AC61D-A4D1-463E-A6AA-11CA7904D1FD}" name="Table21" displayName="Table21" ref="A1:C8" totalsRowShown="0" dataDxfId="70">
  <autoFilter ref="A1:C8" xr:uid="{BC6AC61D-A4D1-463E-A6AA-11CA7904D1FD}"/>
  <tableColumns count="3">
    <tableColumn id="1" xr3:uid="{2867F540-28AC-4E79-8732-C42BDF638BA6}" name="Year" dataDxfId="73"/>
    <tableColumn id="2" xr3:uid="{AD6EEC5D-72B9-47D7-8B9A-4A841865E223}" name="Total Profit" dataDxfId="72"/>
    <tableColumn id="3" xr3:uid="{52B6A65E-2286-4446-82F8-28C5E5959BCD}" name="Total Sales" dataDxfId="7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C052C8-9BF3-408C-A20A-CC5AD79021CF}" name="Table9" displayName="Table9" ref="A1:O16" totalsRowShown="0">
  <autoFilter ref="A1:O16" xr:uid="{D8C052C8-9BF3-408C-A20A-CC5AD79021CF}"/>
  <tableColumns count="15">
    <tableColumn id="1" xr3:uid="{27ACE668-EF8D-4D3A-BD42-98268C0ED4A9}" name="Colour"/>
    <tableColumn id="2" xr3:uid="{49834535-06AA-44D0-B758-660A6EE00A9C}" name="Sum of Salesin_2006"/>
    <tableColumn id="3" xr3:uid="{F8493B08-5439-4772-9618-75BB8D4FBFAE}" name="Sum of Profitin_2006"/>
    <tableColumn id="4" xr3:uid="{23F1F14D-D8A4-454D-858A-614672A0833D}" name="Sum of Salesin_2007"/>
    <tableColumn id="5" xr3:uid="{4F167A89-04D2-4F0A-AA57-21660E3C5026}" name="Sum of Profitin_2007"/>
    <tableColumn id="6" xr3:uid="{E3DF3E3C-AC56-46B6-A910-D6C9AEA5A076}" name="Sum of Salesin_2008"/>
    <tableColumn id="7" xr3:uid="{CC0C2747-4AE2-4D4A-A60D-F29C8B5637AB}" name="Sum of Profitin_2008"/>
    <tableColumn id="8" xr3:uid="{239FD65B-3765-4E0D-9D37-B4F2DA86A2C6}" name="Sum of Salesin_2009"/>
    <tableColumn id="9" xr3:uid="{487A811D-EAD4-4C32-9455-D44358ED7A82}" name="Sum of Profitin_2009"/>
    <tableColumn id="10" xr3:uid="{CC8CB027-4489-4CBE-8897-4AF5A8C192F0}" name="Sum of Salesin_2010"/>
    <tableColumn id="11" xr3:uid="{4DB1E383-0D93-4F4E-9245-3EA4022BBBA1}" name="Sum of Profitin_2010"/>
    <tableColumn id="12" xr3:uid="{089907B3-05E5-49A7-B8EB-1FABAFDD9CE0}" name="Sum of Salesin_2011"/>
    <tableColumn id="13" xr3:uid="{CB8000BA-79B1-4D2E-AABF-13B4BF507077}" name="Sum of Profitin_2011"/>
    <tableColumn id="14" xr3:uid="{BEC2419C-0A23-4CAE-9EA9-80E45012BAF9}" name="Salesin_2012"/>
    <tableColumn id="15" xr3:uid="{77AA3BE0-BEDB-4228-AC3C-B17129D2221A}" name="Profitin_201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4CC7E71-EF87-45BF-B0C3-5E96DEBF9AD9}" name="Table812" displayName="Table812" ref="A1:I97" totalsRowShown="0">
  <autoFilter ref="A1:I97" xr:uid="{D4CC7E71-EF87-45BF-B0C3-5E96DEBF9AD9}"/>
  <tableColumns count="9">
    <tableColumn id="1" xr3:uid="{DC22A8A9-8E89-41EE-9BDC-B330470EBB3F}" name="Product"/>
    <tableColumn id="4" xr3:uid="{75763B3C-F70A-4A65-B326-FFB221D39F90}" name="Powder_weight_kg"/>
    <tableColumn id="5" xr3:uid="{3C70ED42-65FD-4DDE-9663-B912AA41E932}" name="Powder_Cost"/>
    <tableColumn id="6" xr3:uid="{B751C2A6-3110-4611-815F-386CE4F921F2}" name="Selling_Price_Pound"/>
    <tableColumn id="8" xr3:uid="{7DB8C557-0736-4F36-8071-6F52ED54C120}" name="Sales_in2012"/>
    <tableColumn id="9" xr3:uid="{74E24105-8AD1-4146-BDB2-995AAC8CE5DA}" name="Profit_in2012"/>
    <tableColumn id="23" xr3:uid="{977EDF79-7550-45A3-B5DE-E4535809E1E5}" name="Product Family"/>
    <tableColumn id="24" xr3:uid="{E38C6BE9-E118-45A8-A427-5072FD82392A}" name="Due Date Performance"/>
    <tableColumn id="25" xr3:uid="{60549A45-121F-4AC1-90E1-DE4FE3ACCA4E}" name="NumProductFamily" dataDxfId="68">
      <calculatedColumnFormula>IF(G2="Self Watering", 1, IF(G2="Bins", 2, IF(G2="Planterware", 3, "")))</calculatedColumnFormula>
    </tableColumn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896746C-D4CA-4076-BE75-5B95040C0E82}" name="Table30" displayName="Table30" ref="A1:E13" totalsRowShown="0">
  <autoFilter ref="A1:E13" xr:uid="{6896746C-D4CA-4076-BE75-5B95040C0E82}"/>
  <tableColumns count="5">
    <tableColumn id="1" xr3:uid="{1265DCA1-EFB6-4C0B-A899-9E6BA304ECAC}" name="Product Family"/>
    <tableColumn id="2" xr3:uid="{DD4C30D2-E34A-44F4-9DE2-0D7445008D65}" name="Planterware"/>
    <tableColumn id="3" xr3:uid="{DA72DD44-143D-45A8-9E26-77A5A4EBF77E}" name="Forecast(Planterware)">
      <calculatedColumnFormula>_xlfn.FORECAST.ETS(A2,$B$2:$B$8,$A$2:$A$8,1,1)</calculatedColumnFormula>
    </tableColumn>
    <tableColumn id="4" xr3:uid="{87A14C64-B66F-4517-ABA6-D0AF6DC030C5}" name="Lower Confidence Bound(Planterware)" dataDxfId="44">
      <calculatedColumnFormula>C2-_xlfn.FORECAST.ETS.CONFINT(A2,$B$2:$B$8,$A$2:$A$8,0.95,1,1)</calculatedColumnFormula>
    </tableColumn>
    <tableColumn id="5" xr3:uid="{173A81EA-6E74-4C0D-981F-097187F8EC01}" name="Upper Confidence Bound(Planterware)" dataDxfId="43">
      <calculatedColumnFormula>C2+_xlfn.FORECAST.ETS.CONFINT(A2,$B$2:$B$8,$A$2:$A$8,0.95,1,1)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AAEE78B-9F95-426B-AB7B-63BFB6592300}" name="Table32" displayName="Table32" ref="A1:E13" totalsRowShown="0">
  <autoFilter ref="A1:E13" xr:uid="{2AAEE78B-9F95-426B-AB7B-63BFB6592300}"/>
  <tableColumns count="5">
    <tableColumn id="1" xr3:uid="{069CA0BF-65A7-42FD-B662-0DEA6561D06E}" name="Product Family"/>
    <tableColumn id="2" xr3:uid="{A5341AE3-9502-4505-931F-41690951C8FA}" name="Self-Watering"/>
    <tableColumn id="3" xr3:uid="{AC2421C6-FE88-4865-9901-13F2569A61CE}" name="Forecast(Self-Watering)">
      <calculatedColumnFormula>_xlfn.FORECAST.ETS(A2,$B$2:$B$8,$A$2:$A$8,1,1)</calculatedColumnFormula>
    </tableColumn>
    <tableColumn id="4" xr3:uid="{406AFB55-29F6-4283-892D-922CE62DECBA}" name="Lower Confidence Bound(Self-Watering)" dataDxfId="42">
      <calculatedColumnFormula>C2-_xlfn.FORECAST.ETS.CONFINT(A2,$B$2:$B$8,$A$2:$A$8,0.95,1,1)</calculatedColumnFormula>
    </tableColumn>
    <tableColumn id="5" xr3:uid="{05D99868-3985-493A-92DC-4E84B2CAD855}" name="Upper Confidence Bound(Self-Watering)" dataDxfId="41">
      <calculatedColumnFormula>C2+_xlfn.FORECAST.ETS.CONFINT(A2,$B$2:$B$8,$A$2:$A$8,0.95,1,1)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B6D671C-6B3D-4FA0-9E4A-6709348EE660}" name="Table17" displayName="Table17" ref="A1:E10" totalsRowShown="0">
  <autoFilter ref="A1:E10" xr:uid="{5B6D671C-6B3D-4FA0-9E4A-6709348EE660}"/>
  <tableColumns count="5">
    <tableColumn id="1" xr3:uid="{D23AC21B-EB62-434E-9E7E-31C84E926AEC}" name="Years"/>
    <tableColumn id="2" xr3:uid="{3372DA78-7108-434A-B3EA-8DF4FC103A11}" name="Bins  Profit %" dataDxfId="56"/>
    <tableColumn id="3" xr3:uid="{EA73B1AB-EE12-49EF-84A2-9BCF2EFC9C19}" name="Forecast(Bins  Profit %)" dataDxfId="55"/>
    <tableColumn id="4" xr3:uid="{17DDFD97-F936-42C7-BA8B-C8A0997E6BB6}" name="Lower Confidence Bound(Bins  Profit %)" dataDxfId="54"/>
    <tableColumn id="5" xr3:uid="{2747BD4A-6058-4551-B716-B2D181753433}" name="Upper Confidence Bound(Bins  Profit %)" dataDxfId="5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6890605-EDBA-4490-AB99-AC1CCBA748AD}" name="Table34" displayName="Table34" ref="A1:E13" totalsRowShown="0">
  <autoFilter ref="A1:E13" xr:uid="{A6890605-EDBA-4490-AB99-AC1CCBA748AD}"/>
  <tableColumns count="5">
    <tableColumn id="1" xr3:uid="{EE37FEEB-5E3A-4AF8-910A-0660615DA461}" name="Product Family"/>
    <tableColumn id="2" xr3:uid="{2C81A6B3-2E2A-4F3E-AD0C-4674345621E5}" name="Self-Watering"/>
    <tableColumn id="3" xr3:uid="{31F831C9-59DC-4873-A4A8-0CAA51CC167E}" name="Forecast(Self-Watering)">
      <calculatedColumnFormula>_xlfn.FORECAST.ETS(A2,$B$2:$B$8,$A$2:$A$8,1,1)</calculatedColumnFormula>
    </tableColumn>
    <tableColumn id="4" xr3:uid="{E6EDBDAB-8DAD-4973-9BDA-430F5327BDBA}" name="Lower Confidence Bound(Self-Watering)" dataDxfId="40">
      <calculatedColumnFormula>C2-_xlfn.FORECAST.ETS.CONFINT(A2,$B$2:$B$8,$A$2:$A$8,0.95,1,1)</calculatedColumnFormula>
    </tableColumn>
    <tableColumn id="5" xr3:uid="{AB17A235-F5AB-4D14-BB1E-060B4B12E16C}" name="Upper Confidence Bound(Self-Watering)" dataDxfId="39">
      <calculatedColumnFormula>C2+_xlfn.FORECAST.ETS.CONFINT(A2,$B$2:$B$8,$A$2:$A$8,0.95,1,1)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6AD01F2-B30F-427A-8C63-2A7871A2F979}" name="Table38" displayName="Table38" ref="A31:E233" totalsRowShown="0" headerRowDxfId="6" dataDxfId="5">
  <autoFilter ref="A31:E233" xr:uid="{16AD01F2-B30F-427A-8C63-2A7871A2F979}"/>
  <tableColumns count="5">
    <tableColumn id="1" xr3:uid="{C90091DF-70E4-4FB7-8982-217919C91475}" name="Product Family" dataDxfId="4"/>
    <tableColumn id="2" xr3:uid="{F16348B3-0FF7-403F-9983-74E6CC401C2E}" name="Colour" dataDxfId="3"/>
    <tableColumn id="3" xr3:uid="{5880ACD7-52A6-4245-90AC-B40B523C63C3}" name="Performance Score (Number of Sales * Profit Margin) / Selling Price)" dataDxfId="2"/>
    <tableColumn id="4" xr3:uid="{524A2364-46B1-47AF-B062-41D3D7A55FDF}" name="Profit Margin" dataDxfId="1"/>
    <tableColumn id="5" xr3:uid="{826CD130-3D54-4847-8F64-7DD1C5E8BC43}" name="Total Nr of Sales" dataDxfId="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1144EB-32F2-451C-90EB-F1B98BFE7A00}" name="Table4" displayName="Table4" ref="A1:I203" totalsRowShown="0">
  <autoFilter ref="A1:I203" xr:uid="{BD1144EB-32F2-451C-90EB-F1B98BFE7A00}">
    <filterColumn colId="0">
      <filters>
        <filter val="Dark Sandstone"/>
      </filters>
    </filterColumn>
    <filterColumn colId="4">
      <filters>
        <filter val="0"/>
      </filters>
    </filterColumn>
    <filterColumn colId="5">
      <filters>
        <filter val="0"/>
      </filters>
    </filterColumn>
    <filterColumn colId="6">
      <filters>
        <filter val="0"/>
      </filters>
    </filterColumn>
    <filterColumn colId="7">
      <filters>
        <filter val="0"/>
      </filters>
    </filterColumn>
  </autoFilter>
  <sortState xmlns:xlrd2="http://schemas.microsoft.com/office/spreadsheetml/2017/richdata2" ref="A62:I203">
    <sortCondition descending="1" ref="C1:C203"/>
  </sortState>
  <tableColumns count="9">
    <tableColumn id="1" xr3:uid="{1317C289-3C23-4A5A-8C60-753F866E31CB}" name="Colour"/>
    <tableColumn id="2" xr3:uid="{ABDED99B-F33B-4B0B-99BD-7F616D6DDDA9}" name="Salesin_2012"/>
    <tableColumn id="3" xr3:uid="{323CE506-2247-40C1-B38A-276673B02BDE}" name="Salesin_2011"/>
    <tableColumn id="4" xr3:uid="{5DF92908-2B30-42A7-A5D3-50C455755FFA}" name="Salesin_2010"/>
    <tableColumn id="5" xr3:uid="{39B10B69-6188-409F-AC56-A48EF72C4A7F}" name="Salesin_2009"/>
    <tableColumn id="6" xr3:uid="{92A7842B-5C05-43F3-874A-7D1BBEEAF519}" name="Salesin_2008"/>
    <tableColumn id="7" xr3:uid="{E1D18F83-2341-41B4-9130-A298A591A964}" name="Salesin_2007"/>
    <tableColumn id="8" xr3:uid="{EEBD0535-6E2D-46B6-9064-E98A964F30A9}" name="Salesin_2006"/>
    <tableColumn id="9" xr3:uid="{124BB202-F76B-45C6-B909-4CECA60BA78F}" name="Product Family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DEF80D-8CEF-4F40-B281-7B7DE48E422E}" name="Table5" displayName="Table5" ref="A217:C295" totalsRowShown="0">
  <autoFilter ref="A217:C295" xr:uid="{E7DEF80D-8CEF-4F40-B281-7B7DE48E422E}"/>
  <sortState xmlns:xlrd2="http://schemas.microsoft.com/office/spreadsheetml/2017/richdata2" ref="A218:C295">
    <sortCondition ref="A217:A295"/>
  </sortState>
  <tableColumns count="3">
    <tableColumn id="1" xr3:uid="{CDF16DF9-9A73-4078-82A7-EBBD93DB5D99}" name="Colour"/>
    <tableColumn id="2" xr3:uid="{F0C43171-C5C3-434A-8EC5-7670025BB1E1}" name="Salesin_2012"/>
    <tableColumn id="3" xr3:uid="{2F87A11E-15FD-43C7-86BB-A06902AFC1C6}" name="Salesin_2011"/>
  </tableColumns>
  <tableStyleInfo name="TableStyleMedium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3F29520-58B9-4441-83CF-D7B4D9B347AD}" name="Table39" displayName="Table39" ref="A1:W203" totalsRowShown="0" tableBorderDxfId="29">
  <autoFilter ref="A1:W203" xr:uid="{73F29520-58B9-4441-83CF-D7B4D9B347AD}"/>
  <tableColumns count="23">
    <tableColumn id="4" xr3:uid="{5E758570-B4C6-4052-A886-24ED0C43DED4}" name="Powder_weight_kg" dataDxfId="28"/>
    <tableColumn id="5" xr3:uid="{6F8C46B7-4CED-4503-8EA7-1F58C9311415}" name="Powder_Cost" dataDxfId="27">
      <calculatedColumnFormula>A2*2.8</calculatedColumnFormula>
    </tableColumn>
    <tableColumn id="6" xr3:uid="{6B7B4FFD-81D8-48F7-B9DD-CCB6A74ADDB1}" name="Selling_Price_Pound" dataDxfId="26"/>
    <tableColumn id="7" xr3:uid="{03591FA9-3A92-463C-ADDD-B78E16B708AB}" name=" Profit" dataDxfId="25">
      <calculatedColumnFormula>C2-B2</calculatedColumnFormula>
    </tableColumn>
    <tableColumn id="8" xr3:uid="{CF45F8B9-E46F-439E-A05A-67891A515E82}" name="Profit_Margin" dataDxfId="24"/>
    <tableColumn id="9" xr3:uid="{A8267D19-0E29-45BD-96E5-2E3D2AA0459F}" name="Salesin_2012" dataDxfId="23"/>
    <tableColumn id="10" xr3:uid="{6807BE75-332C-43FA-834D-B9D470DC516C}" name="Profitin_2012" dataDxfId="22">
      <calculatedColumnFormula>F2*C2-F2*B2</calculatedColumnFormula>
    </tableColumn>
    <tableColumn id="11" xr3:uid="{AEC878B6-4B91-4B7D-93C8-44B6325635BA}" name="Salesin_2011" dataDxfId="21"/>
    <tableColumn id="12" xr3:uid="{680246E1-0066-4D73-826E-722576064A0E}" name="Profitin_2011" dataDxfId="20">
      <calculatedColumnFormula>H2*C2-F2*B2</calculatedColumnFormula>
    </tableColumn>
    <tableColumn id="13" xr3:uid="{03CF5B01-CF37-4F9B-A1BB-A5C17D3A4F67}" name="Salesin_2010" dataDxfId="19"/>
    <tableColumn id="14" xr3:uid="{13E5EE5F-30C0-44A0-AA7C-0B764327C226}" name="Profitin_2010" dataDxfId="18">
      <calculatedColumnFormula>J2*C2-J2*B2</calculatedColumnFormula>
    </tableColumn>
    <tableColumn id="15" xr3:uid="{67703487-DF76-4D7E-867F-719CC7C92AED}" name="Salesin_2009" dataDxfId="17"/>
    <tableColumn id="16" xr3:uid="{4DEB5AFF-E221-4EC5-845E-F0C3B521936B}" name="Profitin_2009" dataDxfId="16">
      <calculatedColumnFormula>L2*C2-L2*B2</calculatedColumnFormula>
    </tableColumn>
    <tableColumn id="17" xr3:uid="{BBFE21F3-8190-4D31-B26D-7461D4642DE2}" name="Salesin_2008" dataDxfId="15"/>
    <tableColumn id="18" xr3:uid="{03A5BA34-4BB8-4B54-ABEB-27430A2D1BDD}" name="Profitin_2008" dataDxfId="14">
      <calculatedColumnFormula>N2*C2-N2*B2</calculatedColumnFormula>
    </tableColumn>
    <tableColumn id="19" xr3:uid="{701D1ACE-527E-40AF-8EF1-7639D2A2F46B}" name="Salesin_2007" dataDxfId="13"/>
    <tableColumn id="20" xr3:uid="{7B0B4A9B-71A8-48A4-9AD8-ACC36798C6EB}" name="Profitin_2007" dataDxfId="12">
      <calculatedColumnFormula>P2*C2-P2*B2</calculatedColumnFormula>
    </tableColumn>
    <tableColumn id="21" xr3:uid="{7C08FC66-9D68-467E-BA3C-AD832E31D8E4}" name="Salesin_2006" dataDxfId="11"/>
    <tableColumn id="22" xr3:uid="{076028E4-41DA-4497-895B-0AF7BCEECF55}" name="Profitin_2006" dataDxfId="10">
      <calculatedColumnFormula>R2*C2-R2*B2</calculatedColumnFormula>
    </tableColumn>
    <tableColumn id="23" xr3:uid="{AC95AA47-A934-424F-885D-AF204F0DD3DA}" name="Total Nr of Sales" dataDxfId="9">
      <calculatedColumnFormula>SUM(P2,N2,L2,J2,H2,F2)</calculatedColumnFormula>
    </tableColumn>
    <tableColumn id="27" xr3:uid="{0AD68D0E-ED46-4EA2-AB84-6BAFF8B3765A}" name="Product_Family_Num" dataDxfId="7"/>
    <tableColumn id="25" xr3:uid="{D7780018-AC75-4662-A65A-6ED8A8C7CC7A}" name="Due Date Performance/%" dataDxfId="8"/>
    <tableColumn id="26" xr3:uid="{B04BAEFE-A7EE-4E36-9DCF-0CA62CEDDD01}" name="Total_Powder_Weight_kg">
      <calculatedColumnFormula>A2*F2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0.xml"/><Relationship Id="rId4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14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15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16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drawing" Target="../drawings/drawing17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ivotTable" Target="../pivotTables/pivotTable1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2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5137-F102-42E6-9E97-6DC82814EB0F}">
  <dimension ref="A1:E13"/>
  <sheetViews>
    <sheetView workbookViewId="0">
      <selection activeCell="C21" sqref="C21"/>
    </sheetView>
  </sheetViews>
  <sheetFormatPr defaultRowHeight="14.4" x14ac:dyDescent="0.3"/>
  <cols>
    <col min="2" max="2" width="20" customWidth="1"/>
    <col min="3" max="3" width="28.33203125" customWidth="1"/>
    <col min="4" max="4" width="42.44140625" customWidth="1"/>
    <col min="5" max="5" width="42.5546875" customWidth="1"/>
  </cols>
  <sheetData>
    <row r="1" spans="1:5" x14ac:dyDescent="0.3">
      <c r="A1" t="s">
        <v>267</v>
      </c>
      <c r="B1" t="s">
        <v>303</v>
      </c>
      <c r="C1" t="s">
        <v>353</v>
      </c>
      <c r="D1" t="s">
        <v>354</v>
      </c>
      <c r="E1" t="s">
        <v>355</v>
      </c>
    </row>
    <row r="2" spans="1:5" x14ac:dyDescent="0.3">
      <c r="A2">
        <v>2006</v>
      </c>
      <c r="B2" s="42">
        <v>0</v>
      </c>
    </row>
    <row r="3" spans="1:5" x14ac:dyDescent="0.3">
      <c r="A3">
        <v>2007</v>
      </c>
      <c r="B3" s="42">
        <v>0</v>
      </c>
    </row>
    <row r="4" spans="1:5" x14ac:dyDescent="0.3">
      <c r="A4">
        <v>2008</v>
      </c>
      <c r="B4" s="42">
        <v>0</v>
      </c>
    </row>
    <row r="5" spans="1:5" x14ac:dyDescent="0.3">
      <c r="A5">
        <v>2009</v>
      </c>
      <c r="B5" s="42">
        <v>0</v>
      </c>
    </row>
    <row r="6" spans="1:5" x14ac:dyDescent="0.3">
      <c r="A6">
        <v>2010</v>
      </c>
      <c r="B6" s="42">
        <v>1.5657435767400918E-2</v>
      </c>
    </row>
    <row r="7" spans="1:5" x14ac:dyDescent="0.3">
      <c r="A7">
        <v>2011</v>
      </c>
      <c r="B7" s="42">
        <v>-1.1998599359787582E-2</v>
      </c>
    </row>
    <row r="8" spans="1:5" x14ac:dyDescent="0.3">
      <c r="A8">
        <v>2012</v>
      </c>
      <c r="B8" s="42">
        <v>-8.683958917634016E-3</v>
      </c>
      <c r="C8" s="42">
        <v>-8.683958917634016E-3</v>
      </c>
      <c r="D8" s="42">
        <v>-8.683958917634016E-3</v>
      </c>
      <c r="E8" s="42">
        <v>-8.683958917634016E-3</v>
      </c>
    </row>
    <row r="9" spans="1:5" x14ac:dyDescent="0.3">
      <c r="A9">
        <v>2013</v>
      </c>
      <c r="C9" s="42">
        <f>_xlfn.FORECAST.ETS(A9,$B$2:$B$8,$A$2:$A$8,1,1)</f>
        <v>-8.4742343552676163E-3</v>
      </c>
      <c r="D9" s="42">
        <f>C9-_xlfn.FORECAST.ETS.CONFINT(A9,$B$2:$B$8,$A$2:$A$8,0.95,1,1)</f>
        <v>-2.4712868700844423E-2</v>
      </c>
      <c r="E9" s="42">
        <f>C9+_xlfn.FORECAST.ETS.CONFINT(A9,$B$2:$B$8,$A$2:$A$8,0.95,1,1)</f>
        <v>7.7643999903091922E-3</v>
      </c>
    </row>
    <row r="10" spans="1:5" x14ac:dyDescent="0.3">
      <c r="A10">
        <v>2014</v>
      </c>
      <c r="C10" s="42">
        <f>_xlfn.FORECAST.ETS(A10,$B$2:$B$8,$A$2:$A$8,1,1)</f>
        <v>-9.681983468815155E-3</v>
      </c>
      <c r="D10" s="42">
        <f>C10-_xlfn.FORECAST.ETS.CONFINT(A10,$B$2:$B$8,$A$2:$A$8,0.95,1,1)</f>
        <v>-2.5920690888082101E-2</v>
      </c>
      <c r="E10" s="42">
        <f>C10+_xlfn.FORECAST.ETS.CONFINT(A10,$B$2:$B$8,$A$2:$A$8,0.95,1,1)</f>
        <v>6.5567239504517906E-3</v>
      </c>
    </row>
    <row r="11" spans="1:5" x14ac:dyDescent="0.3">
      <c r="A11">
        <v>2015</v>
      </c>
      <c r="C11" s="42">
        <f>_xlfn.FORECAST.ETS(A11,$B$2:$B$8,$A$2:$A$8,1,1)</f>
        <v>-1.0889732582362701E-2</v>
      </c>
      <c r="D11" s="42">
        <f>C11-_xlfn.FORECAST.ETS.CONFINT(A11,$B$2:$B$8,$A$2:$A$8,0.95,1,1)</f>
        <v>-2.7128569909600199E-2</v>
      </c>
      <c r="E11" s="42">
        <f>C11+_xlfn.FORECAST.ETS.CONFINT(A11,$B$2:$B$8,$A$2:$A$8,0.95,1,1)</f>
        <v>5.3491047448747994E-3</v>
      </c>
    </row>
    <row r="12" spans="1:5" x14ac:dyDescent="0.3">
      <c r="A12">
        <v>2016</v>
      </c>
      <c r="C12" s="42">
        <f>_xlfn.FORECAST.ETS(A12,$B$2:$B$8,$A$2:$A$8,1,1)</f>
        <v>-1.2097481695910238E-2</v>
      </c>
      <c r="D12" s="42">
        <f>C12-_xlfn.FORECAST.ETS.CONFINT(A12,$B$2:$B$8,$A$2:$A$8,0.95,1,1)</f>
        <v>-2.8336522002271242E-2</v>
      </c>
      <c r="E12" s="42">
        <f>C12+_xlfn.FORECAST.ETS.CONFINT(A12,$B$2:$B$8,$A$2:$A$8,0.95,1,1)</f>
        <v>4.1415586104507646E-3</v>
      </c>
    </row>
    <row r="13" spans="1:5" x14ac:dyDescent="0.3">
      <c r="A13">
        <v>2017</v>
      </c>
      <c r="C13" s="42">
        <f>_xlfn.FORECAST.ETS(A13,$B$2:$B$8,$A$2:$A$8,1,1)</f>
        <v>-1.3305230809457782E-2</v>
      </c>
      <c r="D13" s="42">
        <f>C13-_xlfn.FORECAST.ETS.CONFINT(A13,$B$2:$B$8,$A$2:$A$8,0.95,1,1)</f>
        <v>-2.9544563401299476E-2</v>
      </c>
      <c r="E13" s="42">
        <f>C13+_xlfn.FORECAST.ETS.CONFINT(A13,$B$2:$B$8,$A$2:$A$8,0.95,1,1)</f>
        <v>2.9341017823839143E-3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6AF3-65AA-495B-9C55-ED111CB2589F}">
  <dimension ref="A1:E13"/>
  <sheetViews>
    <sheetView workbookViewId="0"/>
  </sheetViews>
  <sheetFormatPr defaultRowHeight="14.4" x14ac:dyDescent="0.3"/>
  <cols>
    <col min="2" max="2" width="21.5546875" customWidth="1"/>
    <col min="3" max="3" width="29.88671875" customWidth="1"/>
    <col min="4" max="4" width="44" customWidth="1"/>
    <col min="5" max="5" width="44.109375" customWidth="1"/>
  </cols>
  <sheetData>
    <row r="1" spans="1:5" x14ac:dyDescent="0.3">
      <c r="A1" t="s">
        <v>267</v>
      </c>
      <c r="B1" t="s">
        <v>301</v>
      </c>
      <c r="C1" t="s">
        <v>356</v>
      </c>
      <c r="D1" t="s">
        <v>357</v>
      </c>
      <c r="E1" t="s">
        <v>358</v>
      </c>
    </row>
    <row r="2" spans="1:5" x14ac:dyDescent="0.3">
      <c r="A2">
        <v>2006</v>
      </c>
      <c r="B2" s="42">
        <v>0.84680475485620266</v>
      </c>
    </row>
    <row r="3" spans="1:5" x14ac:dyDescent="0.3">
      <c r="A3">
        <v>2007</v>
      </c>
      <c r="B3" s="42">
        <v>0.87116813200598642</v>
      </c>
    </row>
    <row r="4" spans="1:5" x14ac:dyDescent="0.3">
      <c r="A4">
        <v>2008</v>
      </c>
      <c r="B4" s="42">
        <v>0.85565081093734896</v>
      </c>
    </row>
    <row r="5" spans="1:5" x14ac:dyDescent="0.3">
      <c r="A5">
        <v>2009</v>
      </c>
      <c r="B5" s="42">
        <v>0.8943358978219772</v>
      </c>
    </row>
    <row r="6" spans="1:5" x14ac:dyDescent="0.3">
      <c r="A6">
        <v>2010</v>
      </c>
      <c r="B6" s="42">
        <v>0.6454567557873333</v>
      </c>
    </row>
    <row r="7" spans="1:5" x14ac:dyDescent="0.3">
      <c r="A7">
        <v>2011</v>
      </c>
      <c r="B7" s="42">
        <v>0.75770815563958971</v>
      </c>
    </row>
    <row r="8" spans="1:5" x14ac:dyDescent="0.3">
      <c r="A8">
        <v>2012</v>
      </c>
      <c r="B8" s="42">
        <v>0.74140511340882398</v>
      </c>
      <c r="C8" s="42">
        <v>0.74140511340882398</v>
      </c>
      <c r="D8" s="42">
        <v>0.74140511340882398</v>
      </c>
      <c r="E8" s="42">
        <v>0.74140511340882398</v>
      </c>
    </row>
    <row r="9" spans="1:5" x14ac:dyDescent="0.3">
      <c r="A9">
        <v>2013</v>
      </c>
      <c r="C9" s="42">
        <f>_xlfn.FORECAST.ETS(A9,$B$2:$B$8,$A$2:$A$8,1,1)</f>
        <v>0.67772982383104907</v>
      </c>
      <c r="D9" s="42">
        <f>C9-_xlfn.FORECAST.ETS.CONFINT(A9,$B$2:$B$8,$A$2:$A$8,0.95,1,1)</f>
        <v>0.53691201726112014</v>
      </c>
      <c r="E9" s="42">
        <f>C9+_xlfn.FORECAST.ETS.CONFINT(A9,$B$2:$B$8,$A$2:$A$8,0.95,1,1)</f>
        <v>0.818547630400978</v>
      </c>
    </row>
    <row r="10" spans="1:5" x14ac:dyDescent="0.3">
      <c r="A10">
        <v>2014</v>
      </c>
      <c r="C10" s="42">
        <f>_xlfn.FORECAST.ETS(A10,$B$2:$B$8,$A$2:$A$8,1,1)</f>
        <v>0.65101009603821025</v>
      </c>
      <c r="D10" s="42">
        <f>C10-_xlfn.FORECAST.ETS.CONFINT(A10,$B$2:$B$8,$A$2:$A$8,0.95,1,1)</f>
        <v>0.50947587065713273</v>
      </c>
      <c r="E10" s="42">
        <f>C10+_xlfn.FORECAST.ETS.CONFINT(A10,$B$2:$B$8,$A$2:$A$8,0.95,1,1)</f>
        <v>0.79254432141928777</v>
      </c>
    </row>
    <row r="11" spans="1:5" x14ac:dyDescent="0.3">
      <c r="A11">
        <v>2015</v>
      </c>
      <c r="C11" s="42">
        <f>_xlfn.FORECAST.ETS(A11,$B$2:$B$8,$A$2:$A$8,1,1)</f>
        <v>0.62429036824537132</v>
      </c>
      <c r="D11" s="42">
        <f>C11-_xlfn.FORECAST.ETS.CONFINT(A11,$B$2:$B$8,$A$2:$A$8,0.95,1,1)</f>
        <v>0.48202918351400903</v>
      </c>
      <c r="E11" s="42">
        <f>C11+_xlfn.FORECAST.ETS.CONFINT(A11,$B$2:$B$8,$A$2:$A$8,0.95,1,1)</f>
        <v>0.76655155297673361</v>
      </c>
    </row>
    <row r="12" spans="1:5" x14ac:dyDescent="0.3">
      <c r="A12">
        <v>2016</v>
      </c>
      <c r="C12" s="42">
        <f>_xlfn.FORECAST.ETS(A12,$B$2:$B$8,$A$2:$A$8,1,1)</f>
        <v>0.59757064045253239</v>
      </c>
      <c r="D12" s="42">
        <f>C12-_xlfn.FORECAST.ETS.CONFINT(A12,$B$2:$B$8,$A$2:$A$8,0.95,1,1)</f>
        <v>0.45457197791570103</v>
      </c>
      <c r="E12" s="42">
        <f>C12+_xlfn.FORECAST.ETS.CONFINT(A12,$B$2:$B$8,$A$2:$A$8,0.95,1,1)</f>
        <v>0.74056930298936374</v>
      </c>
    </row>
    <row r="13" spans="1:5" x14ac:dyDescent="0.3">
      <c r="A13">
        <v>2017</v>
      </c>
      <c r="C13" s="42">
        <f>_xlfn.FORECAST.ETS(A13,$B$2:$B$8,$A$2:$A$8,1,1)</f>
        <v>0.57085091265969345</v>
      </c>
      <c r="D13" s="42">
        <f>C13-_xlfn.FORECAST.ETS.CONFINT(A13,$B$2:$B$8,$A$2:$A$8,0.95,1,1)</f>
        <v>0.42710427780521654</v>
      </c>
      <c r="E13" s="42">
        <f>C13+_xlfn.FORECAST.ETS.CONFINT(A13,$B$2:$B$8,$A$2:$A$8,0.95,1,1)</f>
        <v>0.71459754751417037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90A8-0730-4282-A6AD-6A3E73328D95}">
  <dimension ref="A1:X845"/>
  <sheetViews>
    <sheetView tabSelected="1" topLeftCell="A39" zoomScaleNormal="100" workbookViewId="0">
      <selection activeCell="B7" sqref="B7"/>
    </sheetView>
  </sheetViews>
  <sheetFormatPr defaultRowHeight="14.4" x14ac:dyDescent="0.3"/>
  <cols>
    <col min="1" max="1" width="15.21875" customWidth="1"/>
    <col min="2" max="2" width="14.33203125" customWidth="1"/>
    <col min="3" max="3" width="18.5546875" customWidth="1"/>
    <col min="4" max="5" width="14.77734375" customWidth="1"/>
    <col min="6" max="6" width="15.44140625" customWidth="1"/>
    <col min="7" max="7" width="14.88671875" customWidth="1"/>
    <col min="8" max="8" width="15.44140625" customWidth="1"/>
    <col min="9" max="11" width="13.44140625" customWidth="1"/>
    <col min="12" max="12" width="15.5546875" customWidth="1"/>
    <col min="13" max="13" width="21.88671875" customWidth="1"/>
    <col min="14" max="14" width="23.6640625" customWidth="1"/>
    <col min="15" max="15" width="14.88671875" customWidth="1"/>
    <col min="19" max="19" width="7.21875" customWidth="1"/>
    <col min="20" max="20" width="10.77734375" customWidth="1"/>
  </cols>
  <sheetData>
    <row r="1" spans="1:8" ht="15" thickBot="1" x14ac:dyDescent="0.35">
      <c r="A1" s="63" t="s">
        <v>245</v>
      </c>
      <c r="B1" s="64" t="s">
        <v>247</v>
      </c>
      <c r="C1" s="64" t="s">
        <v>248</v>
      </c>
      <c r="D1" s="64" t="s">
        <v>249</v>
      </c>
      <c r="E1" s="64" t="s">
        <v>250</v>
      </c>
      <c r="F1" s="64" t="s">
        <v>251</v>
      </c>
      <c r="G1" s="64" t="s">
        <v>252</v>
      </c>
      <c r="H1" s="64" t="s">
        <v>5</v>
      </c>
    </row>
    <row r="2" spans="1:8" ht="15" thickTop="1" x14ac:dyDescent="0.3">
      <c r="A2" s="65">
        <v>-938</v>
      </c>
      <c r="B2" s="66">
        <v>-5593</v>
      </c>
      <c r="C2" s="66">
        <v>0</v>
      </c>
      <c r="D2" s="66">
        <v>0</v>
      </c>
      <c r="E2" s="66">
        <v>0</v>
      </c>
      <c r="F2" s="66">
        <v>0</v>
      </c>
      <c r="G2" s="66">
        <v>0</v>
      </c>
      <c r="H2" s="66" t="s">
        <v>97</v>
      </c>
    </row>
    <row r="3" spans="1:8" x14ac:dyDescent="0.3">
      <c r="A3" s="68">
        <v>-660</v>
      </c>
      <c r="B3" s="69">
        <v>-2860</v>
      </c>
      <c r="C3" s="69">
        <v>-11</v>
      </c>
      <c r="D3" s="69">
        <v>0</v>
      </c>
      <c r="E3" s="69">
        <v>0</v>
      </c>
      <c r="F3" s="69">
        <v>0</v>
      </c>
      <c r="G3" s="69">
        <v>0</v>
      </c>
      <c r="H3" s="69" t="s">
        <v>97</v>
      </c>
    </row>
    <row r="4" spans="1:8" x14ac:dyDescent="0.3">
      <c r="A4" s="67">
        <v>0</v>
      </c>
      <c r="B4" s="57">
        <v>16020</v>
      </c>
      <c r="C4" s="57">
        <v>0</v>
      </c>
      <c r="D4" s="57">
        <v>0</v>
      </c>
      <c r="E4" s="57">
        <v>0</v>
      </c>
      <c r="F4" s="57">
        <v>0</v>
      </c>
      <c r="G4" s="57">
        <v>0</v>
      </c>
      <c r="H4" s="57" t="s">
        <v>10</v>
      </c>
    </row>
    <row r="5" spans="1:8" x14ac:dyDescent="0.3">
      <c r="A5" s="67">
        <v>0</v>
      </c>
      <c r="B5" s="57">
        <v>3500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 t="s">
        <v>10</v>
      </c>
    </row>
    <row r="6" spans="1:8" x14ac:dyDescent="0.3">
      <c r="A6" s="67">
        <v>0</v>
      </c>
      <c r="B6" s="57">
        <v>1500</v>
      </c>
      <c r="C6" s="57">
        <v>0</v>
      </c>
      <c r="D6" s="57">
        <v>0</v>
      </c>
      <c r="E6" s="57">
        <v>0</v>
      </c>
      <c r="F6" s="57">
        <v>0</v>
      </c>
      <c r="G6" s="57">
        <v>0</v>
      </c>
      <c r="H6" s="57" t="s">
        <v>10</v>
      </c>
    </row>
    <row r="7" spans="1:8" x14ac:dyDescent="0.3">
      <c r="A7" s="68">
        <v>0</v>
      </c>
      <c r="B7" s="69">
        <v>1500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69" t="s">
        <v>10</v>
      </c>
    </row>
    <row r="8" spans="1:8" x14ac:dyDescent="0.3">
      <c r="A8" s="67">
        <v>0</v>
      </c>
      <c r="B8" s="57">
        <v>1250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7" t="s">
        <v>10</v>
      </c>
    </row>
    <row r="9" spans="1:8" x14ac:dyDescent="0.3">
      <c r="A9" s="67">
        <v>0</v>
      </c>
      <c r="B9" s="57">
        <v>1250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7" t="s">
        <v>10</v>
      </c>
    </row>
    <row r="10" spans="1:8" x14ac:dyDescent="0.3">
      <c r="A10" s="68">
        <v>0</v>
      </c>
      <c r="B10" s="69">
        <v>500</v>
      </c>
      <c r="C10" s="69">
        <v>0</v>
      </c>
      <c r="D10" s="69">
        <v>0</v>
      </c>
      <c r="E10" s="69">
        <v>0</v>
      </c>
      <c r="F10" s="69">
        <v>0</v>
      </c>
      <c r="G10" s="69">
        <v>0</v>
      </c>
      <c r="H10" s="69" t="s">
        <v>10</v>
      </c>
    </row>
    <row r="11" spans="1:8" x14ac:dyDescent="0.3">
      <c r="A11" s="67">
        <v>0</v>
      </c>
      <c r="B11" s="57">
        <v>455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 t="s">
        <v>10</v>
      </c>
    </row>
    <row r="12" spans="1:8" x14ac:dyDescent="0.3">
      <c r="A12" s="68">
        <v>0</v>
      </c>
      <c r="B12" s="69">
        <v>400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69" t="s">
        <v>10</v>
      </c>
    </row>
    <row r="13" spans="1:8" x14ac:dyDescent="0.3">
      <c r="A13" s="67">
        <v>0</v>
      </c>
      <c r="B13" s="57">
        <v>370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 t="s">
        <v>10</v>
      </c>
    </row>
    <row r="14" spans="1:8" x14ac:dyDescent="0.3">
      <c r="A14" s="68">
        <v>0</v>
      </c>
      <c r="B14" s="69">
        <v>330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 t="s">
        <v>10</v>
      </c>
    </row>
    <row r="15" spans="1:8" x14ac:dyDescent="0.3">
      <c r="A15" s="68">
        <v>0</v>
      </c>
      <c r="B15" s="69">
        <v>290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 t="s">
        <v>10</v>
      </c>
    </row>
    <row r="16" spans="1:8" x14ac:dyDescent="0.3">
      <c r="A16" s="68">
        <v>0</v>
      </c>
      <c r="B16" s="69">
        <v>275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 t="s">
        <v>10</v>
      </c>
    </row>
    <row r="17" spans="1:8" x14ac:dyDescent="0.3">
      <c r="A17" s="68">
        <v>0</v>
      </c>
      <c r="B17" s="69">
        <v>275</v>
      </c>
      <c r="C17" s="69">
        <v>0</v>
      </c>
      <c r="D17" s="69">
        <v>0</v>
      </c>
      <c r="E17" s="69">
        <v>0</v>
      </c>
      <c r="F17" s="69">
        <v>0</v>
      </c>
      <c r="G17" s="69">
        <v>0</v>
      </c>
      <c r="H17" s="69" t="s">
        <v>10</v>
      </c>
    </row>
    <row r="18" spans="1:8" x14ac:dyDescent="0.3">
      <c r="A18" s="67">
        <v>0</v>
      </c>
      <c r="B18" s="57">
        <v>237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7" t="s">
        <v>10</v>
      </c>
    </row>
    <row r="19" spans="1:8" x14ac:dyDescent="0.3">
      <c r="A19" s="67">
        <v>0</v>
      </c>
      <c r="B19" s="57">
        <v>220</v>
      </c>
      <c r="C19" s="57">
        <v>0</v>
      </c>
      <c r="D19" s="57">
        <v>108</v>
      </c>
      <c r="E19" s="57">
        <v>4104</v>
      </c>
      <c r="F19" s="57">
        <v>0</v>
      </c>
      <c r="G19" s="57">
        <v>0</v>
      </c>
      <c r="H19" s="57" t="s">
        <v>10</v>
      </c>
    </row>
    <row r="20" spans="1:8" x14ac:dyDescent="0.3">
      <c r="A20" s="68">
        <v>0</v>
      </c>
      <c r="B20" s="69">
        <v>210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 t="s">
        <v>10</v>
      </c>
    </row>
    <row r="21" spans="1:8" x14ac:dyDescent="0.3">
      <c r="A21" s="68">
        <v>0</v>
      </c>
      <c r="B21" s="69">
        <v>0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 t="s">
        <v>97</v>
      </c>
    </row>
    <row r="22" spans="1:8" x14ac:dyDescent="0.3">
      <c r="A22" s="67">
        <v>0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 t="s">
        <v>97</v>
      </c>
    </row>
    <row r="23" spans="1:8" x14ac:dyDescent="0.3">
      <c r="A23" s="68">
        <v>0</v>
      </c>
      <c r="B23" s="69">
        <v>0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 t="s">
        <v>97</v>
      </c>
    </row>
    <row r="24" spans="1:8" x14ac:dyDescent="0.3">
      <c r="A24" s="67">
        <v>0</v>
      </c>
      <c r="B24" s="57">
        <v>0</v>
      </c>
      <c r="C24" s="57">
        <v>0</v>
      </c>
      <c r="D24" s="57">
        <v>0</v>
      </c>
      <c r="E24" s="57">
        <v>0</v>
      </c>
      <c r="F24" s="57">
        <v>0</v>
      </c>
      <c r="G24" s="57">
        <v>0</v>
      </c>
      <c r="H24" s="57" t="s">
        <v>97</v>
      </c>
    </row>
    <row r="25" spans="1:8" x14ac:dyDescent="0.3">
      <c r="A25" s="68">
        <v>0</v>
      </c>
      <c r="B25" s="69">
        <v>0</v>
      </c>
      <c r="C25" s="69">
        <v>0</v>
      </c>
      <c r="D25" s="69">
        <v>0</v>
      </c>
      <c r="E25" s="69">
        <v>4932</v>
      </c>
      <c r="F25" s="69">
        <v>0</v>
      </c>
      <c r="G25" s="69">
        <v>0</v>
      </c>
      <c r="H25" s="69" t="s">
        <v>10</v>
      </c>
    </row>
    <row r="26" spans="1:8" x14ac:dyDescent="0.3">
      <c r="A26" s="67">
        <v>0</v>
      </c>
      <c r="B26" s="57">
        <v>0</v>
      </c>
      <c r="C26" s="57">
        <v>0</v>
      </c>
      <c r="D26" s="57">
        <v>183.4</v>
      </c>
      <c r="E26" s="57">
        <v>0</v>
      </c>
      <c r="F26" s="57">
        <v>0</v>
      </c>
      <c r="G26" s="57">
        <v>0</v>
      </c>
      <c r="H26" s="57" t="s">
        <v>10</v>
      </c>
    </row>
    <row r="27" spans="1:8" x14ac:dyDescent="0.3">
      <c r="A27" s="67">
        <v>0</v>
      </c>
      <c r="B27" s="57">
        <v>-1170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 t="s">
        <v>97</v>
      </c>
    </row>
    <row r="28" spans="1:8" x14ac:dyDescent="0.3">
      <c r="A28" s="67">
        <v>0</v>
      </c>
      <c r="B28" s="57">
        <v>-1200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 t="s">
        <v>97</v>
      </c>
    </row>
    <row r="29" spans="1:8" x14ac:dyDescent="0.3">
      <c r="A29" s="68">
        <v>34</v>
      </c>
      <c r="B29" s="69">
        <v>-15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 t="s">
        <v>10</v>
      </c>
    </row>
    <row r="30" spans="1:8" x14ac:dyDescent="0.3">
      <c r="A30" s="68">
        <v>34</v>
      </c>
      <c r="B30" s="69">
        <v>-15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 t="s">
        <v>10</v>
      </c>
    </row>
    <row r="31" spans="1:8" x14ac:dyDescent="0.3">
      <c r="A31" s="67">
        <v>51</v>
      </c>
      <c r="B31" s="57">
        <v>-15</v>
      </c>
      <c r="C31" s="57">
        <v>0</v>
      </c>
      <c r="D31" s="57">
        <v>0</v>
      </c>
      <c r="E31" s="57">
        <v>0</v>
      </c>
      <c r="F31" s="57">
        <v>0</v>
      </c>
      <c r="G31" s="57">
        <v>0</v>
      </c>
      <c r="H31" s="57" t="s">
        <v>10</v>
      </c>
    </row>
    <row r="32" spans="1:8" x14ac:dyDescent="0.3">
      <c r="A32" s="67">
        <v>114</v>
      </c>
      <c r="B32" s="57">
        <v>474</v>
      </c>
      <c r="C32" s="57">
        <v>0</v>
      </c>
      <c r="D32" s="57">
        <v>0</v>
      </c>
      <c r="E32" s="57">
        <v>0</v>
      </c>
      <c r="F32" s="57">
        <v>0</v>
      </c>
      <c r="G32" s="57">
        <v>0</v>
      </c>
      <c r="H32" s="57" t="s">
        <v>10</v>
      </c>
    </row>
    <row r="33" spans="1:8" x14ac:dyDescent="0.3">
      <c r="A33" s="68">
        <v>118.5</v>
      </c>
      <c r="B33" s="69">
        <v>-31.5</v>
      </c>
      <c r="C33" s="69">
        <v>0</v>
      </c>
      <c r="D33" s="69">
        <v>0</v>
      </c>
      <c r="E33" s="69">
        <v>0</v>
      </c>
      <c r="F33" s="69">
        <v>0</v>
      </c>
      <c r="G33" s="69">
        <v>0</v>
      </c>
      <c r="H33" s="69" t="s">
        <v>10</v>
      </c>
    </row>
    <row r="34" spans="1:8" x14ac:dyDescent="0.3">
      <c r="A34" s="68">
        <v>130</v>
      </c>
      <c r="B34" s="69">
        <v>-120</v>
      </c>
      <c r="C34" s="69">
        <v>0</v>
      </c>
      <c r="D34" s="69">
        <v>0</v>
      </c>
      <c r="E34" s="69">
        <v>0</v>
      </c>
      <c r="F34" s="69">
        <v>0</v>
      </c>
      <c r="G34" s="69">
        <v>0</v>
      </c>
      <c r="H34" s="69" t="s">
        <v>10</v>
      </c>
    </row>
    <row r="35" spans="1:8" x14ac:dyDescent="0.3">
      <c r="A35" s="67">
        <v>140</v>
      </c>
      <c r="B35" s="57">
        <v>-120</v>
      </c>
      <c r="C35" s="57">
        <v>0</v>
      </c>
      <c r="D35" s="57">
        <v>0</v>
      </c>
      <c r="E35" s="57">
        <v>0</v>
      </c>
      <c r="F35" s="57">
        <v>0</v>
      </c>
      <c r="G35" s="57">
        <v>0</v>
      </c>
      <c r="H35" s="57" t="s">
        <v>10</v>
      </c>
    </row>
    <row r="36" spans="1:8" x14ac:dyDescent="0.3">
      <c r="A36" s="67">
        <v>146.4</v>
      </c>
      <c r="B36" s="57">
        <v>-33.6</v>
      </c>
      <c r="C36" s="57">
        <v>0</v>
      </c>
      <c r="D36" s="57">
        <v>0</v>
      </c>
      <c r="E36" s="57">
        <v>0</v>
      </c>
      <c r="F36" s="57">
        <v>0</v>
      </c>
      <c r="G36" s="57">
        <v>0</v>
      </c>
      <c r="H36" s="57" t="s">
        <v>10</v>
      </c>
    </row>
    <row r="37" spans="1:8" x14ac:dyDescent="0.3">
      <c r="A37" s="68">
        <v>150</v>
      </c>
      <c r="B37" s="69">
        <v>-450</v>
      </c>
      <c r="C37" s="69">
        <v>0</v>
      </c>
      <c r="D37" s="69">
        <v>0</v>
      </c>
      <c r="E37" s="69">
        <v>0</v>
      </c>
      <c r="F37" s="69">
        <v>0</v>
      </c>
      <c r="G37" s="69">
        <v>0</v>
      </c>
      <c r="H37" s="69" t="s">
        <v>10</v>
      </c>
    </row>
    <row r="38" spans="1:8" x14ac:dyDescent="0.3">
      <c r="A38" s="67">
        <v>156</v>
      </c>
      <c r="B38" s="57">
        <v>-54</v>
      </c>
      <c r="C38" s="57">
        <v>0</v>
      </c>
      <c r="D38" s="57">
        <v>0</v>
      </c>
      <c r="E38" s="57">
        <v>0</v>
      </c>
      <c r="F38" s="57">
        <v>0</v>
      </c>
      <c r="G38" s="57">
        <v>0</v>
      </c>
      <c r="H38" s="57" t="s">
        <v>10</v>
      </c>
    </row>
    <row r="39" spans="1:8" x14ac:dyDescent="0.3">
      <c r="A39" s="68">
        <v>162</v>
      </c>
      <c r="B39" s="69">
        <v>-2430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 t="s">
        <v>97</v>
      </c>
    </row>
    <row r="40" spans="1:8" x14ac:dyDescent="0.3">
      <c r="A40" s="68">
        <v>165</v>
      </c>
      <c r="B40" s="69">
        <v>-33</v>
      </c>
      <c r="C40" s="69">
        <v>0</v>
      </c>
      <c r="D40" s="69">
        <v>0</v>
      </c>
      <c r="E40" s="69">
        <v>0</v>
      </c>
      <c r="F40" s="69">
        <v>0</v>
      </c>
      <c r="G40" s="69">
        <v>0</v>
      </c>
      <c r="H40" s="69" t="s">
        <v>10</v>
      </c>
    </row>
    <row r="41" spans="1:8" x14ac:dyDescent="0.3">
      <c r="A41" s="68">
        <v>175</v>
      </c>
      <c r="B41" s="69">
        <v>2675</v>
      </c>
      <c r="C41" s="69">
        <v>25</v>
      </c>
      <c r="D41" s="69">
        <v>0</v>
      </c>
      <c r="E41" s="69">
        <v>0</v>
      </c>
      <c r="F41" s="69">
        <v>0</v>
      </c>
      <c r="G41" s="69">
        <v>0</v>
      </c>
      <c r="H41" s="69" t="s">
        <v>97</v>
      </c>
    </row>
    <row r="42" spans="1:8" x14ac:dyDescent="0.3">
      <c r="A42" s="67">
        <v>197.5</v>
      </c>
      <c r="B42" s="57">
        <v>-52.5</v>
      </c>
      <c r="C42" s="57">
        <v>0</v>
      </c>
      <c r="D42" s="57">
        <v>0</v>
      </c>
      <c r="E42" s="57">
        <v>0</v>
      </c>
      <c r="F42" s="57">
        <v>0</v>
      </c>
      <c r="G42" s="57">
        <v>0</v>
      </c>
      <c r="H42" s="57" t="s">
        <v>10</v>
      </c>
    </row>
    <row r="43" spans="1:8" x14ac:dyDescent="0.3">
      <c r="A43" s="67">
        <v>199</v>
      </c>
      <c r="B43" s="57">
        <v>-141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 t="s">
        <v>10</v>
      </c>
    </row>
    <row r="44" spans="1:8" x14ac:dyDescent="0.3">
      <c r="A44" s="67">
        <v>215</v>
      </c>
      <c r="B44" s="57">
        <v>-60</v>
      </c>
      <c r="C44" s="57">
        <v>0</v>
      </c>
      <c r="D44" s="57">
        <v>0</v>
      </c>
      <c r="E44" s="57">
        <v>0</v>
      </c>
      <c r="F44" s="57">
        <v>0</v>
      </c>
      <c r="G44" s="57">
        <v>0</v>
      </c>
      <c r="H44" s="57" t="s">
        <v>10</v>
      </c>
    </row>
    <row r="45" spans="1:8" x14ac:dyDescent="0.3">
      <c r="A45" s="68">
        <v>219.6</v>
      </c>
      <c r="B45" s="69">
        <v>-150.4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 t="s">
        <v>10</v>
      </c>
    </row>
    <row r="46" spans="1:8" x14ac:dyDescent="0.3">
      <c r="A46" s="67">
        <v>230</v>
      </c>
      <c r="B46" s="57">
        <v>-60</v>
      </c>
      <c r="C46" s="57">
        <v>0</v>
      </c>
      <c r="D46" s="57">
        <v>0</v>
      </c>
      <c r="E46" s="57">
        <v>0</v>
      </c>
      <c r="F46" s="57">
        <v>0</v>
      </c>
      <c r="G46" s="57">
        <v>0</v>
      </c>
      <c r="H46" s="57" t="s">
        <v>10</v>
      </c>
    </row>
    <row r="47" spans="1:8" x14ac:dyDescent="0.3">
      <c r="A47" s="68">
        <v>237.5</v>
      </c>
      <c r="B47" s="69">
        <v>-112.5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 t="s">
        <v>10</v>
      </c>
    </row>
    <row r="48" spans="1:8" x14ac:dyDescent="0.3">
      <c r="A48" s="67">
        <v>240</v>
      </c>
      <c r="B48" s="57">
        <v>-720</v>
      </c>
      <c r="C48" s="57">
        <v>0</v>
      </c>
      <c r="D48" s="57">
        <v>0</v>
      </c>
      <c r="E48" s="57">
        <v>0</v>
      </c>
      <c r="F48" s="57">
        <v>0</v>
      </c>
      <c r="G48" s="57">
        <v>0</v>
      </c>
      <c r="H48" s="57" t="s">
        <v>10</v>
      </c>
    </row>
    <row r="49" spans="1:8" x14ac:dyDescent="0.3">
      <c r="A49" s="67">
        <v>253</v>
      </c>
      <c r="B49" s="57">
        <v>-72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 t="s">
        <v>10</v>
      </c>
    </row>
    <row r="50" spans="1:8" x14ac:dyDescent="0.3">
      <c r="A50" s="68">
        <v>259</v>
      </c>
      <c r="B50" s="69">
        <v>1411</v>
      </c>
      <c r="C50" s="69">
        <v>925</v>
      </c>
      <c r="D50" s="69">
        <v>0</v>
      </c>
      <c r="E50" s="69">
        <v>0</v>
      </c>
      <c r="F50" s="69">
        <v>0</v>
      </c>
      <c r="G50" s="69">
        <v>0</v>
      </c>
      <c r="H50" s="69" t="s">
        <v>97</v>
      </c>
    </row>
    <row r="51" spans="1:8" x14ac:dyDescent="0.3">
      <c r="A51" s="68">
        <v>297</v>
      </c>
      <c r="B51" s="69">
        <v>-128</v>
      </c>
      <c r="C51" s="69">
        <v>0</v>
      </c>
      <c r="D51" s="69">
        <v>0</v>
      </c>
      <c r="E51" s="69">
        <v>0</v>
      </c>
      <c r="F51" s="69">
        <v>0</v>
      </c>
      <c r="G51" s="69">
        <v>0</v>
      </c>
      <c r="H51" s="69" t="s">
        <v>10</v>
      </c>
    </row>
    <row r="52" spans="1:8" x14ac:dyDescent="0.3">
      <c r="A52" s="67">
        <v>324</v>
      </c>
      <c r="B52" s="57">
        <v>-176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 t="s">
        <v>10</v>
      </c>
    </row>
    <row r="53" spans="1:8" x14ac:dyDescent="0.3">
      <c r="A53" s="68">
        <v>340</v>
      </c>
      <c r="B53" s="69">
        <v>-560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 t="s">
        <v>10</v>
      </c>
    </row>
    <row r="54" spans="1:8" x14ac:dyDescent="0.3">
      <c r="A54" s="68">
        <v>340</v>
      </c>
      <c r="B54" s="69">
        <v>-560</v>
      </c>
      <c r="C54" s="69">
        <v>0</v>
      </c>
      <c r="D54" s="69">
        <v>0</v>
      </c>
      <c r="E54" s="69">
        <v>0</v>
      </c>
      <c r="F54" s="69">
        <v>0</v>
      </c>
      <c r="G54" s="69">
        <v>0</v>
      </c>
      <c r="H54" s="69" t="s">
        <v>10</v>
      </c>
    </row>
    <row r="55" spans="1:8" x14ac:dyDescent="0.3">
      <c r="A55" s="68">
        <v>416.8</v>
      </c>
      <c r="B55" s="69">
        <v>11296.8</v>
      </c>
      <c r="C55" s="69">
        <v>7502.4000000000005</v>
      </c>
      <c r="D55" s="69">
        <v>416.8</v>
      </c>
      <c r="E55" s="69">
        <v>0</v>
      </c>
      <c r="F55" s="69">
        <v>0</v>
      </c>
      <c r="G55" s="69">
        <v>0</v>
      </c>
      <c r="H55" s="69" t="s">
        <v>10</v>
      </c>
    </row>
    <row r="56" spans="1:8" x14ac:dyDescent="0.3">
      <c r="A56" s="68">
        <v>430</v>
      </c>
      <c r="B56" s="69">
        <v>630</v>
      </c>
      <c r="C56" s="69">
        <v>258</v>
      </c>
      <c r="D56" s="69">
        <v>688</v>
      </c>
      <c r="E56" s="69">
        <v>0</v>
      </c>
      <c r="F56" s="69">
        <v>0</v>
      </c>
      <c r="G56" s="69">
        <v>0</v>
      </c>
      <c r="H56" s="69" t="s">
        <v>144</v>
      </c>
    </row>
    <row r="57" spans="1:8" x14ac:dyDescent="0.3">
      <c r="A57" s="68">
        <v>432</v>
      </c>
      <c r="B57" s="69">
        <v>432</v>
      </c>
      <c r="C57" s="69">
        <v>518.40000000000009</v>
      </c>
      <c r="D57" s="69">
        <v>561.6</v>
      </c>
      <c r="E57" s="69">
        <v>1555.2</v>
      </c>
      <c r="F57" s="69">
        <v>1468.8000000000002</v>
      </c>
      <c r="G57" s="69">
        <v>0</v>
      </c>
      <c r="H57" s="69" t="s">
        <v>10</v>
      </c>
    </row>
    <row r="58" spans="1:8" x14ac:dyDescent="0.3">
      <c r="A58" s="67">
        <v>458</v>
      </c>
      <c r="B58" s="57">
        <v>-282</v>
      </c>
      <c r="C58" s="57">
        <v>0</v>
      </c>
      <c r="D58" s="57">
        <v>0</v>
      </c>
      <c r="E58" s="57">
        <v>0</v>
      </c>
      <c r="F58" s="57">
        <v>0</v>
      </c>
      <c r="G58" s="57">
        <v>0</v>
      </c>
      <c r="H58" s="57" t="s">
        <v>10</v>
      </c>
    </row>
    <row r="59" spans="1:8" x14ac:dyDescent="0.3">
      <c r="A59" s="67">
        <v>468</v>
      </c>
      <c r="B59" s="57">
        <v>-507</v>
      </c>
      <c r="C59" s="57">
        <v>0</v>
      </c>
      <c r="D59" s="57">
        <v>0</v>
      </c>
      <c r="E59" s="57">
        <v>0</v>
      </c>
      <c r="F59" s="57">
        <v>0</v>
      </c>
      <c r="G59" s="57">
        <v>0</v>
      </c>
      <c r="H59" s="57" t="s">
        <v>97</v>
      </c>
    </row>
    <row r="60" spans="1:8" x14ac:dyDescent="0.3">
      <c r="A60" s="68">
        <v>610</v>
      </c>
      <c r="B60" s="69">
        <v>-330</v>
      </c>
      <c r="C60" s="69">
        <v>0</v>
      </c>
      <c r="D60" s="69">
        <v>0</v>
      </c>
      <c r="E60" s="69">
        <v>0</v>
      </c>
      <c r="F60" s="69">
        <v>0</v>
      </c>
      <c r="G60" s="69">
        <v>0</v>
      </c>
      <c r="H60" s="69" t="s">
        <v>10</v>
      </c>
    </row>
    <row r="61" spans="1:8" x14ac:dyDescent="0.3">
      <c r="A61" s="67">
        <v>648</v>
      </c>
      <c r="B61" s="57">
        <v>468</v>
      </c>
      <c r="C61" s="57">
        <v>81</v>
      </c>
      <c r="D61" s="57">
        <v>0</v>
      </c>
      <c r="E61" s="57">
        <v>0</v>
      </c>
      <c r="F61" s="57">
        <v>0</v>
      </c>
      <c r="G61" s="57">
        <v>0</v>
      </c>
      <c r="H61" s="57" t="s">
        <v>97</v>
      </c>
    </row>
    <row r="62" spans="1:8" x14ac:dyDescent="0.3">
      <c r="A62" s="68">
        <v>685</v>
      </c>
      <c r="B62" s="69">
        <v>-165</v>
      </c>
      <c r="C62" s="69">
        <v>0</v>
      </c>
      <c r="D62" s="69">
        <v>0</v>
      </c>
      <c r="E62" s="69">
        <v>0</v>
      </c>
      <c r="F62" s="69">
        <v>0</v>
      </c>
      <c r="G62" s="69">
        <v>0</v>
      </c>
      <c r="H62" s="69" t="s">
        <v>10</v>
      </c>
    </row>
    <row r="63" spans="1:8" x14ac:dyDescent="0.3">
      <c r="A63" s="68">
        <v>687</v>
      </c>
      <c r="B63" s="69">
        <v>-423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 t="s">
        <v>10</v>
      </c>
    </row>
    <row r="64" spans="1:8" x14ac:dyDescent="0.3">
      <c r="A64" s="67">
        <v>690</v>
      </c>
      <c r="B64" s="57">
        <v>-560</v>
      </c>
      <c r="C64" s="57">
        <v>0</v>
      </c>
      <c r="D64" s="57">
        <v>276</v>
      </c>
      <c r="E64" s="57">
        <v>7176</v>
      </c>
      <c r="F64" s="57">
        <v>0</v>
      </c>
      <c r="G64" s="57">
        <v>0</v>
      </c>
      <c r="H64" s="57" t="s">
        <v>10</v>
      </c>
    </row>
    <row r="65" spans="1:8" x14ac:dyDescent="0.3">
      <c r="A65" s="68">
        <v>774</v>
      </c>
      <c r="B65" s="69">
        <v>-810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69" t="s">
        <v>97</v>
      </c>
    </row>
    <row r="66" spans="1:8" x14ac:dyDescent="0.3">
      <c r="A66" s="68">
        <v>782</v>
      </c>
      <c r="B66" s="69">
        <v>342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69" t="s">
        <v>10</v>
      </c>
    </row>
    <row r="67" spans="1:8" x14ac:dyDescent="0.3">
      <c r="A67" s="68">
        <v>810</v>
      </c>
      <c r="B67" s="69">
        <v>-640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69" t="s">
        <v>10</v>
      </c>
    </row>
    <row r="68" spans="1:8" x14ac:dyDescent="0.3">
      <c r="A68" s="68">
        <v>810</v>
      </c>
      <c r="B68" s="69">
        <v>-640</v>
      </c>
      <c r="C68" s="69">
        <v>0</v>
      </c>
      <c r="D68" s="69">
        <v>0</v>
      </c>
      <c r="E68" s="69">
        <v>0</v>
      </c>
      <c r="F68" s="69">
        <v>0</v>
      </c>
      <c r="G68" s="69">
        <v>0</v>
      </c>
      <c r="H68" s="69" t="s">
        <v>10</v>
      </c>
    </row>
    <row r="69" spans="1:8" x14ac:dyDescent="0.3">
      <c r="A69" s="68">
        <v>825</v>
      </c>
      <c r="B69" s="69">
        <v>-225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 t="s">
        <v>10</v>
      </c>
    </row>
    <row r="70" spans="1:8" x14ac:dyDescent="0.3">
      <c r="A70" s="67">
        <v>828</v>
      </c>
      <c r="B70" s="57">
        <v>-252</v>
      </c>
      <c r="C70" s="57">
        <v>0</v>
      </c>
      <c r="D70" s="57">
        <v>0</v>
      </c>
      <c r="E70" s="57">
        <v>0</v>
      </c>
      <c r="F70" s="57">
        <v>0</v>
      </c>
      <c r="G70" s="57">
        <v>0</v>
      </c>
      <c r="H70" s="57" t="s">
        <v>10</v>
      </c>
    </row>
    <row r="71" spans="1:8" x14ac:dyDescent="0.3">
      <c r="A71" s="68">
        <v>840</v>
      </c>
      <c r="B71" s="69">
        <v>-195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 t="s">
        <v>10</v>
      </c>
    </row>
    <row r="72" spans="1:8" x14ac:dyDescent="0.3">
      <c r="A72" s="67">
        <v>894</v>
      </c>
      <c r="B72" s="57">
        <v>894</v>
      </c>
      <c r="C72" s="57">
        <v>417.20000000000005</v>
      </c>
      <c r="D72" s="57">
        <v>476.8</v>
      </c>
      <c r="E72" s="57">
        <v>1609.2</v>
      </c>
      <c r="F72" s="57">
        <v>715.2</v>
      </c>
      <c r="G72" s="57">
        <v>10549.2</v>
      </c>
      <c r="H72" s="57" t="s">
        <v>10</v>
      </c>
    </row>
    <row r="73" spans="1:8" x14ac:dyDescent="0.3">
      <c r="A73" s="67">
        <v>900</v>
      </c>
      <c r="B73" s="57">
        <v>1407</v>
      </c>
      <c r="C73" s="57">
        <v>950</v>
      </c>
      <c r="D73" s="57">
        <v>1725</v>
      </c>
      <c r="E73" s="57">
        <v>975</v>
      </c>
      <c r="F73" s="57">
        <v>1150</v>
      </c>
      <c r="G73" s="57">
        <v>200</v>
      </c>
      <c r="H73" s="57" t="s">
        <v>10</v>
      </c>
    </row>
    <row r="74" spans="1:8" x14ac:dyDescent="0.3">
      <c r="A74" s="67">
        <v>1004</v>
      </c>
      <c r="B74" s="57">
        <v>-195.99999999999997</v>
      </c>
      <c r="C74" s="57">
        <v>0</v>
      </c>
      <c r="D74" s="57">
        <v>0</v>
      </c>
      <c r="E74" s="57">
        <v>0</v>
      </c>
      <c r="F74" s="57">
        <v>0</v>
      </c>
      <c r="G74" s="57">
        <v>0</v>
      </c>
      <c r="H74" s="57" t="s">
        <v>144</v>
      </c>
    </row>
    <row r="75" spans="1:8" x14ac:dyDescent="0.3">
      <c r="A75" s="67">
        <v>1008</v>
      </c>
      <c r="B75" s="57">
        <v>1608</v>
      </c>
      <c r="C75" s="57">
        <v>288</v>
      </c>
      <c r="D75" s="57">
        <v>168</v>
      </c>
      <c r="E75" s="57">
        <v>1704</v>
      </c>
      <c r="F75" s="57">
        <v>696</v>
      </c>
      <c r="G75" s="57">
        <v>744</v>
      </c>
      <c r="H75" s="57" t="s">
        <v>10</v>
      </c>
    </row>
    <row r="76" spans="1:8" x14ac:dyDescent="0.3">
      <c r="A76" s="67">
        <v>1012</v>
      </c>
      <c r="B76" s="57">
        <v>1732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 t="s">
        <v>10</v>
      </c>
    </row>
    <row r="77" spans="1:8" x14ac:dyDescent="0.3">
      <c r="A77" s="67">
        <v>1058.2</v>
      </c>
      <c r="B77" s="57">
        <v>761.2</v>
      </c>
      <c r="C77" s="57">
        <v>0</v>
      </c>
      <c r="D77" s="57">
        <v>0</v>
      </c>
      <c r="E77" s="57">
        <v>0</v>
      </c>
      <c r="F77" s="57">
        <v>0</v>
      </c>
      <c r="G77" s="57">
        <v>0</v>
      </c>
      <c r="H77" s="57" t="s">
        <v>10</v>
      </c>
    </row>
    <row r="78" spans="1:8" x14ac:dyDescent="0.3">
      <c r="A78" s="68">
        <v>1123.4000000000001</v>
      </c>
      <c r="B78" s="69">
        <v>2203.4</v>
      </c>
      <c r="C78" s="69">
        <v>5014.2000000000007</v>
      </c>
      <c r="D78" s="69">
        <v>2000.2</v>
      </c>
      <c r="E78" s="69">
        <v>2164.6</v>
      </c>
      <c r="F78" s="69">
        <v>8603.6</v>
      </c>
      <c r="G78" s="69">
        <v>4274.3999999999996</v>
      </c>
      <c r="H78" s="69" t="s">
        <v>10</v>
      </c>
    </row>
    <row r="79" spans="1:8" x14ac:dyDescent="0.3">
      <c r="A79" s="67">
        <v>1150</v>
      </c>
      <c r="B79" s="57">
        <v>-300</v>
      </c>
      <c r="C79" s="57">
        <v>0</v>
      </c>
      <c r="D79" s="57">
        <v>0</v>
      </c>
      <c r="E79" s="57">
        <v>0</v>
      </c>
      <c r="F79" s="57">
        <v>0</v>
      </c>
      <c r="G79" s="57">
        <v>0</v>
      </c>
      <c r="H79" s="57" t="s">
        <v>10</v>
      </c>
    </row>
    <row r="80" spans="1:8" x14ac:dyDescent="0.3">
      <c r="A80" s="67">
        <v>1175</v>
      </c>
      <c r="B80" s="57">
        <v>-7825</v>
      </c>
      <c r="C80" s="57">
        <v>195</v>
      </c>
      <c r="D80" s="57">
        <v>0</v>
      </c>
      <c r="E80" s="57">
        <v>0</v>
      </c>
      <c r="F80" s="57">
        <v>0</v>
      </c>
      <c r="G80" s="57">
        <v>0</v>
      </c>
      <c r="H80" s="57" t="s">
        <v>97</v>
      </c>
    </row>
    <row r="81" spans="1:8" x14ac:dyDescent="0.3">
      <c r="A81" s="67">
        <v>1248</v>
      </c>
      <c r="B81" s="57">
        <v>-752</v>
      </c>
      <c r="C81" s="57">
        <v>0</v>
      </c>
      <c r="D81" s="57">
        <v>0</v>
      </c>
      <c r="E81" s="57">
        <v>0</v>
      </c>
      <c r="F81" s="57">
        <v>0</v>
      </c>
      <c r="G81" s="57">
        <v>0</v>
      </c>
      <c r="H81" s="57" t="s">
        <v>10</v>
      </c>
    </row>
    <row r="82" spans="1:8" x14ac:dyDescent="0.3">
      <c r="A82" s="68">
        <v>1265</v>
      </c>
      <c r="B82" s="69">
        <v>5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 t="s">
        <v>10</v>
      </c>
    </row>
    <row r="83" spans="1:8" x14ac:dyDescent="0.3">
      <c r="A83" s="67">
        <v>1365</v>
      </c>
      <c r="B83" s="57">
        <v>-585</v>
      </c>
      <c r="C83" s="57">
        <v>0</v>
      </c>
      <c r="D83" s="57">
        <v>0</v>
      </c>
      <c r="E83" s="57">
        <v>0</v>
      </c>
      <c r="F83" s="57">
        <v>0</v>
      </c>
      <c r="G83" s="57">
        <v>0</v>
      </c>
      <c r="H83" s="57" t="s">
        <v>10</v>
      </c>
    </row>
    <row r="84" spans="1:8" x14ac:dyDescent="0.3">
      <c r="A84" s="68">
        <v>1374</v>
      </c>
      <c r="B84" s="69">
        <v>-576</v>
      </c>
      <c r="C84" s="69">
        <v>0</v>
      </c>
      <c r="D84" s="69">
        <v>0</v>
      </c>
      <c r="E84" s="69">
        <v>0</v>
      </c>
      <c r="F84" s="69">
        <v>0</v>
      </c>
      <c r="G84" s="69">
        <v>0</v>
      </c>
      <c r="H84" s="69" t="s">
        <v>10</v>
      </c>
    </row>
    <row r="85" spans="1:8" x14ac:dyDescent="0.3">
      <c r="A85" s="67">
        <v>1394</v>
      </c>
      <c r="B85" s="57">
        <v>-174</v>
      </c>
      <c r="C85" s="57">
        <v>340</v>
      </c>
      <c r="D85" s="57">
        <v>0</v>
      </c>
      <c r="E85" s="57">
        <v>0</v>
      </c>
      <c r="F85" s="57">
        <v>0</v>
      </c>
      <c r="G85" s="57">
        <v>0</v>
      </c>
      <c r="H85" s="57" t="s">
        <v>97</v>
      </c>
    </row>
    <row r="86" spans="1:8" x14ac:dyDescent="0.3">
      <c r="A86" s="67">
        <v>1404</v>
      </c>
      <c r="B86" s="57">
        <v>1254</v>
      </c>
      <c r="C86" s="57">
        <v>0</v>
      </c>
      <c r="D86" s="57">
        <v>0</v>
      </c>
      <c r="E86" s="57">
        <v>0</v>
      </c>
      <c r="F86" s="57">
        <v>0</v>
      </c>
      <c r="G86" s="57">
        <v>0</v>
      </c>
      <c r="H86" s="57" t="s">
        <v>10</v>
      </c>
    </row>
    <row r="87" spans="1:8" x14ac:dyDescent="0.3">
      <c r="A87" s="67">
        <v>1460</v>
      </c>
      <c r="B87" s="57">
        <v>1110</v>
      </c>
      <c r="C87" s="57">
        <v>1642.5</v>
      </c>
      <c r="D87" s="57">
        <v>730</v>
      </c>
      <c r="E87" s="57">
        <v>547.5</v>
      </c>
      <c r="F87" s="57">
        <v>2007.5</v>
      </c>
      <c r="G87" s="57">
        <v>1679</v>
      </c>
      <c r="H87" s="57" t="s">
        <v>10</v>
      </c>
    </row>
    <row r="88" spans="1:8" x14ac:dyDescent="0.3">
      <c r="A88" s="68">
        <v>1469</v>
      </c>
      <c r="B88" s="69">
        <v>1034</v>
      </c>
      <c r="C88" s="69">
        <v>0</v>
      </c>
      <c r="D88" s="69">
        <v>0</v>
      </c>
      <c r="E88" s="69">
        <v>0</v>
      </c>
      <c r="F88" s="69">
        <v>0</v>
      </c>
      <c r="G88" s="69">
        <v>0</v>
      </c>
      <c r="H88" s="69" t="s">
        <v>10</v>
      </c>
    </row>
    <row r="89" spans="1:8" x14ac:dyDescent="0.3">
      <c r="A89" s="67">
        <v>1505</v>
      </c>
      <c r="B89" s="57">
        <v>1505</v>
      </c>
      <c r="C89" s="57">
        <v>215</v>
      </c>
      <c r="D89" s="57">
        <v>0</v>
      </c>
      <c r="E89" s="57">
        <v>0</v>
      </c>
      <c r="F89" s="57">
        <v>0</v>
      </c>
      <c r="G89" s="57">
        <v>0</v>
      </c>
      <c r="H89" s="57" t="s">
        <v>97</v>
      </c>
    </row>
    <row r="90" spans="1:8" x14ac:dyDescent="0.3">
      <c r="A90" s="68">
        <v>1530</v>
      </c>
      <c r="B90" s="69">
        <v>1530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 t="s">
        <v>10</v>
      </c>
    </row>
    <row r="91" spans="1:8" x14ac:dyDescent="0.3">
      <c r="A91" s="67">
        <v>1562.4</v>
      </c>
      <c r="B91" s="57">
        <v>652.40000000000009</v>
      </c>
      <c r="C91" s="57">
        <v>1159.2</v>
      </c>
      <c r="D91" s="57">
        <v>856.8</v>
      </c>
      <c r="E91" s="57">
        <v>25.200000000000003</v>
      </c>
      <c r="F91" s="57">
        <v>25.200000000000003</v>
      </c>
      <c r="G91" s="57">
        <v>100.80000000000001</v>
      </c>
      <c r="H91" s="57" t="s">
        <v>10</v>
      </c>
    </row>
    <row r="92" spans="1:8" x14ac:dyDescent="0.3">
      <c r="A92" s="68">
        <v>1580.8000000000002</v>
      </c>
      <c r="B92" s="69">
        <v>752.80000000000007</v>
      </c>
      <c r="C92" s="69">
        <v>1185.5999999999999</v>
      </c>
      <c r="D92" s="69">
        <v>2420.6000000000004</v>
      </c>
      <c r="E92" s="69">
        <v>1976</v>
      </c>
      <c r="F92" s="69">
        <v>3408.6000000000004</v>
      </c>
      <c r="G92" s="69">
        <v>2914.6000000000004</v>
      </c>
      <c r="H92" s="69" t="s">
        <v>10</v>
      </c>
    </row>
    <row r="93" spans="1:8" x14ac:dyDescent="0.3">
      <c r="A93" s="67">
        <v>1584</v>
      </c>
      <c r="B93" s="57">
        <v>1179</v>
      </c>
      <c r="C93" s="57">
        <v>3960</v>
      </c>
      <c r="D93" s="57">
        <v>2257.2000000000003</v>
      </c>
      <c r="E93" s="57">
        <v>4158</v>
      </c>
      <c r="F93" s="57">
        <v>2296.8000000000002</v>
      </c>
      <c r="G93" s="57">
        <v>8078.4</v>
      </c>
      <c r="H93" s="57" t="s">
        <v>10</v>
      </c>
    </row>
    <row r="94" spans="1:8" x14ac:dyDescent="0.3">
      <c r="A94" s="68">
        <v>1690</v>
      </c>
      <c r="B94" s="69">
        <v>-560</v>
      </c>
      <c r="C94" s="69">
        <v>0</v>
      </c>
      <c r="D94" s="69">
        <v>0</v>
      </c>
      <c r="E94" s="69">
        <v>0</v>
      </c>
      <c r="F94" s="69">
        <v>0</v>
      </c>
      <c r="G94" s="69">
        <v>0</v>
      </c>
      <c r="H94" s="69" t="s">
        <v>10</v>
      </c>
    </row>
    <row r="95" spans="1:8" x14ac:dyDescent="0.3">
      <c r="A95" s="67">
        <v>1883</v>
      </c>
      <c r="B95" s="57">
        <v>-392.00000000000006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 t="s">
        <v>10</v>
      </c>
    </row>
    <row r="96" spans="1:8" x14ac:dyDescent="0.3">
      <c r="A96" s="68">
        <v>1885</v>
      </c>
      <c r="B96" s="69">
        <v>400</v>
      </c>
      <c r="C96" s="69">
        <v>2755</v>
      </c>
      <c r="D96" s="69">
        <v>2581</v>
      </c>
      <c r="E96" s="69">
        <v>1914</v>
      </c>
      <c r="F96" s="69">
        <v>870</v>
      </c>
      <c r="G96" s="69">
        <v>0</v>
      </c>
      <c r="H96" s="69" t="s">
        <v>144</v>
      </c>
    </row>
    <row r="97" spans="1:8" x14ac:dyDescent="0.3">
      <c r="A97" s="67">
        <v>1904</v>
      </c>
      <c r="B97" s="57">
        <v>944</v>
      </c>
      <c r="C97" s="57">
        <v>0</v>
      </c>
      <c r="D97" s="57">
        <v>0</v>
      </c>
      <c r="E97" s="57">
        <v>0</v>
      </c>
      <c r="F97" s="57">
        <v>0</v>
      </c>
      <c r="G97" s="57">
        <v>0</v>
      </c>
      <c r="H97" s="57" t="s">
        <v>10</v>
      </c>
    </row>
    <row r="98" spans="1:8" x14ac:dyDescent="0.3">
      <c r="A98" s="67">
        <v>2025</v>
      </c>
      <c r="B98" s="57">
        <v>-2175</v>
      </c>
      <c r="C98" s="57">
        <v>105</v>
      </c>
      <c r="D98" s="57">
        <v>0</v>
      </c>
      <c r="E98" s="57">
        <v>0</v>
      </c>
      <c r="F98" s="57">
        <v>0</v>
      </c>
      <c r="G98" s="57">
        <v>0</v>
      </c>
      <c r="H98" s="57" t="s">
        <v>97</v>
      </c>
    </row>
    <row r="99" spans="1:8" x14ac:dyDescent="0.3">
      <c r="A99" s="67">
        <v>2070</v>
      </c>
      <c r="B99" s="57">
        <v>320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 t="s">
        <v>10</v>
      </c>
    </row>
    <row r="100" spans="1:8" x14ac:dyDescent="0.3">
      <c r="A100" s="68">
        <v>2072</v>
      </c>
      <c r="B100" s="69">
        <v>-178</v>
      </c>
      <c r="C100" s="69">
        <v>888</v>
      </c>
      <c r="D100" s="69">
        <v>296</v>
      </c>
      <c r="E100" s="69">
        <v>2368</v>
      </c>
      <c r="F100" s="69">
        <v>0</v>
      </c>
      <c r="G100" s="69">
        <v>0</v>
      </c>
      <c r="H100" s="69" t="s">
        <v>10</v>
      </c>
    </row>
    <row r="101" spans="1:8" x14ac:dyDescent="0.3">
      <c r="A101" s="67">
        <v>2290</v>
      </c>
      <c r="B101" s="57">
        <v>-960</v>
      </c>
      <c r="C101" s="57">
        <v>0</v>
      </c>
      <c r="D101" s="57">
        <v>0</v>
      </c>
      <c r="E101" s="57">
        <v>0</v>
      </c>
      <c r="F101" s="57">
        <v>0</v>
      </c>
      <c r="G101" s="57">
        <v>0</v>
      </c>
      <c r="H101" s="57" t="s">
        <v>10</v>
      </c>
    </row>
    <row r="102" spans="1:8" x14ac:dyDescent="0.3">
      <c r="A102" s="67">
        <v>2312</v>
      </c>
      <c r="B102" s="57">
        <v>1675</v>
      </c>
      <c r="C102" s="57">
        <v>680</v>
      </c>
      <c r="D102" s="57">
        <v>850</v>
      </c>
      <c r="E102" s="57">
        <v>1020</v>
      </c>
      <c r="F102" s="57">
        <v>1496</v>
      </c>
      <c r="G102" s="57">
        <v>340</v>
      </c>
      <c r="H102" s="57" t="s">
        <v>10</v>
      </c>
    </row>
    <row r="103" spans="1:8" x14ac:dyDescent="0.3">
      <c r="A103" s="68">
        <v>2320</v>
      </c>
      <c r="B103" s="69">
        <v>3320</v>
      </c>
      <c r="C103" s="69">
        <v>6960</v>
      </c>
      <c r="D103" s="69">
        <v>5220</v>
      </c>
      <c r="E103" s="69">
        <v>6380</v>
      </c>
      <c r="F103" s="69">
        <v>15080</v>
      </c>
      <c r="G103" s="69">
        <v>0</v>
      </c>
      <c r="H103" s="69" t="s">
        <v>144</v>
      </c>
    </row>
    <row r="104" spans="1:8" x14ac:dyDescent="0.3">
      <c r="A104" s="68">
        <v>2320</v>
      </c>
      <c r="B104" s="69">
        <v>1688</v>
      </c>
      <c r="C104" s="69">
        <v>2610</v>
      </c>
      <c r="D104" s="69">
        <v>754</v>
      </c>
      <c r="E104" s="69">
        <v>1450</v>
      </c>
      <c r="F104" s="69">
        <v>3828</v>
      </c>
      <c r="G104" s="69">
        <v>2610</v>
      </c>
      <c r="H104" s="69" t="s">
        <v>10</v>
      </c>
    </row>
    <row r="105" spans="1:8" x14ac:dyDescent="0.3">
      <c r="A105" s="68">
        <v>2352</v>
      </c>
      <c r="B105" s="69">
        <v>2352</v>
      </c>
      <c r="C105" s="69">
        <v>1764</v>
      </c>
      <c r="D105" s="69">
        <v>1960</v>
      </c>
      <c r="E105" s="69">
        <v>2548</v>
      </c>
      <c r="F105" s="69">
        <v>2548</v>
      </c>
      <c r="G105" s="69">
        <v>2940</v>
      </c>
      <c r="H105" s="69" t="s">
        <v>144</v>
      </c>
    </row>
    <row r="106" spans="1:8" x14ac:dyDescent="0.3">
      <c r="A106" s="68">
        <v>2370</v>
      </c>
      <c r="B106" s="69">
        <v>120</v>
      </c>
      <c r="C106" s="69">
        <v>0</v>
      </c>
      <c r="D106" s="69">
        <v>0</v>
      </c>
      <c r="E106" s="69">
        <v>0</v>
      </c>
      <c r="F106" s="69">
        <v>0</v>
      </c>
      <c r="G106" s="69">
        <v>0</v>
      </c>
      <c r="H106" s="69" t="s">
        <v>97</v>
      </c>
    </row>
    <row r="107" spans="1:8" x14ac:dyDescent="0.3">
      <c r="A107" s="68">
        <v>2430</v>
      </c>
      <c r="B107" s="69">
        <v>-375</v>
      </c>
      <c r="C107" s="69">
        <v>405</v>
      </c>
      <c r="D107" s="69">
        <v>0</v>
      </c>
      <c r="E107" s="69">
        <v>0</v>
      </c>
      <c r="F107" s="69">
        <v>0</v>
      </c>
      <c r="G107" s="69">
        <v>0</v>
      </c>
      <c r="H107" s="69" t="s">
        <v>97</v>
      </c>
    </row>
    <row r="108" spans="1:8" x14ac:dyDescent="0.3">
      <c r="A108" s="67">
        <v>2460</v>
      </c>
      <c r="B108" s="57">
        <v>-1040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 t="s">
        <v>10</v>
      </c>
    </row>
    <row r="109" spans="1:8" x14ac:dyDescent="0.3">
      <c r="A109" s="68">
        <v>2490</v>
      </c>
      <c r="B109" s="69">
        <v>2990</v>
      </c>
      <c r="C109" s="69">
        <v>2490</v>
      </c>
      <c r="D109" s="69">
        <v>3320</v>
      </c>
      <c r="E109" s="69">
        <v>5810</v>
      </c>
      <c r="F109" s="69">
        <v>3984</v>
      </c>
      <c r="G109" s="69">
        <v>2490</v>
      </c>
      <c r="H109" s="69" t="s">
        <v>144</v>
      </c>
    </row>
    <row r="110" spans="1:8" x14ac:dyDescent="0.3">
      <c r="A110" s="67">
        <v>2490</v>
      </c>
      <c r="B110" s="57">
        <v>1240</v>
      </c>
      <c r="C110" s="57">
        <v>1328</v>
      </c>
      <c r="D110" s="57">
        <v>1660</v>
      </c>
      <c r="E110" s="57">
        <v>4150</v>
      </c>
      <c r="F110" s="57">
        <v>1660</v>
      </c>
      <c r="G110" s="57">
        <v>498</v>
      </c>
      <c r="H110" s="57" t="s">
        <v>144</v>
      </c>
    </row>
    <row r="111" spans="1:8" x14ac:dyDescent="0.3">
      <c r="A111" s="67">
        <v>2556</v>
      </c>
      <c r="B111" s="57">
        <v>3076</v>
      </c>
      <c r="C111" s="57">
        <v>13419</v>
      </c>
      <c r="D111" s="57">
        <v>2385.6000000000004</v>
      </c>
      <c r="E111" s="57">
        <v>5623.2000000000007</v>
      </c>
      <c r="F111" s="57">
        <v>6816</v>
      </c>
      <c r="G111" s="57">
        <v>7156.8</v>
      </c>
      <c r="H111" s="57" t="s">
        <v>10</v>
      </c>
    </row>
    <row r="112" spans="1:8" x14ac:dyDescent="0.3">
      <c r="A112" s="68">
        <v>2562</v>
      </c>
      <c r="B112" s="69">
        <v>4578</v>
      </c>
      <c r="C112" s="69">
        <v>1218</v>
      </c>
      <c r="D112" s="69">
        <v>3822</v>
      </c>
      <c r="E112" s="69">
        <v>2604</v>
      </c>
      <c r="F112" s="69">
        <v>17598</v>
      </c>
      <c r="G112" s="69">
        <v>1554</v>
      </c>
      <c r="H112" s="69" t="s">
        <v>10</v>
      </c>
    </row>
    <row r="113" spans="1:8" x14ac:dyDescent="0.3">
      <c r="A113" s="68">
        <v>2565</v>
      </c>
      <c r="B113" s="69">
        <v>-995</v>
      </c>
      <c r="C113" s="69">
        <v>0</v>
      </c>
      <c r="D113" s="69">
        <v>0</v>
      </c>
      <c r="E113" s="69">
        <v>0</v>
      </c>
      <c r="F113" s="69">
        <v>0</v>
      </c>
      <c r="G113" s="69">
        <v>0</v>
      </c>
      <c r="H113" s="69" t="s">
        <v>10</v>
      </c>
    </row>
    <row r="114" spans="1:8" x14ac:dyDescent="0.3">
      <c r="A114" s="68">
        <v>2682</v>
      </c>
      <c r="B114" s="69">
        <v>-467.99999999999989</v>
      </c>
      <c r="C114" s="69">
        <v>596</v>
      </c>
      <c r="D114" s="69">
        <v>1251.5999999999999</v>
      </c>
      <c r="E114" s="69">
        <v>59.6</v>
      </c>
      <c r="F114" s="69">
        <v>2384</v>
      </c>
      <c r="G114" s="69">
        <v>2443.6</v>
      </c>
      <c r="H114" s="69" t="s">
        <v>10</v>
      </c>
    </row>
    <row r="115" spans="1:8" x14ac:dyDescent="0.3">
      <c r="A115" s="68">
        <v>2709</v>
      </c>
      <c r="B115" s="69">
        <v>-616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 t="s">
        <v>10</v>
      </c>
    </row>
    <row r="116" spans="1:8" x14ac:dyDescent="0.3">
      <c r="A116" s="68">
        <v>2940</v>
      </c>
      <c r="B116" s="69">
        <v>1610</v>
      </c>
      <c r="C116" s="69">
        <v>350</v>
      </c>
      <c r="D116" s="69">
        <v>0</v>
      </c>
      <c r="E116" s="69">
        <v>0</v>
      </c>
      <c r="F116" s="69">
        <v>0</v>
      </c>
      <c r="G116" s="69">
        <v>0</v>
      </c>
      <c r="H116" s="69" t="s">
        <v>97</v>
      </c>
    </row>
    <row r="117" spans="1:8" x14ac:dyDescent="0.3">
      <c r="A117" s="67">
        <v>3010</v>
      </c>
      <c r="B117" s="57">
        <v>-1589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 t="s">
        <v>97</v>
      </c>
    </row>
    <row r="118" spans="1:8" x14ac:dyDescent="0.3">
      <c r="A118" s="68">
        <v>3124.8</v>
      </c>
      <c r="B118" s="69">
        <v>-1075.1999999999998</v>
      </c>
      <c r="C118" s="69">
        <v>3200.4</v>
      </c>
      <c r="D118" s="69">
        <v>882</v>
      </c>
      <c r="E118" s="69">
        <v>957.6</v>
      </c>
      <c r="F118" s="69">
        <v>302.39999999999998</v>
      </c>
      <c r="G118" s="69">
        <v>0</v>
      </c>
      <c r="H118" s="69" t="s">
        <v>10</v>
      </c>
    </row>
    <row r="119" spans="1:8" x14ac:dyDescent="0.3">
      <c r="A119" s="67">
        <v>3478</v>
      </c>
      <c r="B119" s="57">
        <v>6030</v>
      </c>
      <c r="C119" s="57">
        <v>4588</v>
      </c>
      <c r="D119" s="57">
        <v>2664</v>
      </c>
      <c r="E119" s="57">
        <v>370</v>
      </c>
      <c r="F119" s="57">
        <v>0</v>
      </c>
      <c r="G119" s="57">
        <v>0</v>
      </c>
      <c r="H119" s="57" t="s">
        <v>10</v>
      </c>
    </row>
    <row r="120" spans="1:8" x14ac:dyDescent="0.3">
      <c r="A120" s="68">
        <v>3488</v>
      </c>
      <c r="B120" s="69">
        <v>2949</v>
      </c>
      <c r="C120" s="69">
        <v>1024</v>
      </c>
      <c r="D120" s="69">
        <v>0</v>
      </c>
      <c r="E120" s="69">
        <v>0</v>
      </c>
      <c r="F120" s="69">
        <v>0</v>
      </c>
      <c r="G120" s="69">
        <v>0</v>
      </c>
      <c r="H120" s="69" t="s">
        <v>97</v>
      </c>
    </row>
    <row r="121" spans="1:8" x14ac:dyDescent="0.3">
      <c r="A121" s="68">
        <v>3525</v>
      </c>
      <c r="B121" s="69">
        <v>1275</v>
      </c>
      <c r="C121" s="69">
        <v>345</v>
      </c>
      <c r="D121" s="69">
        <v>0</v>
      </c>
      <c r="E121" s="69">
        <v>0</v>
      </c>
      <c r="F121" s="69">
        <v>0</v>
      </c>
      <c r="G121" s="69">
        <v>0</v>
      </c>
      <c r="H121" s="69" t="s">
        <v>97</v>
      </c>
    </row>
    <row r="122" spans="1:8" x14ac:dyDescent="0.3">
      <c r="A122" s="68">
        <v>3588</v>
      </c>
      <c r="B122" s="69">
        <v>338</v>
      </c>
      <c r="C122" s="69">
        <v>0</v>
      </c>
      <c r="D122" s="69">
        <v>0</v>
      </c>
      <c r="E122" s="69">
        <v>0</v>
      </c>
      <c r="F122" s="69">
        <v>0</v>
      </c>
      <c r="G122" s="69">
        <v>0</v>
      </c>
      <c r="H122" s="69" t="s">
        <v>10</v>
      </c>
    </row>
    <row r="123" spans="1:8" x14ac:dyDescent="0.3">
      <c r="A123" s="67">
        <v>3633</v>
      </c>
      <c r="B123" s="57">
        <v>-57</v>
      </c>
      <c r="C123" s="57">
        <v>1575</v>
      </c>
      <c r="D123" s="57">
        <v>0</v>
      </c>
      <c r="E123" s="57">
        <v>0</v>
      </c>
      <c r="F123" s="57">
        <v>0</v>
      </c>
      <c r="G123" s="57">
        <v>0</v>
      </c>
      <c r="H123" s="57" t="s">
        <v>97</v>
      </c>
    </row>
    <row r="124" spans="1:8" x14ac:dyDescent="0.3">
      <c r="A124" s="67">
        <v>3660</v>
      </c>
      <c r="B124" s="57">
        <v>2265</v>
      </c>
      <c r="C124" s="57">
        <v>90</v>
      </c>
      <c r="D124" s="57">
        <v>0</v>
      </c>
      <c r="E124" s="57">
        <v>0</v>
      </c>
      <c r="F124" s="57">
        <v>0</v>
      </c>
      <c r="G124" s="57">
        <v>0</v>
      </c>
      <c r="H124" s="57" t="s">
        <v>97</v>
      </c>
    </row>
    <row r="125" spans="1:8" x14ac:dyDescent="0.3">
      <c r="A125" s="68">
        <v>3672</v>
      </c>
      <c r="B125" s="69">
        <v>972</v>
      </c>
      <c r="C125" s="69">
        <v>1200</v>
      </c>
      <c r="D125" s="69">
        <v>0</v>
      </c>
      <c r="E125" s="69">
        <v>0</v>
      </c>
      <c r="F125" s="69">
        <v>0</v>
      </c>
      <c r="G125" s="69">
        <v>0</v>
      </c>
      <c r="H125" s="69" t="s">
        <v>97</v>
      </c>
    </row>
    <row r="126" spans="1:8" x14ac:dyDescent="0.3">
      <c r="A126" s="67">
        <v>3838</v>
      </c>
      <c r="B126" s="57">
        <v>10438</v>
      </c>
      <c r="C126" s="57">
        <v>8080</v>
      </c>
      <c r="D126" s="57">
        <v>4646</v>
      </c>
      <c r="E126" s="57">
        <v>14140</v>
      </c>
      <c r="F126" s="57">
        <v>4444</v>
      </c>
      <c r="G126" s="57">
        <v>5050</v>
      </c>
      <c r="H126" s="57" t="s">
        <v>144</v>
      </c>
    </row>
    <row r="127" spans="1:8" x14ac:dyDescent="0.3">
      <c r="A127" s="68">
        <v>3876</v>
      </c>
      <c r="B127" s="69">
        <v>1016</v>
      </c>
      <c r="C127" s="69">
        <v>3672</v>
      </c>
      <c r="D127" s="69">
        <v>8058</v>
      </c>
      <c r="E127" s="69">
        <v>2346</v>
      </c>
      <c r="F127" s="69">
        <v>7956</v>
      </c>
      <c r="G127" s="69">
        <v>12648</v>
      </c>
      <c r="H127" s="69" t="s">
        <v>10</v>
      </c>
    </row>
    <row r="128" spans="1:8" x14ac:dyDescent="0.3">
      <c r="A128" s="67">
        <v>4002.0000000000005</v>
      </c>
      <c r="B128" s="57">
        <v>3102.0000000000005</v>
      </c>
      <c r="C128" s="57">
        <v>2610</v>
      </c>
      <c r="D128" s="57">
        <v>1740.0000000000002</v>
      </c>
      <c r="E128" s="57">
        <v>2262</v>
      </c>
      <c r="F128" s="57">
        <v>3480.0000000000005</v>
      </c>
      <c r="G128" s="57">
        <v>2610</v>
      </c>
      <c r="H128" s="57" t="s">
        <v>144</v>
      </c>
    </row>
    <row r="129" spans="1:8" x14ac:dyDescent="0.3">
      <c r="A129" s="67">
        <v>4090</v>
      </c>
      <c r="B129" s="57">
        <v>-1800</v>
      </c>
      <c r="C129" s="57">
        <v>0</v>
      </c>
      <c r="D129" s="57">
        <v>0</v>
      </c>
      <c r="E129" s="57">
        <v>0</v>
      </c>
      <c r="F129" s="57">
        <v>0</v>
      </c>
      <c r="G129" s="57">
        <v>0</v>
      </c>
      <c r="H129" s="57" t="s">
        <v>10</v>
      </c>
    </row>
    <row r="130" spans="1:8" x14ac:dyDescent="0.3">
      <c r="A130" s="67">
        <v>4292</v>
      </c>
      <c r="B130" s="57">
        <v>10772</v>
      </c>
      <c r="C130" s="57">
        <v>11803</v>
      </c>
      <c r="D130" s="57">
        <v>9287</v>
      </c>
      <c r="E130" s="57">
        <v>7659</v>
      </c>
      <c r="F130" s="57">
        <v>6734</v>
      </c>
      <c r="G130" s="57">
        <v>1998</v>
      </c>
      <c r="H130" s="57" t="s">
        <v>10</v>
      </c>
    </row>
    <row r="131" spans="1:8" x14ac:dyDescent="0.3">
      <c r="A131" s="68">
        <v>4400</v>
      </c>
      <c r="B131" s="69">
        <v>2600</v>
      </c>
      <c r="C131" s="69">
        <v>0</v>
      </c>
      <c r="D131" s="69">
        <v>0</v>
      </c>
      <c r="E131" s="69">
        <v>0</v>
      </c>
      <c r="F131" s="69">
        <v>0</v>
      </c>
      <c r="G131" s="69">
        <v>0</v>
      </c>
      <c r="H131" s="69" t="s">
        <v>144</v>
      </c>
    </row>
    <row r="132" spans="1:8" x14ac:dyDescent="0.3">
      <c r="A132" s="68">
        <v>4437</v>
      </c>
      <c r="B132" s="69">
        <v>2985</v>
      </c>
      <c r="C132" s="69">
        <v>2550</v>
      </c>
      <c r="D132" s="69">
        <v>3417</v>
      </c>
      <c r="E132" s="69">
        <v>2550</v>
      </c>
      <c r="F132" s="69">
        <v>1785</v>
      </c>
      <c r="G132" s="69">
        <v>2805</v>
      </c>
      <c r="H132" s="69" t="s">
        <v>10</v>
      </c>
    </row>
    <row r="133" spans="1:8" x14ac:dyDescent="0.3">
      <c r="A133" s="67">
        <v>4617</v>
      </c>
      <c r="B133" s="57">
        <v>5242</v>
      </c>
      <c r="C133" s="57">
        <v>8208</v>
      </c>
      <c r="D133" s="57">
        <v>5130</v>
      </c>
      <c r="E133" s="57">
        <v>12312</v>
      </c>
      <c r="F133" s="57">
        <v>10567.8</v>
      </c>
      <c r="G133" s="57">
        <v>7079.4</v>
      </c>
      <c r="H133" s="57" t="s">
        <v>144</v>
      </c>
    </row>
    <row r="134" spans="1:8" x14ac:dyDescent="0.3">
      <c r="A134" s="67">
        <v>5175</v>
      </c>
      <c r="B134" s="57">
        <v>3725</v>
      </c>
      <c r="C134" s="57">
        <v>3450</v>
      </c>
      <c r="D134" s="57">
        <v>2300</v>
      </c>
      <c r="E134" s="57">
        <v>1725</v>
      </c>
      <c r="F134" s="57">
        <v>5750</v>
      </c>
      <c r="G134" s="57">
        <v>5175</v>
      </c>
      <c r="H134" s="57" t="s">
        <v>10</v>
      </c>
    </row>
    <row r="135" spans="1:8" x14ac:dyDescent="0.3">
      <c r="A135" s="67">
        <v>5187</v>
      </c>
      <c r="B135" s="57">
        <v>1587</v>
      </c>
      <c r="C135" s="57">
        <v>312</v>
      </c>
      <c r="D135" s="57">
        <v>0</v>
      </c>
      <c r="E135" s="57">
        <v>0</v>
      </c>
      <c r="F135" s="57">
        <v>0</v>
      </c>
      <c r="G135" s="57">
        <v>0</v>
      </c>
      <c r="H135" s="57" t="s">
        <v>97</v>
      </c>
    </row>
    <row r="136" spans="1:8" x14ac:dyDescent="0.3">
      <c r="A136" s="67">
        <v>5200</v>
      </c>
      <c r="B136" s="57">
        <v>-5425</v>
      </c>
      <c r="C136" s="57">
        <v>500</v>
      </c>
      <c r="D136" s="57">
        <v>0</v>
      </c>
      <c r="E136" s="57">
        <v>0</v>
      </c>
      <c r="F136" s="57">
        <v>0</v>
      </c>
      <c r="G136" s="57">
        <v>0</v>
      </c>
      <c r="H136" s="57" t="s">
        <v>97</v>
      </c>
    </row>
    <row r="137" spans="1:8" x14ac:dyDescent="0.3">
      <c r="A137" s="68">
        <v>5292</v>
      </c>
      <c r="B137" s="69">
        <v>2517</v>
      </c>
      <c r="C137" s="69">
        <v>612</v>
      </c>
      <c r="D137" s="69">
        <v>0</v>
      </c>
      <c r="E137" s="69">
        <v>0</v>
      </c>
      <c r="F137" s="69">
        <v>0</v>
      </c>
      <c r="G137" s="69">
        <v>0</v>
      </c>
      <c r="H137" s="69" t="s">
        <v>97</v>
      </c>
    </row>
    <row r="138" spans="1:8" x14ac:dyDescent="0.3">
      <c r="A138" s="67">
        <v>5400</v>
      </c>
      <c r="B138" s="57">
        <v>7215</v>
      </c>
      <c r="C138" s="57">
        <v>4050</v>
      </c>
      <c r="D138" s="57">
        <v>5400</v>
      </c>
      <c r="E138" s="57">
        <v>3996</v>
      </c>
      <c r="F138" s="57">
        <v>4050</v>
      </c>
      <c r="G138" s="57">
        <v>4590</v>
      </c>
      <c r="H138" s="57" t="s">
        <v>144</v>
      </c>
    </row>
    <row r="139" spans="1:8" x14ac:dyDescent="0.3">
      <c r="A139" s="68">
        <v>5400</v>
      </c>
      <c r="B139" s="69">
        <v>6900</v>
      </c>
      <c r="C139" s="69">
        <v>2160</v>
      </c>
      <c r="D139" s="69">
        <v>4320</v>
      </c>
      <c r="E139" s="69">
        <v>9288</v>
      </c>
      <c r="F139" s="69">
        <v>11880</v>
      </c>
      <c r="G139" s="69">
        <v>2160</v>
      </c>
      <c r="H139" s="69" t="s">
        <v>144</v>
      </c>
    </row>
    <row r="140" spans="1:8" x14ac:dyDescent="0.3">
      <c r="A140" s="68">
        <v>5441.8</v>
      </c>
      <c r="B140" s="69">
        <v>-606.19999999999982</v>
      </c>
      <c r="C140" s="69">
        <v>3203.2000000000003</v>
      </c>
      <c r="D140" s="69">
        <v>7280</v>
      </c>
      <c r="E140" s="69">
        <v>7771.4000000000005</v>
      </c>
      <c r="F140" s="69">
        <v>8353.7999999999993</v>
      </c>
      <c r="G140" s="69">
        <v>6715.8</v>
      </c>
      <c r="H140" s="69" t="s">
        <v>10</v>
      </c>
    </row>
    <row r="141" spans="1:8" x14ac:dyDescent="0.3">
      <c r="A141" s="68">
        <v>5460</v>
      </c>
      <c r="B141" s="69">
        <v>1485</v>
      </c>
      <c r="C141" s="69">
        <v>504</v>
      </c>
      <c r="D141" s="69">
        <v>0</v>
      </c>
      <c r="E141" s="69">
        <v>0</v>
      </c>
      <c r="F141" s="69">
        <v>0</v>
      </c>
      <c r="G141" s="69">
        <v>0</v>
      </c>
      <c r="H141" s="69" t="s">
        <v>97</v>
      </c>
    </row>
    <row r="142" spans="1:8" x14ac:dyDescent="0.3">
      <c r="A142" s="67">
        <v>5616</v>
      </c>
      <c r="B142" s="57">
        <v>-3564</v>
      </c>
      <c r="C142" s="57">
        <v>540</v>
      </c>
      <c r="D142" s="57">
        <v>0</v>
      </c>
      <c r="E142" s="57">
        <v>0</v>
      </c>
      <c r="F142" s="57">
        <v>0</v>
      </c>
      <c r="G142" s="57">
        <v>0</v>
      </c>
      <c r="H142" s="57" t="s">
        <v>97</v>
      </c>
    </row>
    <row r="143" spans="1:8" x14ac:dyDescent="0.3">
      <c r="A143" s="68">
        <v>5626</v>
      </c>
      <c r="B143" s="69">
        <v>198</v>
      </c>
      <c r="C143" s="69">
        <v>58</v>
      </c>
      <c r="D143" s="69">
        <v>0</v>
      </c>
      <c r="E143" s="69">
        <v>0</v>
      </c>
      <c r="F143" s="69">
        <v>0</v>
      </c>
      <c r="G143" s="69">
        <v>0</v>
      </c>
      <c r="H143" s="69" t="s">
        <v>97</v>
      </c>
    </row>
    <row r="144" spans="1:8" x14ac:dyDescent="0.3">
      <c r="A144" s="67">
        <v>5806.4000000000005</v>
      </c>
      <c r="B144" s="57">
        <v>6881.4000000000005</v>
      </c>
      <c r="C144" s="57">
        <v>4909.6000000000004</v>
      </c>
      <c r="D144" s="57">
        <v>3617.6000000000004</v>
      </c>
      <c r="E144" s="57">
        <v>7356.8</v>
      </c>
      <c r="F144" s="57">
        <v>5988.8000000000011</v>
      </c>
      <c r="G144" s="57">
        <v>3237.6000000000004</v>
      </c>
      <c r="H144" s="57" t="s">
        <v>10</v>
      </c>
    </row>
    <row r="145" spans="1:8" x14ac:dyDescent="0.3">
      <c r="A145" s="67">
        <v>5875</v>
      </c>
      <c r="B145" s="57">
        <v>7875</v>
      </c>
      <c r="C145" s="57">
        <v>5405</v>
      </c>
      <c r="D145" s="57">
        <v>5170</v>
      </c>
      <c r="E145" s="57">
        <v>8225</v>
      </c>
      <c r="F145" s="57">
        <v>31725</v>
      </c>
      <c r="G145" s="57">
        <v>33370</v>
      </c>
      <c r="H145" s="57" t="s">
        <v>10</v>
      </c>
    </row>
    <row r="146" spans="1:8" x14ac:dyDescent="0.3">
      <c r="A146" s="67">
        <v>6000</v>
      </c>
      <c r="B146" s="57">
        <v>-2500</v>
      </c>
      <c r="C146" s="57">
        <v>160</v>
      </c>
      <c r="D146" s="57">
        <v>0</v>
      </c>
      <c r="E146" s="57">
        <v>0</v>
      </c>
      <c r="F146" s="57">
        <v>0</v>
      </c>
      <c r="G146" s="57">
        <v>0</v>
      </c>
      <c r="H146" s="57" t="s">
        <v>97</v>
      </c>
    </row>
    <row r="147" spans="1:8" x14ac:dyDescent="0.3">
      <c r="A147" s="68">
        <v>6440</v>
      </c>
      <c r="B147" s="69">
        <v>3965</v>
      </c>
      <c r="C147" s="69">
        <v>2072</v>
      </c>
      <c r="D147" s="69">
        <v>1876</v>
      </c>
      <c r="E147" s="69">
        <v>1540</v>
      </c>
      <c r="F147" s="69">
        <v>2240</v>
      </c>
      <c r="G147" s="69">
        <v>7000</v>
      </c>
      <c r="H147" s="69" t="s">
        <v>10</v>
      </c>
    </row>
    <row r="148" spans="1:8" x14ac:dyDescent="0.3">
      <c r="A148" s="68">
        <v>6791.5</v>
      </c>
      <c r="B148" s="69">
        <v>1511.5</v>
      </c>
      <c r="C148" s="69">
        <v>4817.5</v>
      </c>
      <c r="D148" s="69">
        <v>0</v>
      </c>
      <c r="E148" s="69">
        <v>0</v>
      </c>
      <c r="F148" s="69">
        <v>0</v>
      </c>
      <c r="G148" s="69">
        <v>0</v>
      </c>
      <c r="H148" s="69" t="s">
        <v>97</v>
      </c>
    </row>
    <row r="149" spans="1:8" x14ac:dyDescent="0.3">
      <c r="A149" s="67">
        <v>6860</v>
      </c>
      <c r="B149" s="57">
        <v>12460</v>
      </c>
      <c r="C149" s="57">
        <v>392</v>
      </c>
      <c r="D149" s="57">
        <v>1960</v>
      </c>
      <c r="E149" s="57">
        <v>12152</v>
      </c>
      <c r="F149" s="57">
        <v>11172</v>
      </c>
      <c r="G149" s="57">
        <v>61740</v>
      </c>
      <c r="H149" s="57" t="s">
        <v>144</v>
      </c>
    </row>
    <row r="150" spans="1:8" x14ac:dyDescent="0.3">
      <c r="A150" s="67">
        <v>6885</v>
      </c>
      <c r="B150" s="57">
        <v>4260</v>
      </c>
      <c r="C150" s="57">
        <v>4437</v>
      </c>
      <c r="D150" s="57">
        <v>765</v>
      </c>
      <c r="E150" s="57">
        <v>2907</v>
      </c>
      <c r="F150" s="57">
        <v>9180</v>
      </c>
      <c r="G150" s="57">
        <v>8517</v>
      </c>
      <c r="H150" s="57" t="s">
        <v>10</v>
      </c>
    </row>
    <row r="151" spans="1:8" x14ac:dyDescent="0.3">
      <c r="A151" s="67">
        <v>6943.8</v>
      </c>
      <c r="B151" s="57">
        <v>-1506.1999999999998</v>
      </c>
      <c r="C151" s="57">
        <v>2896.8</v>
      </c>
      <c r="D151" s="57">
        <v>1363.2</v>
      </c>
      <c r="E151" s="57">
        <v>5878.8</v>
      </c>
      <c r="F151" s="57">
        <v>16443.599999999999</v>
      </c>
      <c r="G151" s="57">
        <v>9925.7999999999993</v>
      </c>
      <c r="H151" s="57" t="s">
        <v>10</v>
      </c>
    </row>
    <row r="152" spans="1:8" x14ac:dyDescent="0.3">
      <c r="A152" s="67">
        <v>6960</v>
      </c>
      <c r="B152" s="57">
        <v>2410</v>
      </c>
      <c r="C152" s="57">
        <v>435</v>
      </c>
      <c r="D152" s="57">
        <v>0</v>
      </c>
      <c r="E152" s="57">
        <v>0</v>
      </c>
      <c r="F152" s="57">
        <v>0</v>
      </c>
      <c r="G152" s="57">
        <v>0</v>
      </c>
      <c r="H152" s="57" t="s">
        <v>97</v>
      </c>
    </row>
    <row r="153" spans="1:8" x14ac:dyDescent="0.3">
      <c r="A153" s="68">
        <v>7040</v>
      </c>
      <c r="B153" s="69">
        <v>-1760</v>
      </c>
      <c r="C153" s="69">
        <v>0</v>
      </c>
      <c r="D153" s="69">
        <v>0</v>
      </c>
      <c r="E153" s="69">
        <v>0</v>
      </c>
      <c r="F153" s="69">
        <v>0</v>
      </c>
      <c r="G153" s="69">
        <v>0</v>
      </c>
      <c r="H153" s="69" t="s">
        <v>10</v>
      </c>
    </row>
    <row r="154" spans="1:8" x14ac:dyDescent="0.3">
      <c r="A154" s="68">
        <v>7956</v>
      </c>
      <c r="B154" s="69">
        <v>9456</v>
      </c>
      <c r="C154" s="69">
        <v>9945</v>
      </c>
      <c r="D154" s="69">
        <v>31161</v>
      </c>
      <c r="E154" s="69">
        <v>34476</v>
      </c>
      <c r="F154" s="69">
        <v>16133</v>
      </c>
      <c r="G154" s="69">
        <v>8619</v>
      </c>
      <c r="H154" s="69" t="s">
        <v>10</v>
      </c>
    </row>
    <row r="155" spans="1:8" x14ac:dyDescent="0.3">
      <c r="A155" s="67">
        <v>8130</v>
      </c>
      <c r="B155" s="57">
        <v>-3840</v>
      </c>
      <c r="C155" s="57">
        <v>0</v>
      </c>
      <c r="D155" s="57">
        <v>0</v>
      </c>
      <c r="E155" s="57">
        <v>0</v>
      </c>
      <c r="F155" s="57">
        <v>0</v>
      </c>
      <c r="G155" s="57">
        <v>0</v>
      </c>
      <c r="H155" s="57" t="s">
        <v>10</v>
      </c>
    </row>
    <row r="156" spans="1:8" x14ac:dyDescent="0.3">
      <c r="A156" s="68">
        <v>9180.8000000000011</v>
      </c>
      <c r="B156" s="69">
        <v>2555.8000000000011</v>
      </c>
      <c r="C156" s="69">
        <v>12965.6</v>
      </c>
      <c r="D156" s="69">
        <v>35431.199999999997</v>
      </c>
      <c r="E156" s="69">
        <v>15944.800000000001</v>
      </c>
      <c r="F156" s="69">
        <v>4955.2000000000007</v>
      </c>
      <c r="G156" s="69">
        <v>10761.6</v>
      </c>
      <c r="H156" s="69" t="s">
        <v>10</v>
      </c>
    </row>
    <row r="157" spans="1:8" x14ac:dyDescent="0.3">
      <c r="A157" s="68">
        <v>9396</v>
      </c>
      <c r="B157" s="69">
        <v>14556</v>
      </c>
      <c r="C157" s="69">
        <v>22898.400000000001</v>
      </c>
      <c r="D157" s="69">
        <v>44474.400000000009</v>
      </c>
      <c r="E157" s="69">
        <v>24290.400000000001</v>
      </c>
      <c r="F157" s="69">
        <v>7563.2000000000007</v>
      </c>
      <c r="G157" s="69">
        <v>19882.400000000001</v>
      </c>
      <c r="H157" s="69" t="s">
        <v>10</v>
      </c>
    </row>
    <row r="158" spans="1:8" x14ac:dyDescent="0.3">
      <c r="A158" s="68">
        <v>9622</v>
      </c>
      <c r="B158" s="69">
        <v>2992</v>
      </c>
      <c r="C158" s="69">
        <v>3735.6000000000004</v>
      </c>
      <c r="D158" s="69">
        <v>1132</v>
      </c>
      <c r="E158" s="69">
        <v>0</v>
      </c>
      <c r="F158" s="69">
        <v>0</v>
      </c>
      <c r="G158" s="69">
        <v>0</v>
      </c>
      <c r="H158" s="69" t="s">
        <v>144</v>
      </c>
    </row>
    <row r="159" spans="1:8" x14ac:dyDescent="0.3">
      <c r="A159" s="68">
        <v>9744</v>
      </c>
      <c r="B159" s="69">
        <v>7154</v>
      </c>
      <c r="C159" s="69">
        <v>8004</v>
      </c>
      <c r="D159" s="69">
        <v>20445</v>
      </c>
      <c r="E159" s="69">
        <v>15312</v>
      </c>
      <c r="F159" s="69">
        <v>7656</v>
      </c>
      <c r="G159" s="69">
        <v>2436</v>
      </c>
      <c r="H159" s="69" t="s">
        <v>10</v>
      </c>
    </row>
    <row r="160" spans="1:8" x14ac:dyDescent="0.3">
      <c r="A160" s="67">
        <v>10127</v>
      </c>
      <c r="B160" s="57">
        <v>33462</v>
      </c>
      <c r="C160" s="57">
        <v>20007</v>
      </c>
      <c r="D160" s="57">
        <v>53105</v>
      </c>
      <c r="E160" s="57">
        <v>62985</v>
      </c>
      <c r="F160" s="57">
        <v>17784</v>
      </c>
      <c r="G160" s="57">
        <v>5187</v>
      </c>
      <c r="H160" s="57" t="s">
        <v>10</v>
      </c>
    </row>
    <row r="161" spans="1:8" x14ac:dyDescent="0.3">
      <c r="A161" s="67">
        <v>10260</v>
      </c>
      <c r="B161" s="57">
        <v>7470</v>
      </c>
      <c r="C161" s="57">
        <v>3990</v>
      </c>
      <c r="D161" s="57">
        <v>6000</v>
      </c>
      <c r="E161" s="57">
        <v>5610</v>
      </c>
      <c r="F161" s="57">
        <v>25500</v>
      </c>
      <c r="G161" s="57">
        <v>10350</v>
      </c>
      <c r="H161" s="57" t="s">
        <v>10</v>
      </c>
    </row>
    <row r="162" spans="1:8" x14ac:dyDescent="0.3">
      <c r="A162" s="68">
        <v>10488</v>
      </c>
      <c r="B162" s="69">
        <v>5238</v>
      </c>
      <c r="C162" s="69">
        <v>0</v>
      </c>
      <c r="D162" s="69">
        <v>0</v>
      </c>
      <c r="E162" s="69">
        <v>0</v>
      </c>
      <c r="F162" s="69">
        <v>0</v>
      </c>
      <c r="G162" s="69">
        <v>0</v>
      </c>
      <c r="H162" s="69" t="s">
        <v>10</v>
      </c>
    </row>
    <row r="163" spans="1:8" x14ac:dyDescent="0.3">
      <c r="A163" s="67">
        <v>10584</v>
      </c>
      <c r="B163" s="57">
        <v>6984</v>
      </c>
      <c r="C163" s="57">
        <v>3584</v>
      </c>
      <c r="D163" s="57">
        <v>0</v>
      </c>
      <c r="E163" s="57">
        <v>4872</v>
      </c>
      <c r="F163" s="57">
        <v>8568</v>
      </c>
      <c r="G163" s="57">
        <v>8120</v>
      </c>
      <c r="H163" s="57" t="s">
        <v>10</v>
      </c>
    </row>
    <row r="164" spans="1:8" x14ac:dyDescent="0.3">
      <c r="A164" s="67">
        <v>10608.5</v>
      </c>
      <c r="B164" s="57">
        <v>7703.5</v>
      </c>
      <c r="C164" s="57">
        <v>5757.5</v>
      </c>
      <c r="D164" s="57">
        <v>4165</v>
      </c>
      <c r="E164" s="57">
        <v>1347.5</v>
      </c>
      <c r="F164" s="57">
        <v>3307.5</v>
      </c>
      <c r="G164" s="57">
        <v>2940</v>
      </c>
      <c r="H164" s="57" t="s">
        <v>10</v>
      </c>
    </row>
    <row r="165" spans="1:8" x14ac:dyDescent="0.3">
      <c r="A165" s="67">
        <v>11022</v>
      </c>
      <c r="B165" s="57">
        <v>1842</v>
      </c>
      <c r="C165" s="57">
        <v>0</v>
      </c>
      <c r="D165" s="57">
        <v>0</v>
      </c>
      <c r="E165" s="57">
        <v>0</v>
      </c>
      <c r="F165" s="57">
        <v>0</v>
      </c>
      <c r="G165" s="57">
        <v>0</v>
      </c>
      <c r="H165" s="57" t="s">
        <v>10</v>
      </c>
    </row>
    <row r="166" spans="1:8" x14ac:dyDescent="0.3">
      <c r="A166" s="67">
        <v>11067</v>
      </c>
      <c r="B166" s="57">
        <v>-273</v>
      </c>
      <c r="C166" s="57">
        <v>8295</v>
      </c>
      <c r="D166" s="57">
        <v>10479</v>
      </c>
      <c r="E166" s="57">
        <v>19215</v>
      </c>
      <c r="F166" s="57">
        <v>4830</v>
      </c>
      <c r="G166" s="57">
        <v>11172</v>
      </c>
      <c r="H166" s="57" t="s">
        <v>10</v>
      </c>
    </row>
    <row r="167" spans="1:8" x14ac:dyDescent="0.3">
      <c r="A167" s="67">
        <v>11620</v>
      </c>
      <c r="B167" s="57">
        <v>7870</v>
      </c>
      <c r="C167" s="57">
        <v>4980</v>
      </c>
      <c r="D167" s="57">
        <v>9130</v>
      </c>
      <c r="E167" s="57">
        <v>27888</v>
      </c>
      <c r="F167" s="57">
        <v>35358</v>
      </c>
      <c r="G167" s="57">
        <v>38180</v>
      </c>
      <c r="H167" s="57" t="s">
        <v>144</v>
      </c>
    </row>
    <row r="168" spans="1:8" x14ac:dyDescent="0.3">
      <c r="A168" s="68">
        <v>12600</v>
      </c>
      <c r="B168" s="69">
        <v>-2700</v>
      </c>
      <c r="C168" s="69">
        <v>0</v>
      </c>
      <c r="D168" s="69">
        <v>0</v>
      </c>
      <c r="E168" s="69">
        <v>0</v>
      </c>
      <c r="F168" s="69">
        <v>0</v>
      </c>
      <c r="G168" s="69">
        <v>0</v>
      </c>
      <c r="H168" s="69" t="s">
        <v>10</v>
      </c>
    </row>
    <row r="169" spans="1:8" x14ac:dyDescent="0.3">
      <c r="A169" s="68">
        <v>12700</v>
      </c>
      <c r="B169" s="69">
        <v>300</v>
      </c>
      <c r="C169" s="69">
        <v>317.5</v>
      </c>
      <c r="D169" s="69">
        <v>0</v>
      </c>
      <c r="E169" s="69">
        <v>0</v>
      </c>
      <c r="F169" s="69">
        <v>0</v>
      </c>
      <c r="G169" s="69">
        <v>0</v>
      </c>
      <c r="H169" s="69" t="s">
        <v>10</v>
      </c>
    </row>
    <row r="170" spans="1:8" x14ac:dyDescent="0.3">
      <c r="A170" s="68">
        <v>12881.6</v>
      </c>
      <c r="B170" s="69">
        <v>10281.6</v>
      </c>
      <c r="C170" s="69">
        <v>11989.2</v>
      </c>
      <c r="D170" s="69">
        <v>10864</v>
      </c>
      <c r="E170" s="69">
        <v>9894</v>
      </c>
      <c r="F170" s="69">
        <v>9467.2000000000007</v>
      </c>
      <c r="G170" s="69">
        <v>6130.4</v>
      </c>
      <c r="H170" s="69" t="s">
        <v>144</v>
      </c>
    </row>
    <row r="171" spans="1:8" x14ac:dyDescent="0.3">
      <c r="A171" s="68">
        <v>12900</v>
      </c>
      <c r="B171" s="69">
        <v>480</v>
      </c>
      <c r="C171" s="69">
        <v>4710</v>
      </c>
      <c r="D171" s="69">
        <v>0</v>
      </c>
      <c r="E171" s="69">
        <v>0</v>
      </c>
      <c r="F171" s="69">
        <v>0</v>
      </c>
      <c r="G171" s="69">
        <v>0</v>
      </c>
      <c r="H171" s="69" t="s">
        <v>97</v>
      </c>
    </row>
    <row r="172" spans="1:8" x14ac:dyDescent="0.3">
      <c r="A172" s="67">
        <v>12985</v>
      </c>
      <c r="B172" s="57">
        <v>11235</v>
      </c>
      <c r="C172" s="57">
        <v>6296.5</v>
      </c>
      <c r="D172" s="57">
        <v>4900</v>
      </c>
      <c r="E172" s="57">
        <v>5635</v>
      </c>
      <c r="F172" s="57">
        <v>14210</v>
      </c>
      <c r="G172" s="57">
        <v>14161</v>
      </c>
      <c r="H172" s="57" t="s">
        <v>10</v>
      </c>
    </row>
    <row r="173" spans="1:8" x14ac:dyDescent="0.3">
      <c r="A173" s="67">
        <v>13041.000000000002</v>
      </c>
      <c r="B173" s="57">
        <v>24441</v>
      </c>
      <c r="C173" s="57">
        <v>24012.000000000004</v>
      </c>
      <c r="D173" s="57">
        <v>18340.200000000004</v>
      </c>
      <c r="E173" s="57">
        <v>21569.4</v>
      </c>
      <c r="F173" s="57">
        <v>14158.800000000001</v>
      </c>
      <c r="G173" s="57">
        <v>6417.0000000000009</v>
      </c>
      <c r="H173" s="57" t="s">
        <v>144</v>
      </c>
    </row>
    <row r="174" spans="1:8" x14ac:dyDescent="0.3">
      <c r="A174" s="67">
        <v>14400</v>
      </c>
      <c r="B174" s="57">
        <v>6900</v>
      </c>
      <c r="C174" s="57">
        <v>7360</v>
      </c>
      <c r="D174" s="57">
        <v>6400</v>
      </c>
      <c r="E174" s="57">
        <v>7200</v>
      </c>
      <c r="F174" s="57">
        <v>22560</v>
      </c>
      <c r="G174" s="57">
        <v>21760</v>
      </c>
      <c r="H174" s="57" t="s">
        <v>10</v>
      </c>
    </row>
    <row r="175" spans="1:8" x14ac:dyDescent="0.3">
      <c r="A175" s="68">
        <v>14840</v>
      </c>
      <c r="B175" s="69">
        <v>2240</v>
      </c>
      <c r="C175" s="69">
        <v>0</v>
      </c>
      <c r="D175" s="69">
        <v>0</v>
      </c>
      <c r="E175" s="69">
        <v>0</v>
      </c>
      <c r="F175" s="69">
        <v>0</v>
      </c>
      <c r="G175" s="69">
        <v>0</v>
      </c>
      <c r="H175" s="69" t="s">
        <v>10</v>
      </c>
    </row>
    <row r="176" spans="1:8" x14ac:dyDescent="0.3">
      <c r="A176" s="68">
        <v>14880</v>
      </c>
      <c r="B176" s="69">
        <v>19455</v>
      </c>
      <c r="C176" s="69">
        <v>0</v>
      </c>
      <c r="D176" s="69">
        <v>0</v>
      </c>
      <c r="E176" s="69">
        <v>0</v>
      </c>
      <c r="F176" s="69">
        <v>0</v>
      </c>
      <c r="G176" s="69">
        <v>0</v>
      </c>
      <c r="H176" s="69" t="s">
        <v>10</v>
      </c>
    </row>
    <row r="177" spans="1:8" x14ac:dyDescent="0.3">
      <c r="A177" s="67">
        <v>14905</v>
      </c>
      <c r="B177" s="57">
        <v>10915</v>
      </c>
      <c r="C177" s="57">
        <v>0</v>
      </c>
      <c r="D177" s="57">
        <v>0</v>
      </c>
      <c r="E177" s="57">
        <v>0</v>
      </c>
      <c r="F177" s="57">
        <v>0</v>
      </c>
      <c r="G177" s="57">
        <v>0</v>
      </c>
      <c r="H177" s="57" t="s">
        <v>10</v>
      </c>
    </row>
    <row r="178" spans="1:8" x14ac:dyDescent="0.3">
      <c r="A178" s="68">
        <v>17100</v>
      </c>
      <c r="B178" s="69">
        <v>9050</v>
      </c>
      <c r="C178" s="69">
        <v>6317.5</v>
      </c>
      <c r="D178" s="69">
        <v>4180</v>
      </c>
      <c r="E178" s="69">
        <v>475</v>
      </c>
      <c r="F178" s="69">
        <v>0</v>
      </c>
      <c r="G178" s="69">
        <v>0</v>
      </c>
      <c r="H178" s="69" t="s">
        <v>10</v>
      </c>
    </row>
    <row r="179" spans="1:8" x14ac:dyDescent="0.3">
      <c r="A179" s="67">
        <v>17702</v>
      </c>
      <c r="B179" s="57">
        <v>1382</v>
      </c>
      <c r="C179" s="57">
        <v>0</v>
      </c>
      <c r="D179" s="57">
        <v>0</v>
      </c>
      <c r="E179" s="57">
        <v>0</v>
      </c>
      <c r="F179" s="57">
        <v>0</v>
      </c>
      <c r="G179" s="57">
        <v>0</v>
      </c>
      <c r="H179" s="57" t="s">
        <v>10</v>
      </c>
    </row>
    <row r="180" spans="1:8" x14ac:dyDescent="0.3">
      <c r="A180" s="67">
        <v>18630</v>
      </c>
      <c r="B180" s="57">
        <v>4380</v>
      </c>
      <c r="C180" s="57">
        <v>0</v>
      </c>
      <c r="D180" s="57">
        <v>0</v>
      </c>
      <c r="E180" s="57">
        <v>0</v>
      </c>
      <c r="F180" s="57">
        <v>0</v>
      </c>
      <c r="G180" s="57">
        <v>0</v>
      </c>
      <c r="H180" s="57" t="s">
        <v>10</v>
      </c>
    </row>
    <row r="181" spans="1:8" x14ac:dyDescent="0.3">
      <c r="A181" s="68">
        <v>18648</v>
      </c>
      <c r="B181" s="69">
        <v>9648</v>
      </c>
      <c r="C181" s="69">
        <v>7560</v>
      </c>
      <c r="D181" s="69">
        <v>9324</v>
      </c>
      <c r="E181" s="69">
        <v>20706</v>
      </c>
      <c r="F181" s="69">
        <v>18900</v>
      </c>
      <c r="G181" s="69">
        <v>0</v>
      </c>
      <c r="H181" s="69" t="s">
        <v>10</v>
      </c>
    </row>
    <row r="182" spans="1:8" x14ac:dyDescent="0.3">
      <c r="A182" s="68">
        <v>18974</v>
      </c>
      <c r="B182" s="69">
        <v>-2751.0000000000018</v>
      </c>
      <c r="C182" s="69">
        <v>0</v>
      </c>
      <c r="D182" s="69">
        <v>0</v>
      </c>
      <c r="E182" s="69">
        <v>0</v>
      </c>
      <c r="F182" s="69">
        <v>0</v>
      </c>
      <c r="G182" s="69">
        <v>0</v>
      </c>
      <c r="H182" s="69" t="s">
        <v>10</v>
      </c>
    </row>
    <row r="183" spans="1:8" x14ac:dyDescent="0.3">
      <c r="A183" s="67">
        <v>19028</v>
      </c>
      <c r="B183" s="57">
        <v>17753</v>
      </c>
      <c r="C183" s="57">
        <v>12638</v>
      </c>
      <c r="D183" s="57">
        <v>25560</v>
      </c>
      <c r="E183" s="57">
        <v>57936</v>
      </c>
      <c r="F183" s="57">
        <v>29110</v>
      </c>
      <c r="G183" s="57">
        <v>21371</v>
      </c>
      <c r="H183" s="57" t="s">
        <v>10</v>
      </c>
    </row>
    <row r="184" spans="1:8" x14ac:dyDescent="0.3">
      <c r="A184" s="68">
        <v>20502</v>
      </c>
      <c r="B184" s="69">
        <v>36270</v>
      </c>
      <c r="C184" s="69">
        <v>77586</v>
      </c>
      <c r="D184" s="69">
        <v>0</v>
      </c>
      <c r="E184" s="69">
        <v>0</v>
      </c>
      <c r="F184" s="69">
        <v>0</v>
      </c>
      <c r="G184" s="69">
        <v>0</v>
      </c>
      <c r="H184" s="69" t="s">
        <v>10</v>
      </c>
    </row>
    <row r="185" spans="1:8" x14ac:dyDescent="0.3">
      <c r="A185" s="68">
        <v>21620</v>
      </c>
      <c r="B185" s="69">
        <v>19370</v>
      </c>
      <c r="C185" s="69">
        <v>14100</v>
      </c>
      <c r="D185" s="69">
        <v>1880</v>
      </c>
      <c r="E185" s="69">
        <v>7520</v>
      </c>
      <c r="F185" s="69">
        <v>3760</v>
      </c>
      <c r="G185" s="69">
        <v>4700</v>
      </c>
      <c r="H185" s="69" t="s">
        <v>144</v>
      </c>
    </row>
    <row r="186" spans="1:8" x14ac:dyDescent="0.3">
      <c r="A186" s="68">
        <v>21808</v>
      </c>
      <c r="B186" s="69">
        <v>30818</v>
      </c>
      <c r="C186" s="69">
        <v>14664</v>
      </c>
      <c r="D186" s="69">
        <v>6016</v>
      </c>
      <c r="E186" s="69">
        <v>7896</v>
      </c>
      <c r="F186" s="69">
        <v>22560</v>
      </c>
      <c r="G186" s="69">
        <v>24064</v>
      </c>
      <c r="H186" s="69" t="s">
        <v>10</v>
      </c>
    </row>
    <row r="187" spans="1:8" x14ac:dyDescent="0.3">
      <c r="A187" s="67">
        <v>22172.800000000003</v>
      </c>
      <c r="B187" s="57">
        <v>37652.800000000003</v>
      </c>
      <c r="C187" s="57">
        <v>28204.800000000003</v>
      </c>
      <c r="D187" s="57">
        <v>18460.000000000007</v>
      </c>
      <c r="E187" s="57">
        <v>23940.800000000003</v>
      </c>
      <c r="F187" s="57">
        <v>23400.000000000007</v>
      </c>
      <c r="G187" s="57">
        <v>26332.800000000003</v>
      </c>
      <c r="H187" s="57" t="s">
        <v>10</v>
      </c>
    </row>
    <row r="188" spans="1:8" x14ac:dyDescent="0.3">
      <c r="A188" s="68">
        <v>24397</v>
      </c>
      <c r="B188" s="69">
        <v>10492</v>
      </c>
      <c r="C188" s="69">
        <v>38285</v>
      </c>
      <c r="D188" s="69">
        <v>44950</v>
      </c>
      <c r="E188" s="69">
        <v>53568</v>
      </c>
      <c r="F188" s="69">
        <v>36642</v>
      </c>
      <c r="G188" s="69">
        <v>30969</v>
      </c>
      <c r="H188" s="69" t="s">
        <v>10</v>
      </c>
    </row>
    <row r="189" spans="1:8" x14ac:dyDescent="0.3">
      <c r="A189" s="67">
        <v>24700</v>
      </c>
      <c r="B189" s="57">
        <v>22700</v>
      </c>
      <c r="C189" s="57">
        <v>15200</v>
      </c>
      <c r="D189" s="57">
        <v>14250</v>
      </c>
      <c r="E189" s="57">
        <v>22800</v>
      </c>
      <c r="F189" s="57">
        <v>38950</v>
      </c>
      <c r="G189" s="57">
        <v>37620</v>
      </c>
      <c r="H189" s="57" t="s">
        <v>10</v>
      </c>
    </row>
    <row r="190" spans="1:8" x14ac:dyDescent="0.3">
      <c r="A190" s="67">
        <v>25023</v>
      </c>
      <c r="B190" s="57">
        <v>11493</v>
      </c>
      <c r="C190" s="57">
        <v>0</v>
      </c>
      <c r="D190" s="57">
        <v>0</v>
      </c>
      <c r="E190" s="57">
        <v>0</v>
      </c>
      <c r="F190" s="57">
        <v>0</v>
      </c>
      <c r="G190" s="57">
        <v>0</v>
      </c>
      <c r="H190" s="57" t="s">
        <v>10</v>
      </c>
    </row>
    <row r="191" spans="1:8" x14ac:dyDescent="0.3">
      <c r="A191" s="68">
        <v>26076</v>
      </c>
      <c r="B191" s="69">
        <v>8576</v>
      </c>
      <c r="C191" s="69">
        <v>0</v>
      </c>
      <c r="D191" s="69">
        <v>0</v>
      </c>
      <c r="E191" s="69">
        <v>0</v>
      </c>
      <c r="F191" s="69">
        <v>0</v>
      </c>
      <c r="G191" s="69">
        <v>0</v>
      </c>
      <c r="H191" s="69" t="s">
        <v>10</v>
      </c>
    </row>
    <row r="192" spans="1:8" x14ac:dyDescent="0.3">
      <c r="A192" s="68">
        <v>27025.600000000002</v>
      </c>
      <c r="B192" s="69">
        <v>31030.600000000002</v>
      </c>
      <c r="C192" s="69">
        <v>50266.600000000006</v>
      </c>
      <c r="D192" s="69">
        <v>73685.400000000009</v>
      </c>
      <c r="E192" s="69">
        <v>61823.600000000006</v>
      </c>
      <c r="F192" s="69">
        <v>43002.200000000004</v>
      </c>
      <c r="G192" s="69">
        <v>33299.4</v>
      </c>
      <c r="H192" s="69" t="s">
        <v>10</v>
      </c>
    </row>
    <row r="193" spans="1:14" x14ac:dyDescent="0.3">
      <c r="A193" s="68">
        <v>28710</v>
      </c>
      <c r="B193" s="69">
        <v>10110</v>
      </c>
      <c r="C193" s="69">
        <v>5220</v>
      </c>
      <c r="D193" s="69">
        <v>6525</v>
      </c>
      <c r="E193" s="69">
        <v>14355</v>
      </c>
      <c r="F193" s="69">
        <v>21750</v>
      </c>
      <c r="G193" s="69">
        <v>19575</v>
      </c>
      <c r="H193" s="69" t="s">
        <v>10</v>
      </c>
    </row>
    <row r="194" spans="1:14" x14ac:dyDescent="0.3">
      <c r="A194" s="67">
        <v>30100</v>
      </c>
      <c r="B194" s="57">
        <v>24300</v>
      </c>
      <c r="C194" s="57">
        <v>12005</v>
      </c>
      <c r="D194" s="57">
        <v>11200</v>
      </c>
      <c r="E194" s="57">
        <v>10045</v>
      </c>
      <c r="F194" s="57">
        <v>23800</v>
      </c>
      <c r="G194" s="57">
        <v>21805</v>
      </c>
      <c r="H194" s="57" t="s">
        <v>10</v>
      </c>
    </row>
    <row r="195" spans="1:14" x14ac:dyDescent="0.3">
      <c r="A195" s="67">
        <v>32515.599999999999</v>
      </c>
      <c r="B195" s="57">
        <v>55150.6</v>
      </c>
      <c r="C195" s="57">
        <v>45089.2</v>
      </c>
      <c r="D195" s="57">
        <v>80545.399999999994</v>
      </c>
      <c r="E195" s="57">
        <v>51545</v>
      </c>
      <c r="F195" s="57">
        <v>53471.600000000006</v>
      </c>
      <c r="G195" s="57">
        <v>52018.2</v>
      </c>
      <c r="H195" s="57" t="s">
        <v>10</v>
      </c>
    </row>
    <row r="196" spans="1:14" x14ac:dyDescent="0.3">
      <c r="A196" s="68">
        <v>33075</v>
      </c>
      <c r="B196" s="69">
        <v>27825</v>
      </c>
      <c r="C196" s="69">
        <v>13891.5</v>
      </c>
      <c r="D196" s="69">
        <v>4900</v>
      </c>
      <c r="E196" s="69">
        <v>13230</v>
      </c>
      <c r="F196" s="69">
        <v>30625</v>
      </c>
      <c r="G196" s="69">
        <v>21805</v>
      </c>
      <c r="H196" s="69" t="s">
        <v>10</v>
      </c>
    </row>
    <row r="197" spans="1:14" x14ac:dyDescent="0.3">
      <c r="A197" s="67">
        <v>33350</v>
      </c>
      <c r="B197" s="57">
        <v>22600</v>
      </c>
      <c r="C197" s="57">
        <v>19575</v>
      </c>
      <c r="D197" s="57">
        <v>12615</v>
      </c>
      <c r="E197" s="57">
        <v>7685</v>
      </c>
      <c r="F197" s="57">
        <v>34075</v>
      </c>
      <c r="G197" s="57">
        <v>29000</v>
      </c>
      <c r="H197" s="57" t="s">
        <v>10</v>
      </c>
    </row>
    <row r="198" spans="1:14" x14ac:dyDescent="0.3">
      <c r="A198" s="67">
        <v>37128</v>
      </c>
      <c r="B198" s="57">
        <v>46423</v>
      </c>
      <c r="C198" s="57">
        <v>46563</v>
      </c>
      <c r="D198" s="57">
        <v>91800</v>
      </c>
      <c r="E198" s="57">
        <v>67065</v>
      </c>
      <c r="F198" s="57">
        <v>29427</v>
      </c>
      <c r="G198" s="57">
        <v>29223</v>
      </c>
      <c r="H198" s="57" t="s">
        <v>10</v>
      </c>
    </row>
    <row r="199" spans="1:14" x14ac:dyDescent="0.3">
      <c r="A199" s="68">
        <v>48950</v>
      </c>
      <c r="B199" s="69">
        <v>40200</v>
      </c>
      <c r="C199" s="69">
        <v>28655</v>
      </c>
      <c r="D199" s="69">
        <v>12100</v>
      </c>
      <c r="E199" s="69">
        <v>19195</v>
      </c>
      <c r="F199" s="69">
        <v>76175</v>
      </c>
      <c r="G199" s="69">
        <v>70950</v>
      </c>
      <c r="H199" s="69" t="s">
        <v>10</v>
      </c>
    </row>
    <row r="200" spans="1:14" x14ac:dyDescent="0.3">
      <c r="A200" s="68">
        <v>53652</v>
      </c>
      <c r="B200" s="69">
        <v>46612</v>
      </c>
      <c r="C200" s="69">
        <v>38590</v>
      </c>
      <c r="D200" s="69">
        <v>32538</v>
      </c>
      <c r="E200" s="69">
        <v>78200</v>
      </c>
      <c r="F200" s="69">
        <v>94520</v>
      </c>
      <c r="G200" s="69">
        <v>95200</v>
      </c>
      <c r="H200" s="69" t="s">
        <v>10</v>
      </c>
    </row>
    <row r="201" spans="1:14" x14ac:dyDescent="0.3">
      <c r="A201" s="67">
        <v>62350</v>
      </c>
      <c r="B201" s="57">
        <v>28470</v>
      </c>
      <c r="C201" s="57">
        <v>26660</v>
      </c>
      <c r="D201" s="57">
        <v>14964</v>
      </c>
      <c r="E201" s="57">
        <v>39990</v>
      </c>
      <c r="F201" s="57">
        <v>37410</v>
      </c>
      <c r="G201" s="57">
        <v>36550</v>
      </c>
      <c r="H201" s="57" t="s">
        <v>10</v>
      </c>
    </row>
    <row r="202" spans="1:14" x14ac:dyDescent="0.3">
      <c r="A202" s="68">
        <v>71890</v>
      </c>
      <c r="B202" s="69">
        <v>42640</v>
      </c>
      <c r="C202" s="69">
        <v>113750</v>
      </c>
      <c r="D202" s="69">
        <v>0</v>
      </c>
      <c r="E202" s="69">
        <v>0</v>
      </c>
      <c r="F202" s="69">
        <v>0</v>
      </c>
      <c r="G202" s="69">
        <v>0</v>
      </c>
      <c r="H202" s="69" t="s">
        <v>10</v>
      </c>
    </row>
    <row r="203" spans="1:14" x14ac:dyDescent="0.3">
      <c r="A203" s="67">
        <v>164606</v>
      </c>
      <c r="B203" s="57">
        <v>147956</v>
      </c>
      <c r="C203" s="57">
        <v>322452</v>
      </c>
      <c r="D203" s="57">
        <v>8450</v>
      </c>
      <c r="E203" s="57">
        <v>0</v>
      </c>
      <c r="F203" s="57">
        <v>0</v>
      </c>
      <c r="G203" s="57">
        <v>0</v>
      </c>
      <c r="H203" s="57" t="s">
        <v>144</v>
      </c>
    </row>
    <row r="204" spans="1:14" x14ac:dyDescent="0.3">
      <c r="A204" s="40"/>
      <c r="B204" s="40"/>
      <c r="C204" s="40"/>
      <c r="D204" s="40"/>
      <c r="E204" s="40"/>
      <c r="F204" s="40"/>
      <c r="G204" s="40"/>
    </row>
    <row r="208" spans="1:14" x14ac:dyDescent="0.3">
      <c r="D208" t="s">
        <v>267</v>
      </c>
      <c r="E208" t="s">
        <v>144</v>
      </c>
      <c r="F208" t="s">
        <v>97</v>
      </c>
      <c r="G208" t="s">
        <v>299</v>
      </c>
      <c r="H208" t="s">
        <v>300</v>
      </c>
      <c r="K208" s="43" t="s">
        <v>267</v>
      </c>
      <c r="L208" s="44" t="s">
        <v>302</v>
      </c>
      <c r="M208" s="44" t="s">
        <v>303</v>
      </c>
      <c r="N208" s="44" t="s">
        <v>301</v>
      </c>
    </row>
    <row r="209" spans="4:14" x14ac:dyDescent="0.3">
      <c r="D209">
        <v>2006</v>
      </c>
      <c r="E209" s="37">
        <f>SUM(G2:G20)</f>
        <v>0</v>
      </c>
      <c r="F209" s="37">
        <f>SUM(G22:G58)</f>
        <v>0</v>
      </c>
      <c r="G209" s="37">
        <f>SUM(G59:G203)</f>
        <v>943793.20000000007</v>
      </c>
      <c r="H209" s="37">
        <v>943793</v>
      </c>
      <c r="K209" s="45">
        <v>2006</v>
      </c>
      <c r="L209" s="46">
        <f t="shared" ref="L209:L215" si="0">E209/H209</f>
        <v>0</v>
      </c>
      <c r="M209" s="46">
        <f t="shared" ref="M209:M215" si="1">F209/H209</f>
        <v>0</v>
      </c>
      <c r="N209" s="46">
        <f t="shared" ref="N209:N215" si="2">G209/H209</f>
        <v>1.0000002119108746</v>
      </c>
    </row>
    <row r="210" spans="4:14" x14ac:dyDescent="0.3">
      <c r="D210">
        <v>2007</v>
      </c>
      <c r="E210" s="37">
        <f>SUM(F2:F21)</f>
        <v>0</v>
      </c>
      <c r="F210" s="37">
        <f>SUM(F22:F58)</f>
        <v>1468.8000000000002</v>
      </c>
      <c r="G210" s="37">
        <f>SUM(F59:F203)</f>
        <v>1026847.9999999999</v>
      </c>
      <c r="H210" s="37">
        <v>1028317</v>
      </c>
      <c r="K210" s="47">
        <v>2007</v>
      </c>
      <c r="L210" s="48">
        <f t="shared" si="0"/>
        <v>0</v>
      </c>
      <c r="M210" s="48">
        <f t="shared" si="1"/>
        <v>1.4283533190640632E-3</v>
      </c>
      <c r="N210" s="48">
        <f t="shared" si="2"/>
        <v>0.9985714521883815</v>
      </c>
    </row>
    <row r="211" spans="4:14" x14ac:dyDescent="0.3">
      <c r="D211">
        <v>2008</v>
      </c>
      <c r="E211" s="37">
        <f>SUM(E2:E21)</f>
        <v>4104</v>
      </c>
      <c r="F211" s="37">
        <f>SUM(E22:E58)</f>
        <v>6487.2</v>
      </c>
      <c r="G211" s="37">
        <f>SUM(E59:E203)</f>
        <v>971913.4</v>
      </c>
      <c r="H211" s="37">
        <v>982505</v>
      </c>
      <c r="K211" s="45">
        <v>2008</v>
      </c>
      <c r="L211" s="46">
        <f t="shared" si="0"/>
        <v>4.1770779792469253E-3</v>
      </c>
      <c r="M211" s="46">
        <f t="shared" si="1"/>
        <v>6.6027144900025949E-3</v>
      </c>
      <c r="N211" s="46">
        <f t="shared" si="2"/>
        <v>0.98921980040814039</v>
      </c>
    </row>
    <row r="212" spans="4:14" x14ac:dyDescent="0.3">
      <c r="D212">
        <v>2009</v>
      </c>
      <c r="E212" s="37">
        <f>SUM(D2:D21)</f>
        <v>108</v>
      </c>
      <c r="F212" s="37">
        <f>SUM(D22:D58)</f>
        <v>1849.8000000000002</v>
      </c>
      <c r="G212" s="37">
        <f>SUM(D59:D203)</f>
        <v>834856.20000000007</v>
      </c>
      <c r="H212" s="37">
        <v>836814</v>
      </c>
      <c r="K212" s="47">
        <v>2009</v>
      </c>
      <c r="L212" s="48">
        <f t="shared" si="0"/>
        <v>1.2906093827302125E-4</v>
      </c>
      <c r="M212" s="48">
        <f t="shared" si="1"/>
        <v>2.2105270705318029E-3</v>
      </c>
      <c r="N212" s="48">
        <f t="shared" si="2"/>
        <v>0.99766041199119526</v>
      </c>
    </row>
    <row r="213" spans="4:14" x14ac:dyDescent="0.3">
      <c r="D213">
        <v>2010</v>
      </c>
      <c r="E213" s="37">
        <f>SUM(C2:C21)</f>
        <v>-11</v>
      </c>
      <c r="F213" s="37">
        <f>SUM(C22:C58)</f>
        <v>9228.8000000000011</v>
      </c>
      <c r="G213" s="37">
        <f>SUM(C59:C203)</f>
        <v>1236995.1000000001</v>
      </c>
      <c r="H213" s="37">
        <v>1246213</v>
      </c>
      <c r="K213" s="45">
        <v>2010</v>
      </c>
      <c r="L213" s="46">
        <f t="shared" si="0"/>
        <v>-8.8267414960363922E-6</v>
      </c>
      <c r="M213" s="46">
        <f t="shared" si="1"/>
        <v>7.405475628965515E-3</v>
      </c>
      <c r="N213" s="46">
        <f t="shared" si="2"/>
        <v>0.99260327086942612</v>
      </c>
    </row>
    <row r="214" spans="4:14" x14ac:dyDescent="0.3">
      <c r="D214">
        <v>2011</v>
      </c>
      <c r="E214" s="37">
        <f>SUM(B2:B21)</f>
        <v>20129</v>
      </c>
      <c r="F214" s="37">
        <f>SUM(B22:B58)</f>
        <v>8157.2999999999993</v>
      </c>
      <c r="G214" s="37">
        <f>SUM(B59:B203)</f>
        <v>1039797</v>
      </c>
      <c r="H214" s="37">
        <v>1068083</v>
      </c>
      <c r="K214" s="47">
        <v>2011</v>
      </c>
      <c r="L214" s="48">
        <f t="shared" si="0"/>
        <v>1.8845913660267975E-2</v>
      </c>
      <c r="M214" s="48">
        <f t="shared" si="1"/>
        <v>7.6373278106663988E-3</v>
      </c>
      <c r="N214" s="48">
        <f t="shared" si="2"/>
        <v>0.97351703940611356</v>
      </c>
    </row>
    <row r="215" spans="4:14" x14ac:dyDescent="0.3">
      <c r="D215">
        <v>2012</v>
      </c>
      <c r="E215" s="37">
        <f>SUM(A2:A21)</f>
        <v>-1598</v>
      </c>
      <c r="F215" s="37">
        <f>SUM(B22:B58)</f>
        <v>8157.2999999999993</v>
      </c>
      <c r="G215" s="37">
        <f>SUM(A59:A203)</f>
        <v>1470701</v>
      </c>
      <c r="H215" s="37">
        <v>1475767</v>
      </c>
      <c r="K215" s="24">
        <v>2012</v>
      </c>
      <c r="L215" s="49">
        <f t="shared" si="0"/>
        <v>-1.0828267605929663E-3</v>
      </c>
      <c r="M215" s="49">
        <f t="shared" si="1"/>
        <v>5.527498582093243E-3</v>
      </c>
      <c r="N215" s="49">
        <f t="shared" si="2"/>
        <v>0.99656720878024785</v>
      </c>
    </row>
    <row r="216" spans="4:14" x14ac:dyDescent="0.3">
      <c r="L216" s="42"/>
    </row>
    <row r="220" spans="4:14" x14ac:dyDescent="0.3">
      <c r="I220" t="s">
        <v>308</v>
      </c>
      <c r="J220" t="s">
        <v>300</v>
      </c>
      <c r="K220" t="s">
        <v>278</v>
      </c>
    </row>
    <row r="221" spans="4:14" x14ac:dyDescent="0.3">
      <c r="I221">
        <v>2006</v>
      </c>
      <c r="J221">
        <v>943793</v>
      </c>
      <c r="K221">
        <v>24122</v>
      </c>
    </row>
    <row r="222" spans="4:14" x14ac:dyDescent="0.3">
      <c r="I222">
        <v>2007</v>
      </c>
      <c r="J222">
        <v>1028317</v>
      </c>
      <c r="K222">
        <v>25891</v>
      </c>
    </row>
    <row r="223" spans="4:14" x14ac:dyDescent="0.3">
      <c r="I223">
        <v>2008</v>
      </c>
      <c r="J223">
        <v>982505</v>
      </c>
      <c r="K223">
        <v>24809</v>
      </c>
    </row>
    <row r="224" spans="4:14" x14ac:dyDescent="0.3">
      <c r="I224">
        <v>2009</v>
      </c>
      <c r="J224">
        <v>836814</v>
      </c>
      <c r="K224">
        <v>23226</v>
      </c>
    </row>
    <row r="225" spans="9:11" x14ac:dyDescent="0.3">
      <c r="I225">
        <v>2010</v>
      </c>
      <c r="J225">
        <v>1246213</v>
      </c>
      <c r="K225">
        <v>22470</v>
      </c>
    </row>
    <row r="226" spans="9:11" x14ac:dyDescent="0.3">
      <c r="I226">
        <v>2011</v>
      </c>
      <c r="J226">
        <v>1068083</v>
      </c>
      <c r="K226">
        <v>24843</v>
      </c>
    </row>
    <row r="227" spans="9:11" x14ac:dyDescent="0.3">
      <c r="I227">
        <v>2012</v>
      </c>
      <c r="J227">
        <v>1475767</v>
      </c>
      <c r="K227">
        <v>29941</v>
      </c>
    </row>
    <row r="255" spans="8:24" x14ac:dyDescent="0.3">
      <c r="H255" t="s">
        <v>311</v>
      </c>
      <c r="I255" t="s">
        <v>317</v>
      </c>
      <c r="J255" t="s">
        <v>312</v>
      </c>
      <c r="K255" t="s">
        <v>318</v>
      </c>
      <c r="L255" t="s">
        <v>313</v>
      </c>
      <c r="M255" t="s">
        <v>319</v>
      </c>
      <c r="N255" t="s">
        <v>314</v>
      </c>
      <c r="O255" t="s">
        <v>320</v>
      </c>
      <c r="P255" t="s">
        <v>315</v>
      </c>
      <c r="Q255" t="s">
        <v>321</v>
      </c>
      <c r="R255" t="s">
        <v>316</v>
      </c>
      <c r="S255" t="s">
        <v>322</v>
      </c>
      <c r="T255" t="s">
        <v>310</v>
      </c>
      <c r="U255" t="s">
        <v>323</v>
      </c>
      <c r="V255" t="s">
        <v>309</v>
      </c>
      <c r="W255" t="s">
        <v>5</v>
      </c>
      <c r="X255" t="s">
        <v>324</v>
      </c>
    </row>
    <row r="256" spans="8:24" x14ac:dyDescent="0.3">
      <c r="H256">
        <v>0</v>
      </c>
      <c r="I256">
        <v>0</v>
      </c>
      <c r="J256">
        <v>1</v>
      </c>
      <c r="K256">
        <v>220</v>
      </c>
      <c r="L256">
        <v>0</v>
      </c>
      <c r="M256">
        <v>0</v>
      </c>
      <c r="N256">
        <v>1</v>
      </c>
      <c r="O256">
        <v>108</v>
      </c>
      <c r="P256">
        <v>38</v>
      </c>
      <c r="Q256">
        <v>4104</v>
      </c>
      <c r="R256">
        <v>0</v>
      </c>
      <c r="S256">
        <v>0</v>
      </c>
      <c r="T256">
        <v>0</v>
      </c>
      <c r="U256">
        <v>0</v>
      </c>
      <c r="V256">
        <v>40</v>
      </c>
      <c r="W256" t="s">
        <v>10</v>
      </c>
      <c r="X256">
        <v>98</v>
      </c>
    </row>
    <row r="257" spans="8:24" x14ac:dyDescent="0.3"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12</v>
      </c>
      <c r="Q257">
        <v>4932</v>
      </c>
      <c r="R257">
        <v>0</v>
      </c>
      <c r="S257">
        <v>0</v>
      </c>
      <c r="T257">
        <v>0</v>
      </c>
      <c r="U257">
        <v>0</v>
      </c>
      <c r="V257">
        <v>12</v>
      </c>
      <c r="W257" t="s">
        <v>10</v>
      </c>
      <c r="X257">
        <v>96</v>
      </c>
    </row>
    <row r="258" spans="8:24" x14ac:dyDescent="0.3"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183.4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 t="s">
        <v>10</v>
      </c>
      <c r="X258">
        <v>93</v>
      </c>
    </row>
    <row r="259" spans="8:24" x14ac:dyDescent="0.3"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97</v>
      </c>
      <c r="X259">
        <v>93</v>
      </c>
    </row>
    <row r="260" spans="8:24" x14ac:dyDescent="0.3"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97</v>
      </c>
      <c r="X260">
        <v>99</v>
      </c>
    </row>
    <row r="261" spans="8:24" x14ac:dyDescent="0.3">
      <c r="H261">
        <v>2</v>
      </c>
      <c r="I261">
        <v>416.8</v>
      </c>
      <c r="J261">
        <v>34</v>
      </c>
      <c r="K261">
        <v>11296.8</v>
      </c>
      <c r="L261">
        <v>36</v>
      </c>
      <c r="M261">
        <v>7502.4000000000005</v>
      </c>
      <c r="N261">
        <v>2</v>
      </c>
      <c r="O261">
        <v>416.8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74</v>
      </c>
      <c r="W261" t="s">
        <v>10</v>
      </c>
      <c r="X261">
        <v>92</v>
      </c>
    </row>
    <row r="262" spans="8:24" x14ac:dyDescent="0.3">
      <c r="H262">
        <v>5</v>
      </c>
      <c r="I262">
        <v>690</v>
      </c>
      <c r="J262">
        <v>0</v>
      </c>
      <c r="K262">
        <v>-560</v>
      </c>
      <c r="L262">
        <v>0</v>
      </c>
      <c r="M262">
        <v>0</v>
      </c>
      <c r="N262">
        <v>2</v>
      </c>
      <c r="O262">
        <v>276</v>
      </c>
      <c r="P262">
        <v>52</v>
      </c>
      <c r="Q262">
        <v>7176</v>
      </c>
      <c r="R262">
        <v>0</v>
      </c>
      <c r="S262">
        <v>0</v>
      </c>
      <c r="T262">
        <v>0</v>
      </c>
      <c r="U262">
        <v>0</v>
      </c>
      <c r="V262">
        <v>59</v>
      </c>
      <c r="W262" t="s">
        <v>10</v>
      </c>
      <c r="X262">
        <v>95</v>
      </c>
    </row>
    <row r="263" spans="8:24" x14ac:dyDescent="0.3">
      <c r="H263">
        <v>5</v>
      </c>
      <c r="I263">
        <v>430</v>
      </c>
      <c r="J263">
        <v>7</v>
      </c>
      <c r="K263">
        <v>630</v>
      </c>
      <c r="L263">
        <v>3</v>
      </c>
      <c r="M263">
        <v>258</v>
      </c>
      <c r="N263">
        <v>8</v>
      </c>
      <c r="O263">
        <v>688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23</v>
      </c>
      <c r="W263" t="s">
        <v>144</v>
      </c>
      <c r="X263">
        <v>91</v>
      </c>
    </row>
    <row r="264" spans="8:24" x14ac:dyDescent="0.3">
      <c r="H264">
        <v>7</v>
      </c>
      <c r="I264">
        <v>2072</v>
      </c>
      <c r="J264">
        <v>2</v>
      </c>
      <c r="K264">
        <v>-178</v>
      </c>
      <c r="L264">
        <v>3</v>
      </c>
      <c r="M264">
        <v>888</v>
      </c>
      <c r="N264">
        <v>1</v>
      </c>
      <c r="O264">
        <v>296</v>
      </c>
      <c r="P264">
        <v>8</v>
      </c>
      <c r="Q264">
        <v>2368</v>
      </c>
      <c r="R264">
        <v>0</v>
      </c>
      <c r="S264">
        <v>0</v>
      </c>
      <c r="T264">
        <v>0</v>
      </c>
      <c r="U264">
        <v>0</v>
      </c>
      <c r="V264">
        <v>21</v>
      </c>
      <c r="W264" t="s">
        <v>10</v>
      </c>
      <c r="X264">
        <v>95</v>
      </c>
    </row>
    <row r="265" spans="8:24" x14ac:dyDescent="0.3">
      <c r="H265">
        <v>10</v>
      </c>
      <c r="I265">
        <v>432</v>
      </c>
      <c r="J265">
        <v>10</v>
      </c>
      <c r="K265">
        <v>432</v>
      </c>
      <c r="L265">
        <v>12</v>
      </c>
      <c r="M265">
        <v>518.40000000000009</v>
      </c>
      <c r="N265">
        <v>13</v>
      </c>
      <c r="O265">
        <v>561.6</v>
      </c>
      <c r="P265">
        <v>36</v>
      </c>
      <c r="Q265">
        <v>1555.2</v>
      </c>
      <c r="R265">
        <v>34</v>
      </c>
      <c r="S265">
        <v>1468.8000000000002</v>
      </c>
      <c r="T265">
        <v>0</v>
      </c>
      <c r="U265">
        <v>0</v>
      </c>
      <c r="V265">
        <v>115</v>
      </c>
      <c r="W265" t="s">
        <v>10</v>
      </c>
      <c r="X265">
        <v>98</v>
      </c>
    </row>
    <row r="266" spans="8:24" x14ac:dyDescent="0.3">
      <c r="H266">
        <v>10</v>
      </c>
      <c r="I266">
        <v>1004</v>
      </c>
      <c r="J266">
        <v>0</v>
      </c>
      <c r="K266">
        <v>-195.99999999999997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10</v>
      </c>
      <c r="W266" t="s">
        <v>144</v>
      </c>
      <c r="X266">
        <v>98</v>
      </c>
    </row>
    <row r="267" spans="8:24" x14ac:dyDescent="0.3">
      <c r="H267">
        <v>12</v>
      </c>
      <c r="I267">
        <v>2352</v>
      </c>
      <c r="J267">
        <v>12</v>
      </c>
      <c r="K267">
        <v>2352</v>
      </c>
      <c r="L267">
        <v>9</v>
      </c>
      <c r="M267">
        <v>1764</v>
      </c>
      <c r="N267">
        <v>10</v>
      </c>
      <c r="O267">
        <v>1960</v>
      </c>
      <c r="P267">
        <v>13</v>
      </c>
      <c r="Q267">
        <v>2548</v>
      </c>
      <c r="R267">
        <v>13</v>
      </c>
      <c r="S267">
        <v>2548</v>
      </c>
      <c r="T267">
        <v>15</v>
      </c>
      <c r="U267">
        <v>2940</v>
      </c>
      <c r="V267">
        <v>69</v>
      </c>
      <c r="W267" t="s">
        <v>144</v>
      </c>
      <c r="X267">
        <v>93</v>
      </c>
    </row>
    <row r="268" spans="8:24" x14ac:dyDescent="0.3">
      <c r="H268">
        <v>15</v>
      </c>
      <c r="I268">
        <v>1530</v>
      </c>
      <c r="J268">
        <v>15</v>
      </c>
      <c r="K268">
        <v>1530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30</v>
      </c>
      <c r="W268" t="s">
        <v>10</v>
      </c>
      <c r="X268">
        <v>94</v>
      </c>
    </row>
    <row r="269" spans="8:24" x14ac:dyDescent="0.3">
      <c r="H269">
        <v>15</v>
      </c>
      <c r="I269">
        <v>894</v>
      </c>
      <c r="J269">
        <v>15</v>
      </c>
      <c r="K269">
        <v>894</v>
      </c>
      <c r="L269">
        <v>7</v>
      </c>
      <c r="M269">
        <v>417.20000000000005</v>
      </c>
      <c r="N269">
        <v>8</v>
      </c>
      <c r="O269">
        <v>476.8</v>
      </c>
      <c r="P269">
        <v>27</v>
      </c>
      <c r="Q269">
        <v>1609.2</v>
      </c>
      <c r="R269">
        <v>12</v>
      </c>
      <c r="S269">
        <v>715.2</v>
      </c>
      <c r="T269">
        <v>177</v>
      </c>
      <c r="U269">
        <v>10549.2</v>
      </c>
      <c r="V269">
        <v>84</v>
      </c>
      <c r="W269" t="s">
        <v>10</v>
      </c>
      <c r="X269">
        <v>97</v>
      </c>
    </row>
    <row r="270" spans="8:24" x14ac:dyDescent="0.3">
      <c r="H270">
        <v>15</v>
      </c>
      <c r="I270">
        <v>2490</v>
      </c>
      <c r="J270">
        <v>10</v>
      </c>
      <c r="K270">
        <v>1240</v>
      </c>
      <c r="L270">
        <v>8</v>
      </c>
      <c r="M270">
        <v>1328</v>
      </c>
      <c r="N270">
        <v>10</v>
      </c>
      <c r="O270">
        <v>1660</v>
      </c>
      <c r="P270">
        <v>25</v>
      </c>
      <c r="Q270">
        <v>4150</v>
      </c>
      <c r="R270">
        <v>10</v>
      </c>
      <c r="S270">
        <v>1660</v>
      </c>
      <c r="T270">
        <v>3</v>
      </c>
      <c r="U270">
        <v>498</v>
      </c>
      <c r="V270">
        <v>78</v>
      </c>
      <c r="W270" t="s">
        <v>144</v>
      </c>
      <c r="X270">
        <v>96</v>
      </c>
    </row>
    <row r="271" spans="8:24" x14ac:dyDescent="0.3">
      <c r="H271">
        <v>15</v>
      </c>
      <c r="I271">
        <v>2490</v>
      </c>
      <c r="J271">
        <v>17</v>
      </c>
      <c r="K271">
        <v>2990</v>
      </c>
      <c r="L271">
        <v>15</v>
      </c>
      <c r="M271">
        <v>2490</v>
      </c>
      <c r="N271">
        <v>20</v>
      </c>
      <c r="O271">
        <v>3320</v>
      </c>
      <c r="P271">
        <v>35</v>
      </c>
      <c r="Q271">
        <v>5810</v>
      </c>
      <c r="R271">
        <v>24</v>
      </c>
      <c r="S271">
        <v>3984</v>
      </c>
      <c r="T271">
        <v>15</v>
      </c>
      <c r="U271">
        <v>2490</v>
      </c>
      <c r="V271">
        <v>126</v>
      </c>
      <c r="W271" t="s">
        <v>144</v>
      </c>
      <c r="X271">
        <v>90</v>
      </c>
    </row>
    <row r="272" spans="8:24" x14ac:dyDescent="0.3">
      <c r="H272">
        <v>19</v>
      </c>
      <c r="I272">
        <v>3838</v>
      </c>
      <c r="J272">
        <v>41</v>
      </c>
      <c r="K272">
        <v>10438</v>
      </c>
      <c r="L272">
        <v>40</v>
      </c>
      <c r="M272">
        <v>8080</v>
      </c>
      <c r="N272">
        <v>23</v>
      </c>
      <c r="O272">
        <v>4646</v>
      </c>
      <c r="P272">
        <v>70</v>
      </c>
      <c r="Q272">
        <v>14140</v>
      </c>
      <c r="R272">
        <v>22</v>
      </c>
      <c r="S272">
        <v>4444</v>
      </c>
      <c r="T272">
        <v>25</v>
      </c>
      <c r="U272">
        <v>5050</v>
      </c>
      <c r="V272">
        <v>215</v>
      </c>
      <c r="W272" t="s">
        <v>144</v>
      </c>
      <c r="X272">
        <v>97</v>
      </c>
    </row>
    <row r="273" spans="8:24" x14ac:dyDescent="0.3">
      <c r="H273">
        <v>20</v>
      </c>
      <c r="I273">
        <v>2320</v>
      </c>
      <c r="J273">
        <v>25</v>
      </c>
      <c r="K273">
        <v>3320</v>
      </c>
      <c r="L273">
        <v>60</v>
      </c>
      <c r="M273">
        <v>6960</v>
      </c>
      <c r="N273">
        <v>45</v>
      </c>
      <c r="O273">
        <v>5220</v>
      </c>
      <c r="P273">
        <v>55</v>
      </c>
      <c r="Q273">
        <v>6380</v>
      </c>
      <c r="R273">
        <v>130</v>
      </c>
      <c r="S273">
        <v>15080</v>
      </c>
      <c r="T273">
        <v>0</v>
      </c>
      <c r="U273">
        <v>0</v>
      </c>
      <c r="V273">
        <v>335</v>
      </c>
      <c r="W273" t="s">
        <v>144</v>
      </c>
      <c r="X273">
        <v>91</v>
      </c>
    </row>
    <row r="274" spans="8:24" x14ac:dyDescent="0.3">
      <c r="H274">
        <v>23</v>
      </c>
      <c r="I274">
        <v>4002.0000000000005</v>
      </c>
      <c r="J274">
        <v>20</v>
      </c>
      <c r="K274">
        <v>3102.0000000000005</v>
      </c>
      <c r="L274">
        <v>15</v>
      </c>
      <c r="M274">
        <v>2610</v>
      </c>
      <c r="N274">
        <v>10</v>
      </c>
      <c r="O274">
        <v>1740.0000000000002</v>
      </c>
      <c r="P274">
        <v>13</v>
      </c>
      <c r="Q274">
        <v>2262</v>
      </c>
      <c r="R274">
        <v>20</v>
      </c>
      <c r="S274">
        <v>3480.0000000000005</v>
      </c>
      <c r="T274">
        <v>15</v>
      </c>
      <c r="U274">
        <v>2610</v>
      </c>
      <c r="V274">
        <v>101</v>
      </c>
      <c r="W274" t="s">
        <v>144</v>
      </c>
      <c r="X274">
        <v>98</v>
      </c>
    </row>
    <row r="275" spans="8:24" x14ac:dyDescent="0.3">
      <c r="H275">
        <v>25</v>
      </c>
      <c r="I275">
        <v>5400</v>
      </c>
      <c r="J275">
        <v>30</v>
      </c>
      <c r="K275">
        <v>6900</v>
      </c>
      <c r="L275">
        <v>10</v>
      </c>
      <c r="M275">
        <v>2160</v>
      </c>
      <c r="N275">
        <v>20</v>
      </c>
      <c r="O275">
        <v>4320</v>
      </c>
      <c r="P275">
        <v>43</v>
      </c>
      <c r="Q275">
        <v>9288</v>
      </c>
      <c r="R275">
        <v>55</v>
      </c>
      <c r="S275">
        <v>11880</v>
      </c>
      <c r="T275">
        <v>10</v>
      </c>
      <c r="U275">
        <v>2160</v>
      </c>
      <c r="V275">
        <v>183</v>
      </c>
      <c r="W275" t="s">
        <v>144</v>
      </c>
      <c r="X275">
        <v>98</v>
      </c>
    </row>
    <row r="276" spans="8:24" x14ac:dyDescent="0.3">
      <c r="H276">
        <v>32</v>
      </c>
      <c r="I276">
        <v>1580.8000000000002</v>
      </c>
      <c r="J276">
        <v>20</v>
      </c>
      <c r="K276">
        <v>752.80000000000007</v>
      </c>
      <c r="L276">
        <v>24</v>
      </c>
      <c r="M276">
        <v>1185.5999999999999</v>
      </c>
      <c r="N276">
        <v>49</v>
      </c>
      <c r="O276">
        <v>2420.6000000000004</v>
      </c>
      <c r="P276">
        <v>40</v>
      </c>
      <c r="Q276">
        <v>1976</v>
      </c>
      <c r="R276">
        <v>69</v>
      </c>
      <c r="S276">
        <v>3408.6000000000004</v>
      </c>
      <c r="T276">
        <v>59</v>
      </c>
      <c r="U276">
        <v>2914.6000000000004</v>
      </c>
      <c r="V276">
        <v>234</v>
      </c>
      <c r="W276" t="s">
        <v>10</v>
      </c>
      <c r="X276">
        <v>94</v>
      </c>
    </row>
    <row r="277" spans="8:24" x14ac:dyDescent="0.3">
      <c r="H277">
        <v>35</v>
      </c>
      <c r="I277">
        <v>6860</v>
      </c>
      <c r="J277">
        <v>55</v>
      </c>
      <c r="K277">
        <v>12460</v>
      </c>
      <c r="L277">
        <v>2</v>
      </c>
      <c r="M277">
        <v>392</v>
      </c>
      <c r="N277">
        <v>10</v>
      </c>
      <c r="O277">
        <v>1960</v>
      </c>
      <c r="P277">
        <v>62</v>
      </c>
      <c r="Q277">
        <v>12152</v>
      </c>
      <c r="R277">
        <v>57</v>
      </c>
      <c r="S277">
        <v>11172</v>
      </c>
      <c r="T277">
        <v>315</v>
      </c>
      <c r="U277">
        <v>61740</v>
      </c>
      <c r="V277">
        <v>221</v>
      </c>
      <c r="W277" t="s">
        <v>144</v>
      </c>
      <c r="X277">
        <v>92</v>
      </c>
    </row>
    <row r="278" spans="8:24" x14ac:dyDescent="0.3">
      <c r="H278">
        <v>36</v>
      </c>
      <c r="I278">
        <v>7956</v>
      </c>
      <c r="J278">
        <v>40</v>
      </c>
      <c r="K278">
        <v>9456</v>
      </c>
      <c r="L278">
        <v>45</v>
      </c>
      <c r="M278">
        <v>9945</v>
      </c>
      <c r="N278">
        <v>141</v>
      </c>
      <c r="O278">
        <v>31161</v>
      </c>
      <c r="P278">
        <v>156</v>
      </c>
      <c r="Q278">
        <v>34476</v>
      </c>
      <c r="R278">
        <v>73</v>
      </c>
      <c r="S278">
        <v>16133</v>
      </c>
      <c r="T278">
        <v>39</v>
      </c>
      <c r="U278">
        <v>8619</v>
      </c>
      <c r="V278">
        <v>491</v>
      </c>
      <c r="W278" t="s">
        <v>10</v>
      </c>
      <c r="X278">
        <v>92</v>
      </c>
    </row>
    <row r="279" spans="8:24" x14ac:dyDescent="0.3">
      <c r="H279">
        <v>36</v>
      </c>
      <c r="I279">
        <v>900</v>
      </c>
      <c r="J279">
        <v>49</v>
      </c>
      <c r="K279">
        <v>1407</v>
      </c>
      <c r="L279">
        <v>38</v>
      </c>
      <c r="M279">
        <v>950</v>
      </c>
      <c r="N279">
        <v>69</v>
      </c>
      <c r="O279">
        <v>1725</v>
      </c>
      <c r="P279">
        <v>39</v>
      </c>
      <c r="Q279">
        <v>975</v>
      </c>
      <c r="R279">
        <v>46</v>
      </c>
      <c r="S279">
        <v>1150</v>
      </c>
      <c r="T279">
        <v>8</v>
      </c>
      <c r="U279">
        <v>200</v>
      </c>
      <c r="V279">
        <v>277</v>
      </c>
      <c r="W279" t="s">
        <v>10</v>
      </c>
      <c r="X279">
        <v>94</v>
      </c>
    </row>
    <row r="280" spans="8:24" x14ac:dyDescent="0.3">
      <c r="H280">
        <v>38</v>
      </c>
      <c r="I280">
        <v>3876</v>
      </c>
      <c r="J280">
        <v>16</v>
      </c>
      <c r="K280">
        <v>1016</v>
      </c>
      <c r="L280">
        <v>36</v>
      </c>
      <c r="M280">
        <v>3672</v>
      </c>
      <c r="N280">
        <v>79</v>
      </c>
      <c r="O280">
        <v>8058</v>
      </c>
      <c r="P280">
        <v>23</v>
      </c>
      <c r="Q280">
        <v>2346</v>
      </c>
      <c r="R280">
        <v>78</v>
      </c>
      <c r="S280">
        <v>7956</v>
      </c>
      <c r="T280">
        <v>124</v>
      </c>
      <c r="U280">
        <v>12648</v>
      </c>
      <c r="V280">
        <v>270</v>
      </c>
      <c r="W280" t="s">
        <v>10</v>
      </c>
      <c r="X280">
        <v>97</v>
      </c>
    </row>
    <row r="281" spans="8:24" x14ac:dyDescent="0.3">
      <c r="H281">
        <v>40</v>
      </c>
      <c r="I281">
        <v>4400</v>
      </c>
      <c r="J281">
        <v>30</v>
      </c>
      <c r="K281">
        <v>2600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70</v>
      </c>
      <c r="W281" t="s">
        <v>144</v>
      </c>
      <c r="X281">
        <v>91</v>
      </c>
    </row>
    <row r="282" spans="8:24" x14ac:dyDescent="0.3">
      <c r="H282">
        <v>41</v>
      </c>
      <c r="I282">
        <v>10127</v>
      </c>
      <c r="J282">
        <v>106</v>
      </c>
      <c r="K282">
        <v>33462</v>
      </c>
      <c r="L282">
        <v>81</v>
      </c>
      <c r="M282">
        <v>20007</v>
      </c>
      <c r="N282">
        <v>215</v>
      </c>
      <c r="O282">
        <v>53105</v>
      </c>
      <c r="P282">
        <v>255</v>
      </c>
      <c r="Q282">
        <v>62985</v>
      </c>
      <c r="R282">
        <v>72</v>
      </c>
      <c r="S282">
        <v>17784</v>
      </c>
      <c r="T282">
        <v>21</v>
      </c>
      <c r="U282">
        <v>5187</v>
      </c>
      <c r="V282">
        <v>770</v>
      </c>
      <c r="W282" t="s">
        <v>10</v>
      </c>
      <c r="X282">
        <v>93</v>
      </c>
    </row>
    <row r="283" spans="8:24" x14ac:dyDescent="0.3">
      <c r="H283">
        <v>41</v>
      </c>
      <c r="I283">
        <v>1123.4000000000001</v>
      </c>
      <c r="J283">
        <v>68</v>
      </c>
      <c r="K283">
        <v>2203.4</v>
      </c>
      <c r="L283">
        <v>183</v>
      </c>
      <c r="M283">
        <v>5014.2000000000007</v>
      </c>
      <c r="N283">
        <v>73</v>
      </c>
      <c r="O283">
        <v>2000.2</v>
      </c>
      <c r="P283">
        <v>79</v>
      </c>
      <c r="Q283">
        <v>2164.6</v>
      </c>
      <c r="R283">
        <v>314</v>
      </c>
      <c r="S283">
        <v>8603.6</v>
      </c>
      <c r="T283">
        <v>156</v>
      </c>
      <c r="U283">
        <v>4274.3999999999996</v>
      </c>
      <c r="V283">
        <v>758</v>
      </c>
      <c r="W283" t="s">
        <v>10</v>
      </c>
      <c r="X283">
        <v>97</v>
      </c>
    </row>
    <row r="284" spans="8:24" x14ac:dyDescent="0.3">
      <c r="H284">
        <v>45</v>
      </c>
      <c r="I284">
        <v>2682</v>
      </c>
      <c r="J284">
        <v>3</v>
      </c>
      <c r="K284">
        <v>-467.99999999999989</v>
      </c>
      <c r="L284">
        <v>10</v>
      </c>
      <c r="M284">
        <v>596</v>
      </c>
      <c r="N284">
        <v>21</v>
      </c>
      <c r="O284">
        <v>1251.5999999999999</v>
      </c>
      <c r="P284">
        <v>1</v>
      </c>
      <c r="Q284">
        <v>59.6</v>
      </c>
      <c r="R284">
        <v>40</v>
      </c>
      <c r="S284">
        <v>2384</v>
      </c>
      <c r="T284">
        <v>41</v>
      </c>
      <c r="U284">
        <v>2443.6</v>
      </c>
      <c r="V284">
        <v>120</v>
      </c>
      <c r="W284" t="s">
        <v>10</v>
      </c>
      <c r="X284">
        <v>91</v>
      </c>
    </row>
    <row r="285" spans="8:24" x14ac:dyDescent="0.3">
      <c r="H285">
        <v>45</v>
      </c>
      <c r="I285">
        <v>4617</v>
      </c>
      <c r="J285">
        <v>50</v>
      </c>
      <c r="K285">
        <v>5242</v>
      </c>
      <c r="L285">
        <v>80</v>
      </c>
      <c r="M285">
        <v>8208</v>
      </c>
      <c r="N285">
        <v>50</v>
      </c>
      <c r="O285">
        <v>5130</v>
      </c>
      <c r="P285">
        <v>120</v>
      </c>
      <c r="Q285">
        <v>12312</v>
      </c>
      <c r="R285">
        <v>103</v>
      </c>
      <c r="S285">
        <v>10567.8</v>
      </c>
      <c r="T285">
        <v>69</v>
      </c>
      <c r="U285">
        <v>7079.4</v>
      </c>
      <c r="V285">
        <v>448</v>
      </c>
      <c r="W285" t="s">
        <v>144</v>
      </c>
      <c r="X285">
        <v>100</v>
      </c>
    </row>
    <row r="286" spans="8:24" x14ac:dyDescent="0.3">
      <c r="H286">
        <v>51</v>
      </c>
      <c r="I286">
        <v>20502</v>
      </c>
      <c r="J286">
        <v>78</v>
      </c>
      <c r="K286">
        <v>36270</v>
      </c>
      <c r="L286">
        <v>193</v>
      </c>
      <c r="M286">
        <v>77586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322</v>
      </c>
      <c r="W286" t="s">
        <v>10</v>
      </c>
      <c r="X286">
        <v>94</v>
      </c>
    </row>
    <row r="287" spans="8:24" x14ac:dyDescent="0.3">
      <c r="H287">
        <v>58</v>
      </c>
      <c r="I287">
        <v>21808</v>
      </c>
      <c r="J287">
        <v>75</v>
      </c>
      <c r="K287">
        <v>30818</v>
      </c>
      <c r="L287">
        <v>39</v>
      </c>
      <c r="M287">
        <v>14664</v>
      </c>
      <c r="N287">
        <v>16</v>
      </c>
      <c r="O287">
        <v>6016</v>
      </c>
      <c r="P287">
        <v>21</v>
      </c>
      <c r="Q287">
        <v>7896</v>
      </c>
      <c r="R287">
        <v>60</v>
      </c>
      <c r="S287">
        <v>22560</v>
      </c>
      <c r="T287">
        <v>64</v>
      </c>
      <c r="U287">
        <v>24064</v>
      </c>
      <c r="V287">
        <v>269</v>
      </c>
      <c r="W287" t="s">
        <v>10</v>
      </c>
      <c r="X287">
        <v>100</v>
      </c>
    </row>
    <row r="288" spans="8:24" x14ac:dyDescent="0.3">
      <c r="H288">
        <v>60</v>
      </c>
      <c r="I288">
        <v>2556</v>
      </c>
      <c r="J288">
        <v>68</v>
      </c>
      <c r="K288">
        <v>3076</v>
      </c>
      <c r="L288">
        <v>315</v>
      </c>
      <c r="M288">
        <v>13419</v>
      </c>
      <c r="N288">
        <v>56</v>
      </c>
      <c r="O288">
        <v>2385.6000000000004</v>
      </c>
      <c r="P288">
        <v>132</v>
      </c>
      <c r="Q288">
        <v>5623.2000000000007</v>
      </c>
      <c r="R288">
        <v>160</v>
      </c>
      <c r="S288">
        <v>6816</v>
      </c>
      <c r="T288">
        <v>168</v>
      </c>
      <c r="U288">
        <v>7156.8</v>
      </c>
      <c r="V288">
        <v>791</v>
      </c>
      <c r="W288" t="s">
        <v>10</v>
      </c>
      <c r="X288">
        <v>99</v>
      </c>
    </row>
    <row r="289" spans="8:24" x14ac:dyDescent="0.3">
      <c r="H289">
        <v>61</v>
      </c>
      <c r="I289">
        <v>2562</v>
      </c>
      <c r="J289">
        <v>97</v>
      </c>
      <c r="K289">
        <v>4578</v>
      </c>
      <c r="L289">
        <v>29</v>
      </c>
      <c r="M289">
        <v>1218</v>
      </c>
      <c r="N289">
        <v>91</v>
      </c>
      <c r="O289">
        <v>3822</v>
      </c>
      <c r="P289">
        <v>62</v>
      </c>
      <c r="Q289">
        <v>2604</v>
      </c>
      <c r="R289">
        <v>419</v>
      </c>
      <c r="S289">
        <v>17598</v>
      </c>
      <c r="T289">
        <v>37</v>
      </c>
      <c r="U289">
        <v>1554</v>
      </c>
      <c r="V289">
        <v>759</v>
      </c>
      <c r="W289" t="s">
        <v>10</v>
      </c>
      <c r="X289">
        <v>96</v>
      </c>
    </row>
    <row r="290" spans="8:24" x14ac:dyDescent="0.3">
      <c r="H290">
        <v>62</v>
      </c>
      <c r="I290">
        <v>1562.4</v>
      </c>
      <c r="J290">
        <v>36</v>
      </c>
      <c r="K290">
        <v>652.40000000000009</v>
      </c>
      <c r="L290">
        <v>46</v>
      </c>
      <c r="M290">
        <v>1159.2</v>
      </c>
      <c r="N290">
        <v>34</v>
      </c>
      <c r="O290">
        <v>856.8</v>
      </c>
      <c r="P290">
        <v>1</v>
      </c>
      <c r="Q290">
        <v>25.200000000000003</v>
      </c>
      <c r="R290">
        <v>1</v>
      </c>
      <c r="S290">
        <v>25.200000000000003</v>
      </c>
      <c r="T290">
        <v>4</v>
      </c>
      <c r="U290">
        <v>100.80000000000001</v>
      </c>
      <c r="V290">
        <v>180</v>
      </c>
      <c r="W290" t="s">
        <v>10</v>
      </c>
      <c r="X290">
        <v>100</v>
      </c>
    </row>
    <row r="291" spans="8:24" x14ac:dyDescent="0.3">
      <c r="H291">
        <v>65</v>
      </c>
      <c r="I291">
        <v>1885</v>
      </c>
      <c r="J291">
        <v>50</v>
      </c>
      <c r="K291">
        <v>400</v>
      </c>
      <c r="L291">
        <v>95</v>
      </c>
      <c r="M291">
        <v>2755</v>
      </c>
      <c r="N291">
        <v>89</v>
      </c>
      <c r="O291">
        <v>2581</v>
      </c>
      <c r="P291">
        <v>66</v>
      </c>
      <c r="Q291">
        <v>1914</v>
      </c>
      <c r="R291">
        <v>30</v>
      </c>
      <c r="S291">
        <v>870</v>
      </c>
      <c r="T291">
        <v>0</v>
      </c>
      <c r="U291">
        <v>0</v>
      </c>
      <c r="V291">
        <v>395</v>
      </c>
      <c r="W291" t="s">
        <v>144</v>
      </c>
      <c r="X291">
        <v>93</v>
      </c>
    </row>
    <row r="292" spans="8:24" x14ac:dyDescent="0.3">
      <c r="H292">
        <v>70</v>
      </c>
      <c r="I292">
        <v>11620</v>
      </c>
      <c r="J292">
        <v>55</v>
      </c>
      <c r="K292">
        <v>7870</v>
      </c>
      <c r="L292">
        <v>30</v>
      </c>
      <c r="M292">
        <v>4980</v>
      </c>
      <c r="N292">
        <v>55</v>
      </c>
      <c r="O292">
        <v>9130</v>
      </c>
      <c r="P292">
        <v>168</v>
      </c>
      <c r="Q292">
        <v>27888</v>
      </c>
      <c r="R292">
        <v>213</v>
      </c>
      <c r="S292">
        <v>35358</v>
      </c>
      <c r="T292">
        <v>230</v>
      </c>
      <c r="U292">
        <v>38180</v>
      </c>
      <c r="V292">
        <v>591</v>
      </c>
      <c r="W292" t="s">
        <v>144</v>
      </c>
      <c r="X292">
        <v>90</v>
      </c>
    </row>
    <row r="293" spans="8:24" x14ac:dyDescent="0.3">
      <c r="H293">
        <v>80</v>
      </c>
      <c r="I293">
        <v>1584</v>
      </c>
      <c r="J293">
        <v>71</v>
      </c>
      <c r="K293">
        <v>1179</v>
      </c>
      <c r="L293">
        <v>200</v>
      </c>
      <c r="M293">
        <v>3960</v>
      </c>
      <c r="N293">
        <v>114</v>
      </c>
      <c r="O293">
        <v>2257.2000000000003</v>
      </c>
      <c r="P293">
        <v>210</v>
      </c>
      <c r="Q293">
        <v>4158</v>
      </c>
      <c r="R293">
        <v>116</v>
      </c>
      <c r="S293">
        <v>2296.8000000000002</v>
      </c>
      <c r="T293">
        <v>408</v>
      </c>
      <c r="U293">
        <v>8078.4</v>
      </c>
      <c r="V293">
        <v>791</v>
      </c>
      <c r="W293" t="s">
        <v>10</v>
      </c>
      <c r="X293">
        <v>97</v>
      </c>
    </row>
    <row r="294" spans="8:24" x14ac:dyDescent="0.3">
      <c r="H294">
        <v>85</v>
      </c>
      <c r="I294">
        <v>9622</v>
      </c>
      <c r="J294">
        <v>34</v>
      </c>
      <c r="K294">
        <v>2992</v>
      </c>
      <c r="L294">
        <v>33</v>
      </c>
      <c r="M294">
        <v>3735.6000000000004</v>
      </c>
      <c r="N294">
        <v>10</v>
      </c>
      <c r="O294">
        <v>1132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162</v>
      </c>
      <c r="W294" t="s">
        <v>144</v>
      </c>
      <c r="X294">
        <v>92</v>
      </c>
    </row>
    <row r="295" spans="8:24" x14ac:dyDescent="0.3">
      <c r="H295">
        <v>94</v>
      </c>
      <c r="I295">
        <v>3478</v>
      </c>
      <c r="J295">
        <v>138</v>
      </c>
      <c r="K295">
        <v>6030</v>
      </c>
      <c r="L295">
        <v>124</v>
      </c>
      <c r="M295">
        <v>4588</v>
      </c>
      <c r="N295">
        <v>72</v>
      </c>
      <c r="O295">
        <v>2664</v>
      </c>
      <c r="P295">
        <v>10</v>
      </c>
      <c r="Q295">
        <v>370</v>
      </c>
      <c r="R295">
        <v>0</v>
      </c>
      <c r="S295">
        <v>0</v>
      </c>
      <c r="T295">
        <v>0</v>
      </c>
      <c r="U295">
        <v>0</v>
      </c>
      <c r="V295">
        <v>438</v>
      </c>
      <c r="W295" t="s">
        <v>10</v>
      </c>
      <c r="X295">
        <v>99</v>
      </c>
    </row>
    <row r="296" spans="8:24" x14ac:dyDescent="0.3">
      <c r="H296">
        <v>112</v>
      </c>
      <c r="I296">
        <v>9744</v>
      </c>
      <c r="J296">
        <v>98</v>
      </c>
      <c r="K296">
        <v>7154</v>
      </c>
      <c r="L296">
        <v>92</v>
      </c>
      <c r="M296">
        <v>8004</v>
      </c>
      <c r="N296">
        <v>235</v>
      </c>
      <c r="O296">
        <v>20445</v>
      </c>
      <c r="P296">
        <v>176</v>
      </c>
      <c r="Q296">
        <v>15312</v>
      </c>
      <c r="R296">
        <v>88</v>
      </c>
      <c r="S296">
        <v>7656</v>
      </c>
      <c r="T296">
        <v>28</v>
      </c>
      <c r="U296">
        <v>2436</v>
      </c>
      <c r="V296">
        <v>801</v>
      </c>
      <c r="W296" t="s">
        <v>10</v>
      </c>
      <c r="X296">
        <v>97</v>
      </c>
    </row>
    <row r="297" spans="8:24" x14ac:dyDescent="0.3">
      <c r="H297">
        <v>116</v>
      </c>
      <c r="I297">
        <v>4292</v>
      </c>
      <c r="J297">
        <v>164</v>
      </c>
      <c r="K297">
        <v>10772</v>
      </c>
      <c r="L297">
        <v>319</v>
      </c>
      <c r="M297">
        <v>11803</v>
      </c>
      <c r="N297">
        <v>251</v>
      </c>
      <c r="O297">
        <v>9287</v>
      </c>
      <c r="P297">
        <v>207</v>
      </c>
      <c r="Q297">
        <v>7659</v>
      </c>
      <c r="R297">
        <v>182</v>
      </c>
      <c r="S297">
        <v>6734</v>
      </c>
      <c r="T297">
        <v>54</v>
      </c>
      <c r="U297">
        <v>1998</v>
      </c>
      <c r="V297">
        <v>1239</v>
      </c>
      <c r="W297" t="s">
        <v>10</v>
      </c>
      <c r="X297">
        <v>96</v>
      </c>
    </row>
    <row r="298" spans="8:24" x14ac:dyDescent="0.3">
      <c r="H298">
        <v>124</v>
      </c>
      <c r="I298">
        <v>3124.8</v>
      </c>
      <c r="J298">
        <v>4</v>
      </c>
      <c r="K298">
        <v>-1075.1999999999998</v>
      </c>
      <c r="L298">
        <v>127</v>
      </c>
      <c r="M298">
        <v>3200.4</v>
      </c>
      <c r="N298">
        <v>35</v>
      </c>
      <c r="O298">
        <v>882</v>
      </c>
      <c r="P298">
        <v>38</v>
      </c>
      <c r="Q298">
        <v>957.6</v>
      </c>
      <c r="R298">
        <v>12</v>
      </c>
      <c r="S298">
        <v>302.39999999999998</v>
      </c>
      <c r="T298">
        <v>0</v>
      </c>
      <c r="U298">
        <v>0</v>
      </c>
      <c r="V298">
        <v>340</v>
      </c>
      <c r="W298" t="s">
        <v>10</v>
      </c>
      <c r="X298">
        <v>97</v>
      </c>
    </row>
    <row r="299" spans="8:24" x14ac:dyDescent="0.3">
      <c r="H299">
        <v>163</v>
      </c>
      <c r="I299">
        <v>6943.8</v>
      </c>
      <c r="J299">
        <v>33</v>
      </c>
      <c r="K299">
        <v>-1506.1999999999998</v>
      </c>
      <c r="L299">
        <v>68</v>
      </c>
      <c r="M299">
        <v>2896.8</v>
      </c>
      <c r="N299">
        <v>32</v>
      </c>
      <c r="O299">
        <v>1363.2</v>
      </c>
      <c r="P299">
        <v>138</v>
      </c>
      <c r="Q299">
        <v>5878.8</v>
      </c>
      <c r="R299">
        <v>386</v>
      </c>
      <c r="S299">
        <v>16443.599999999999</v>
      </c>
      <c r="T299">
        <v>233</v>
      </c>
      <c r="U299">
        <v>9925.7999999999993</v>
      </c>
      <c r="V299">
        <v>820</v>
      </c>
      <c r="W299" t="s">
        <v>10</v>
      </c>
      <c r="X299">
        <v>91</v>
      </c>
    </row>
    <row r="300" spans="8:24" x14ac:dyDescent="0.3">
      <c r="H300">
        <v>200</v>
      </c>
      <c r="I300">
        <v>5400</v>
      </c>
      <c r="J300">
        <v>233</v>
      </c>
      <c r="K300">
        <v>7215</v>
      </c>
      <c r="L300">
        <v>150</v>
      </c>
      <c r="M300">
        <v>4050</v>
      </c>
      <c r="N300">
        <v>200</v>
      </c>
      <c r="O300">
        <v>5400</v>
      </c>
      <c r="P300">
        <v>148</v>
      </c>
      <c r="Q300">
        <v>3996</v>
      </c>
      <c r="R300">
        <v>150</v>
      </c>
      <c r="S300">
        <v>4050</v>
      </c>
      <c r="T300">
        <v>170</v>
      </c>
      <c r="U300">
        <v>4590</v>
      </c>
      <c r="V300">
        <v>1081</v>
      </c>
      <c r="W300" t="s">
        <v>144</v>
      </c>
      <c r="X300">
        <v>96</v>
      </c>
    </row>
    <row r="301" spans="8:24" x14ac:dyDescent="0.3">
      <c r="H301">
        <v>230</v>
      </c>
      <c r="I301">
        <v>21620</v>
      </c>
      <c r="J301">
        <v>215</v>
      </c>
      <c r="K301">
        <v>19370</v>
      </c>
      <c r="L301">
        <v>150</v>
      </c>
      <c r="M301">
        <v>14100</v>
      </c>
      <c r="N301">
        <v>20</v>
      </c>
      <c r="O301">
        <v>1880</v>
      </c>
      <c r="P301">
        <v>80</v>
      </c>
      <c r="Q301">
        <v>7520</v>
      </c>
      <c r="R301">
        <v>40</v>
      </c>
      <c r="S301">
        <v>3760</v>
      </c>
      <c r="T301">
        <v>50</v>
      </c>
      <c r="U301">
        <v>4700</v>
      </c>
      <c r="V301">
        <v>735</v>
      </c>
      <c r="W301" t="s">
        <v>144</v>
      </c>
      <c r="X301">
        <v>97</v>
      </c>
    </row>
    <row r="302" spans="8:24" x14ac:dyDescent="0.3">
      <c r="H302">
        <v>268</v>
      </c>
      <c r="I302">
        <v>19028</v>
      </c>
      <c r="J302">
        <v>253</v>
      </c>
      <c r="K302">
        <v>17753</v>
      </c>
      <c r="L302">
        <v>178</v>
      </c>
      <c r="M302">
        <v>12638</v>
      </c>
      <c r="N302">
        <v>360</v>
      </c>
      <c r="O302">
        <v>25560</v>
      </c>
      <c r="P302">
        <v>816</v>
      </c>
      <c r="Q302">
        <v>57936</v>
      </c>
      <c r="R302">
        <v>410</v>
      </c>
      <c r="S302">
        <v>29110</v>
      </c>
      <c r="T302">
        <v>301</v>
      </c>
      <c r="U302">
        <v>21371</v>
      </c>
      <c r="V302">
        <v>2285</v>
      </c>
      <c r="W302" t="s">
        <v>10</v>
      </c>
      <c r="X302">
        <v>93</v>
      </c>
    </row>
    <row r="303" spans="8:24" x14ac:dyDescent="0.3">
      <c r="H303">
        <v>299</v>
      </c>
      <c r="I303">
        <v>5441.8</v>
      </c>
      <c r="J303">
        <v>83</v>
      </c>
      <c r="K303">
        <v>-606.19999999999982</v>
      </c>
      <c r="L303">
        <v>176</v>
      </c>
      <c r="M303">
        <v>3203.2000000000003</v>
      </c>
      <c r="N303">
        <v>400</v>
      </c>
      <c r="O303">
        <v>7280</v>
      </c>
      <c r="P303">
        <v>427</v>
      </c>
      <c r="Q303">
        <v>7771.4000000000005</v>
      </c>
      <c r="R303">
        <v>459</v>
      </c>
      <c r="S303">
        <v>8353.7999999999993</v>
      </c>
      <c r="T303">
        <v>369</v>
      </c>
      <c r="U303">
        <v>6715.8</v>
      </c>
      <c r="V303">
        <v>1844</v>
      </c>
      <c r="W303" t="s">
        <v>10</v>
      </c>
      <c r="X303">
        <v>99</v>
      </c>
    </row>
    <row r="304" spans="8:24" x14ac:dyDescent="0.3">
      <c r="H304">
        <v>315</v>
      </c>
      <c r="I304">
        <v>13041.000000000002</v>
      </c>
      <c r="J304">
        <v>467</v>
      </c>
      <c r="K304">
        <v>24441</v>
      </c>
      <c r="L304">
        <v>580</v>
      </c>
      <c r="M304">
        <v>24012.000000000004</v>
      </c>
      <c r="N304">
        <v>443</v>
      </c>
      <c r="O304">
        <v>18340.200000000004</v>
      </c>
      <c r="P304">
        <v>521</v>
      </c>
      <c r="Q304">
        <v>21569.4</v>
      </c>
      <c r="R304">
        <v>342</v>
      </c>
      <c r="S304">
        <v>14158.800000000001</v>
      </c>
      <c r="T304">
        <v>155</v>
      </c>
      <c r="U304">
        <v>6417.0000000000009</v>
      </c>
      <c r="V304">
        <v>2668</v>
      </c>
      <c r="W304" t="s">
        <v>144</v>
      </c>
      <c r="X304">
        <v>96</v>
      </c>
    </row>
    <row r="305" spans="8:24" x14ac:dyDescent="0.3">
      <c r="H305">
        <v>332</v>
      </c>
      <c r="I305">
        <v>12881.6</v>
      </c>
      <c r="J305">
        <v>280</v>
      </c>
      <c r="K305">
        <v>10281.6</v>
      </c>
      <c r="L305">
        <v>309</v>
      </c>
      <c r="M305">
        <v>11989.2</v>
      </c>
      <c r="N305">
        <v>280</v>
      </c>
      <c r="O305">
        <v>10864</v>
      </c>
      <c r="P305">
        <v>255</v>
      </c>
      <c r="Q305">
        <v>9894</v>
      </c>
      <c r="R305">
        <v>244</v>
      </c>
      <c r="S305">
        <v>9467.2000000000007</v>
      </c>
      <c r="T305">
        <v>158</v>
      </c>
      <c r="U305">
        <v>6130.4</v>
      </c>
      <c r="V305">
        <v>1700</v>
      </c>
      <c r="W305" t="s">
        <v>144</v>
      </c>
      <c r="X305">
        <v>94</v>
      </c>
    </row>
    <row r="306" spans="8:24" x14ac:dyDescent="0.3">
      <c r="H306">
        <v>382</v>
      </c>
      <c r="I306">
        <v>5806.4000000000005</v>
      </c>
      <c r="J306">
        <v>425</v>
      </c>
      <c r="K306">
        <v>6881.4000000000005</v>
      </c>
      <c r="L306">
        <v>323</v>
      </c>
      <c r="M306">
        <v>4909.6000000000004</v>
      </c>
      <c r="N306">
        <v>238</v>
      </c>
      <c r="O306">
        <v>3617.6000000000004</v>
      </c>
      <c r="P306">
        <v>484</v>
      </c>
      <c r="Q306">
        <v>7356.8</v>
      </c>
      <c r="R306">
        <v>394</v>
      </c>
      <c r="S306">
        <v>5988.8000000000011</v>
      </c>
      <c r="T306">
        <v>213</v>
      </c>
      <c r="U306">
        <v>3237.6000000000004</v>
      </c>
      <c r="V306">
        <v>2246</v>
      </c>
      <c r="W306" t="s">
        <v>10</v>
      </c>
      <c r="X306">
        <v>97</v>
      </c>
    </row>
    <row r="307" spans="8:24" x14ac:dyDescent="0.3">
      <c r="H307">
        <v>405</v>
      </c>
      <c r="I307">
        <v>9396</v>
      </c>
      <c r="J307">
        <v>534</v>
      </c>
      <c r="K307">
        <v>14556</v>
      </c>
      <c r="L307">
        <v>987</v>
      </c>
      <c r="M307">
        <v>22898.400000000001</v>
      </c>
      <c r="N307">
        <v>1917</v>
      </c>
      <c r="O307">
        <v>44474.400000000009</v>
      </c>
      <c r="P307">
        <v>1047</v>
      </c>
      <c r="Q307">
        <v>24290.400000000001</v>
      </c>
      <c r="R307">
        <v>326</v>
      </c>
      <c r="S307">
        <v>7563.2000000000007</v>
      </c>
      <c r="T307">
        <v>857</v>
      </c>
      <c r="U307">
        <v>19882.400000000001</v>
      </c>
      <c r="V307">
        <v>5216</v>
      </c>
      <c r="W307" t="s">
        <v>10</v>
      </c>
      <c r="X307">
        <v>92</v>
      </c>
    </row>
    <row r="308" spans="8:24" x14ac:dyDescent="0.3">
      <c r="H308">
        <v>487</v>
      </c>
      <c r="I308">
        <v>164606</v>
      </c>
      <c r="J308">
        <v>450</v>
      </c>
      <c r="K308">
        <v>147956</v>
      </c>
      <c r="L308">
        <v>954</v>
      </c>
      <c r="M308">
        <v>322452</v>
      </c>
      <c r="N308">
        <v>25</v>
      </c>
      <c r="O308">
        <v>8450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1916</v>
      </c>
      <c r="W308" t="s">
        <v>144</v>
      </c>
      <c r="X308">
        <v>90</v>
      </c>
    </row>
    <row r="309" spans="8:24" x14ac:dyDescent="0.3">
      <c r="H309">
        <v>527</v>
      </c>
      <c r="I309">
        <v>11067</v>
      </c>
      <c r="J309">
        <v>203</v>
      </c>
      <c r="K309">
        <v>-273</v>
      </c>
      <c r="L309">
        <v>395</v>
      </c>
      <c r="M309">
        <v>8295</v>
      </c>
      <c r="N309">
        <v>499</v>
      </c>
      <c r="O309">
        <v>10479</v>
      </c>
      <c r="P309">
        <v>915</v>
      </c>
      <c r="Q309">
        <v>19215</v>
      </c>
      <c r="R309">
        <v>230</v>
      </c>
      <c r="S309">
        <v>4830</v>
      </c>
      <c r="T309">
        <v>532</v>
      </c>
      <c r="U309">
        <v>11172</v>
      </c>
      <c r="V309">
        <v>2769</v>
      </c>
      <c r="W309" t="s">
        <v>10</v>
      </c>
      <c r="X309">
        <v>91</v>
      </c>
    </row>
    <row r="310" spans="8:24" x14ac:dyDescent="0.3">
      <c r="H310">
        <v>604</v>
      </c>
      <c r="I310">
        <v>9180.8000000000011</v>
      </c>
      <c r="J310">
        <v>339</v>
      </c>
      <c r="K310">
        <v>2555.8000000000011</v>
      </c>
      <c r="L310">
        <v>853</v>
      </c>
      <c r="M310">
        <v>12965.6</v>
      </c>
      <c r="N310">
        <v>2331</v>
      </c>
      <c r="O310">
        <v>35431.199999999997</v>
      </c>
      <c r="P310">
        <v>1049</v>
      </c>
      <c r="Q310">
        <v>15944.800000000001</v>
      </c>
      <c r="R310">
        <v>326</v>
      </c>
      <c r="S310">
        <v>4955.2000000000007</v>
      </c>
      <c r="T310">
        <v>708</v>
      </c>
      <c r="U310">
        <v>10761.6</v>
      </c>
      <c r="V310">
        <v>5502</v>
      </c>
      <c r="W310" t="s">
        <v>10</v>
      </c>
      <c r="X310">
        <v>99</v>
      </c>
    </row>
    <row r="311" spans="8:24" x14ac:dyDescent="0.3">
      <c r="H311">
        <v>728</v>
      </c>
      <c r="I311">
        <v>37128</v>
      </c>
      <c r="J311">
        <v>871</v>
      </c>
      <c r="K311">
        <v>46423</v>
      </c>
      <c r="L311">
        <v>913</v>
      </c>
      <c r="M311">
        <v>46563</v>
      </c>
      <c r="N311">
        <v>1800</v>
      </c>
      <c r="O311">
        <v>91800</v>
      </c>
      <c r="P311">
        <v>1315</v>
      </c>
      <c r="Q311">
        <v>67065</v>
      </c>
      <c r="R311">
        <v>577</v>
      </c>
      <c r="S311">
        <v>29427</v>
      </c>
      <c r="T311">
        <v>573</v>
      </c>
      <c r="U311">
        <v>29223</v>
      </c>
      <c r="V311">
        <v>6204</v>
      </c>
      <c r="W311" t="s">
        <v>10</v>
      </c>
      <c r="X311">
        <v>93</v>
      </c>
    </row>
    <row r="312" spans="8:24" x14ac:dyDescent="0.3">
      <c r="H312">
        <v>787</v>
      </c>
      <c r="I312">
        <v>24397</v>
      </c>
      <c r="J312">
        <v>478</v>
      </c>
      <c r="K312">
        <v>10492</v>
      </c>
      <c r="L312">
        <v>1235</v>
      </c>
      <c r="M312">
        <v>38285</v>
      </c>
      <c r="N312">
        <v>1450</v>
      </c>
      <c r="O312">
        <v>44950</v>
      </c>
      <c r="P312">
        <v>1728</v>
      </c>
      <c r="Q312">
        <v>53568</v>
      </c>
      <c r="R312">
        <v>1182</v>
      </c>
      <c r="S312">
        <v>36642</v>
      </c>
      <c r="T312">
        <v>999</v>
      </c>
      <c r="U312">
        <v>30969</v>
      </c>
      <c r="V312">
        <v>6860</v>
      </c>
      <c r="W312" t="s">
        <v>10</v>
      </c>
      <c r="X312">
        <v>97</v>
      </c>
    </row>
    <row r="313" spans="8:24" x14ac:dyDescent="0.3">
      <c r="H313">
        <v>962</v>
      </c>
      <c r="I313">
        <v>32515.599999999999</v>
      </c>
      <c r="J313">
        <v>1465</v>
      </c>
      <c r="K313">
        <v>55150.6</v>
      </c>
      <c r="L313">
        <v>1334</v>
      </c>
      <c r="M313">
        <v>45089.2</v>
      </c>
      <c r="N313">
        <v>2383</v>
      </c>
      <c r="O313">
        <v>80545.399999999994</v>
      </c>
      <c r="P313">
        <v>1525</v>
      </c>
      <c r="Q313">
        <v>51545</v>
      </c>
      <c r="R313">
        <v>1582</v>
      </c>
      <c r="S313">
        <v>53471.600000000006</v>
      </c>
      <c r="T313">
        <v>1539</v>
      </c>
      <c r="U313">
        <v>52018.2</v>
      </c>
      <c r="V313">
        <v>9251</v>
      </c>
      <c r="W313" t="s">
        <v>10</v>
      </c>
      <c r="X313">
        <v>100</v>
      </c>
    </row>
    <row r="314" spans="8:24" x14ac:dyDescent="0.3">
      <c r="H314">
        <v>1064</v>
      </c>
      <c r="I314">
        <v>27025.600000000002</v>
      </c>
      <c r="J314">
        <v>1153</v>
      </c>
      <c r="K314">
        <v>31030.600000000002</v>
      </c>
      <c r="L314">
        <v>1979</v>
      </c>
      <c r="M314">
        <v>50266.600000000006</v>
      </c>
      <c r="N314">
        <v>2901</v>
      </c>
      <c r="O314">
        <v>73685.400000000009</v>
      </c>
      <c r="P314">
        <v>2434</v>
      </c>
      <c r="Q314">
        <v>61823.600000000006</v>
      </c>
      <c r="R314">
        <v>1693</v>
      </c>
      <c r="S314">
        <v>43002.200000000004</v>
      </c>
      <c r="T314">
        <v>1311</v>
      </c>
      <c r="U314">
        <v>33299.4</v>
      </c>
      <c r="V314">
        <v>11224</v>
      </c>
      <c r="W314" t="s">
        <v>10</v>
      </c>
      <c r="X314">
        <v>94</v>
      </c>
    </row>
    <row r="315" spans="8:24" x14ac:dyDescent="0.3">
      <c r="H315">
        <v>2132</v>
      </c>
      <c r="I315">
        <v>22172.800000000003</v>
      </c>
      <c r="J315">
        <v>2648</v>
      </c>
      <c r="K315">
        <v>37652.800000000003</v>
      </c>
      <c r="L315">
        <v>2712</v>
      </c>
      <c r="M315">
        <v>28204.800000000003</v>
      </c>
      <c r="N315">
        <v>1775</v>
      </c>
      <c r="O315">
        <v>18460.000000000007</v>
      </c>
      <c r="P315">
        <v>2302</v>
      </c>
      <c r="Q315">
        <v>23940.800000000003</v>
      </c>
      <c r="R315">
        <v>2250</v>
      </c>
      <c r="S315">
        <v>23400.000000000007</v>
      </c>
      <c r="T315">
        <v>2532</v>
      </c>
      <c r="U315">
        <v>26332.800000000003</v>
      </c>
      <c r="V315">
        <v>13819</v>
      </c>
      <c r="W315" t="s">
        <v>10</v>
      </c>
      <c r="X315">
        <v>91</v>
      </c>
    </row>
    <row r="316" spans="8:24" x14ac:dyDescent="0.3">
      <c r="H316">
        <v>1</v>
      </c>
      <c r="I316">
        <v>130</v>
      </c>
      <c r="J316">
        <v>0</v>
      </c>
      <c r="K316">
        <v>-120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 t="s">
        <v>10</v>
      </c>
      <c r="X316">
        <v>100</v>
      </c>
    </row>
    <row r="317" spans="8:24" x14ac:dyDescent="0.3">
      <c r="H317">
        <v>1</v>
      </c>
      <c r="I317">
        <v>199</v>
      </c>
      <c r="J317">
        <v>0</v>
      </c>
      <c r="K317">
        <v>-141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 t="s">
        <v>10</v>
      </c>
      <c r="X317">
        <v>91</v>
      </c>
    </row>
    <row r="318" spans="8:24" x14ac:dyDescent="0.3">
      <c r="H318">
        <v>2</v>
      </c>
      <c r="I318">
        <v>610</v>
      </c>
      <c r="J318">
        <v>0</v>
      </c>
      <c r="K318">
        <v>-330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</v>
      </c>
      <c r="W318" t="s">
        <v>10</v>
      </c>
      <c r="X318">
        <v>96</v>
      </c>
    </row>
    <row r="319" spans="8:24" x14ac:dyDescent="0.3">
      <c r="H319">
        <v>3</v>
      </c>
      <c r="I319">
        <v>156</v>
      </c>
      <c r="J319">
        <v>0</v>
      </c>
      <c r="K319">
        <v>-54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 t="s">
        <v>10</v>
      </c>
      <c r="X319">
        <v>94</v>
      </c>
    </row>
    <row r="320" spans="8:24" x14ac:dyDescent="0.3">
      <c r="H320">
        <v>3</v>
      </c>
      <c r="I320">
        <v>687</v>
      </c>
      <c r="J320">
        <v>0</v>
      </c>
      <c r="K320">
        <v>-423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 t="s">
        <v>10</v>
      </c>
      <c r="X320">
        <v>97</v>
      </c>
    </row>
    <row r="321" spans="8:24" x14ac:dyDescent="0.3">
      <c r="H321">
        <v>5</v>
      </c>
      <c r="I321">
        <v>197.5</v>
      </c>
      <c r="J321">
        <v>0</v>
      </c>
      <c r="K321">
        <v>-52.5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</v>
      </c>
      <c r="W321" t="s">
        <v>10</v>
      </c>
      <c r="X321">
        <v>92</v>
      </c>
    </row>
    <row r="322" spans="8:24" x14ac:dyDescent="0.3">
      <c r="H322">
        <v>10</v>
      </c>
      <c r="I322">
        <v>1150</v>
      </c>
      <c r="J322">
        <v>0</v>
      </c>
      <c r="K322">
        <v>-300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10</v>
      </c>
      <c r="W322" t="s">
        <v>10</v>
      </c>
      <c r="X322">
        <v>94</v>
      </c>
    </row>
    <row r="323" spans="8:24" x14ac:dyDescent="0.3">
      <c r="H323">
        <v>10</v>
      </c>
      <c r="I323">
        <v>685</v>
      </c>
      <c r="J323">
        <v>0</v>
      </c>
      <c r="K323">
        <v>-165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10</v>
      </c>
      <c r="W323" t="s">
        <v>10</v>
      </c>
      <c r="X323">
        <v>100</v>
      </c>
    </row>
    <row r="324" spans="8:24" x14ac:dyDescent="0.3">
      <c r="H324">
        <v>10</v>
      </c>
      <c r="I324">
        <v>4090</v>
      </c>
      <c r="J324">
        <v>0</v>
      </c>
      <c r="K324">
        <v>-1800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10</v>
      </c>
      <c r="W324" t="s">
        <v>10</v>
      </c>
      <c r="X324">
        <v>90</v>
      </c>
    </row>
    <row r="325" spans="8:24" x14ac:dyDescent="0.3">
      <c r="H325">
        <v>24</v>
      </c>
      <c r="I325">
        <v>828</v>
      </c>
      <c r="J325">
        <v>0</v>
      </c>
      <c r="K325">
        <v>-252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24</v>
      </c>
      <c r="W325" t="s">
        <v>10</v>
      </c>
      <c r="X325">
        <v>91</v>
      </c>
    </row>
    <row r="326" spans="8:24" x14ac:dyDescent="0.3">
      <c r="H326">
        <v>25</v>
      </c>
      <c r="I326">
        <v>5875</v>
      </c>
      <c r="J326">
        <v>30</v>
      </c>
      <c r="K326">
        <v>7875</v>
      </c>
      <c r="L326">
        <v>23</v>
      </c>
      <c r="M326">
        <v>5405</v>
      </c>
      <c r="N326">
        <v>22</v>
      </c>
      <c r="O326">
        <v>5170</v>
      </c>
      <c r="P326">
        <v>35</v>
      </c>
      <c r="Q326">
        <v>8225</v>
      </c>
      <c r="R326">
        <v>135</v>
      </c>
      <c r="S326">
        <v>31725</v>
      </c>
      <c r="T326">
        <v>142</v>
      </c>
      <c r="U326">
        <v>33370</v>
      </c>
      <c r="V326">
        <v>270</v>
      </c>
      <c r="W326" t="s">
        <v>10</v>
      </c>
      <c r="X326">
        <v>95</v>
      </c>
    </row>
    <row r="327" spans="8:24" x14ac:dyDescent="0.3">
      <c r="H327">
        <v>40</v>
      </c>
      <c r="I327">
        <v>1460</v>
      </c>
      <c r="J327">
        <v>33</v>
      </c>
      <c r="K327">
        <v>1110</v>
      </c>
      <c r="L327">
        <v>45</v>
      </c>
      <c r="M327">
        <v>1642.5</v>
      </c>
      <c r="N327">
        <v>20</v>
      </c>
      <c r="O327">
        <v>730</v>
      </c>
      <c r="P327">
        <v>15</v>
      </c>
      <c r="Q327">
        <v>547.5</v>
      </c>
      <c r="R327">
        <v>55</v>
      </c>
      <c r="S327">
        <v>2007.5</v>
      </c>
      <c r="T327">
        <v>46</v>
      </c>
      <c r="U327">
        <v>1679</v>
      </c>
      <c r="V327">
        <v>208</v>
      </c>
      <c r="W327" t="s">
        <v>10</v>
      </c>
      <c r="X327">
        <v>100</v>
      </c>
    </row>
    <row r="328" spans="8:24" x14ac:dyDescent="0.3">
      <c r="H328">
        <v>40</v>
      </c>
      <c r="I328">
        <v>2320</v>
      </c>
      <c r="J328">
        <v>32</v>
      </c>
      <c r="K328">
        <v>1688</v>
      </c>
      <c r="L328">
        <v>45</v>
      </c>
      <c r="M328">
        <v>2610</v>
      </c>
      <c r="N328">
        <v>13</v>
      </c>
      <c r="O328">
        <v>754</v>
      </c>
      <c r="P328">
        <v>25</v>
      </c>
      <c r="Q328">
        <v>1450</v>
      </c>
      <c r="R328">
        <v>66</v>
      </c>
      <c r="S328">
        <v>3828</v>
      </c>
      <c r="T328">
        <v>45</v>
      </c>
      <c r="U328">
        <v>2610</v>
      </c>
      <c r="V328">
        <v>221</v>
      </c>
      <c r="W328" t="s">
        <v>10</v>
      </c>
      <c r="X328">
        <v>92</v>
      </c>
    </row>
    <row r="329" spans="8:24" x14ac:dyDescent="0.3">
      <c r="H329">
        <v>45</v>
      </c>
      <c r="I329">
        <v>5175</v>
      </c>
      <c r="J329">
        <v>35</v>
      </c>
      <c r="K329">
        <v>3725</v>
      </c>
      <c r="L329">
        <v>30</v>
      </c>
      <c r="M329">
        <v>3450</v>
      </c>
      <c r="N329">
        <v>20</v>
      </c>
      <c r="O329">
        <v>2300</v>
      </c>
      <c r="P329">
        <v>15</v>
      </c>
      <c r="Q329">
        <v>1725</v>
      </c>
      <c r="R329">
        <v>50</v>
      </c>
      <c r="S329">
        <v>5750</v>
      </c>
      <c r="T329">
        <v>45</v>
      </c>
      <c r="U329">
        <v>5175</v>
      </c>
      <c r="V329">
        <v>195</v>
      </c>
      <c r="W329" t="s">
        <v>10</v>
      </c>
      <c r="X329">
        <v>100</v>
      </c>
    </row>
    <row r="330" spans="8:24" x14ac:dyDescent="0.3">
      <c r="H330">
        <v>66</v>
      </c>
      <c r="I330">
        <v>28710</v>
      </c>
      <c r="J330">
        <v>35</v>
      </c>
      <c r="K330">
        <v>10110</v>
      </c>
      <c r="L330">
        <v>12</v>
      </c>
      <c r="M330">
        <v>5220</v>
      </c>
      <c r="N330">
        <v>15</v>
      </c>
      <c r="O330">
        <v>6525</v>
      </c>
      <c r="P330">
        <v>33</v>
      </c>
      <c r="Q330">
        <v>14355</v>
      </c>
      <c r="R330">
        <v>50</v>
      </c>
      <c r="S330">
        <v>21750</v>
      </c>
      <c r="T330">
        <v>45</v>
      </c>
      <c r="U330">
        <v>19575</v>
      </c>
      <c r="V330">
        <v>211</v>
      </c>
      <c r="W330" t="s">
        <v>10</v>
      </c>
      <c r="X330">
        <v>94</v>
      </c>
    </row>
    <row r="331" spans="8:24" x14ac:dyDescent="0.3">
      <c r="H331">
        <v>68</v>
      </c>
      <c r="I331">
        <v>2312</v>
      </c>
      <c r="J331">
        <v>55</v>
      </c>
      <c r="K331">
        <v>1675</v>
      </c>
      <c r="L331">
        <v>20</v>
      </c>
      <c r="M331">
        <v>680</v>
      </c>
      <c r="N331">
        <v>25</v>
      </c>
      <c r="O331">
        <v>850</v>
      </c>
      <c r="P331">
        <v>30</v>
      </c>
      <c r="Q331">
        <v>1020</v>
      </c>
      <c r="R331">
        <v>44</v>
      </c>
      <c r="S331">
        <v>1496</v>
      </c>
      <c r="T331">
        <v>10</v>
      </c>
      <c r="U331">
        <v>340</v>
      </c>
      <c r="V331">
        <v>242</v>
      </c>
      <c r="W331" t="s">
        <v>10</v>
      </c>
      <c r="X331">
        <v>93</v>
      </c>
    </row>
    <row r="332" spans="8:24" x14ac:dyDescent="0.3">
      <c r="H332">
        <v>87</v>
      </c>
      <c r="I332">
        <v>4437</v>
      </c>
      <c r="J332">
        <v>65</v>
      </c>
      <c r="K332">
        <v>2985</v>
      </c>
      <c r="L332">
        <v>50</v>
      </c>
      <c r="M332">
        <v>2550</v>
      </c>
      <c r="N332">
        <v>67</v>
      </c>
      <c r="O332">
        <v>3417</v>
      </c>
      <c r="P332">
        <v>50</v>
      </c>
      <c r="Q332">
        <v>2550</v>
      </c>
      <c r="R332">
        <v>35</v>
      </c>
      <c r="S332">
        <v>1785</v>
      </c>
      <c r="T332">
        <v>55</v>
      </c>
      <c r="U332">
        <v>2805</v>
      </c>
      <c r="V332">
        <v>354</v>
      </c>
      <c r="W332" t="s">
        <v>10</v>
      </c>
      <c r="X332">
        <v>91</v>
      </c>
    </row>
    <row r="333" spans="8:24" x14ac:dyDescent="0.3">
      <c r="H333">
        <v>135</v>
      </c>
      <c r="I333">
        <v>6885</v>
      </c>
      <c r="J333">
        <v>100</v>
      </c>
      <c r="K333">
        <v>4260</v>
      </c>
      <c r="L333">
        <v>87</v>
      </c>
      <c r="M333">
        <v>4437</v>
      </c>
      <c r="N333">
        <v>15</v>
      </c>
      <c r="O333">
        <v>765</v>
      </c>
      <c r="P333">
        <v>57</v>
      </c>
      <c r="Q333">
        <v>2907</v>
      </c>
      <c r="R333">
        <v>180</v>
      </c>
      <c r="S333">
        <v>9180</v>
      </c>
      <c r="T333">
        <v>167</v>
      </c>
      <c r="U333">
        <v>8517</v>
      </c>
      <c r="V333">
        <v>574</v>
      </c>
      <c r="W333" t="s">
        <v>10</v>
      </c>
      <c r="X333">
        <v>100</v>
      </c>
    </row>
    <row r="334" spans="8:24" x14ac:dyDescent="0.3">
      <c r="H334">
        <v>158</v>
      </c>
      <c r="I334">
        <v>71890</v>
      </c>
      <c r="J334">
        <v>113</v>
      </c>
      <c r="K334">
        <v>42640</v>
      </c>
      <c r="L334">
        <v>250</v>
      </c>
      <c r="M334">
        <v>113750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521</v>
      </c>
      <c r="W334" t="s">
        <v>10</v>
      </c>
      <c r="X334">
        <v>97</v>
      </c>
    </row>
    <row r="335" spans="8:24" x14ac:dyDescent="0.3">
      <c r="H335">
        <v>180</v>
      </c>
      <c r="I335">
        <v>12600</v>
      </c>
      <c r="J335">
        <v>0</v>
      </c>
      <c r="K335">
        <v>-2700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180</v>
      </c>
      <c r="W335" t="s">
        <v>10</v>
      </c>
      <c r="X335">
        <v>98</v>
      </c>
    </row>
    <row r="336" spans="8:24" x14ac:dyDescent="0.3">
      <c r="H336">
        <v>189</v>
      </c>
      <c r="I336">
        <v>10584</v>
      </c>
      <c r="J336">
        <v>144</v>
      </c>
      <c r="K336">
        <v>6984</v>
      </c>
      <c r="L336">
        <v>64</v>
      </c>
      <c r="M336">
        <v>3584</v>
      </c>
      <c r="N336">
        <v>0</v>
      </c>
      <c r="O336">
        <v>0</v>
      </c>
      <c r="P336">
        <v>87</v>
      </c>
      <c r="Q336">
        <v>4872</v>
      </c>
      <c r="R336">
        <v>153</v>
      </c>
      <c r="S336">
        <v>8568</v>
      </c>
      <c r="T336">
        <v>145</v>
      </c>
      <c r="U336">
        <v>8120</v>
      </c>
      <c r="V336">
        <v>637</v>
      </c>
      <c r="W336" t="s">
        <v>10</v>
      </c>
      <c r="X336">
        <v>98</v>
      </c>
    </row>
    <row r="337" spans="8:24" x14ac:dyDescent="0.3">
      <c r="H337">
        <v>200</v>
      </c>
      <c r="I337">
        <v>12700</v>
      </c>
      <c r="J337">
        <v>45</v>
      </c>
      <c r="K337">
        <v>300</v>
      </c>
      <c r="L337">
        <v>5</v>
      </c>
      <c r="M337">
        <v>317.5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250</v>
      </c>
      <c r="W337" t="s">
        <v>10</v>
      </c>
      <c r="X337">
        <v>92</v>
      </c>
    </row>
    <row r="338" spans="8:24" x14ac:dyDescent="0.3">
      <c r="H338">
        <v>230</v>
      </c>
      <c r="I338">
        <v>33350</v>
      </c>
      <c r="J338">
        <v>187</v>
      </c>
      <c r="K338">
        <v>22600</v>
      </c>
      <c r="L338">
        <v>135</v>
      </c>
      <c r="M338">
        <v>19575</v>
      </c>
      <c r="N338">
        <v>87</v>
      </c>
      <c r="O338">
        <v>12615</v>
      </c>
      <c r="P338">
        <v>53</v>
      </c>
      <c r="Q338">
        <v>7685</v>
      </c>
      <c r="R338">
        <v>235</v>
      </c>
      <c r="S338">
        <v>34075</v>
      </c>
      <c r="T338">
        <v>200</v>
      </c>
      <c r="U338">
        <v>29000</v>
      </c>
      <c r="V338">
        <v>927</v>
      </c>
      <c r="W338" t="s">
        <v>10</v>
      </c>
      <c r="X338">
        <v>96</v>
      </c>
    </row>
    <row r="339" spans="8:24" x14ac:dyDescent="0.3">
      <c r="H339">
        <v>230</v>
      </c>
      <c r="I339">
        <v>6440</v>
      </c>
      <c r="J339">
        <v>185</v>
      </c>
      <c r="K339">
        <v>3965</v>
      </c>
      <c r="L339">
        <v>74</v>
      </c>
      <c r="M339">
        <v>2072</v>
      </c>
      <c r="N339">
        <v>67</v>
      </c>
      <c r="O339">
        <v>1876</v>
      </c>
      <c r="P339">
        <v>55</v>
      </c>
      <c r="Q339">
        <v>1540</v>
      </c>
      <c r="R339">
        <v>80</v>
      </c>
      <c r="S339">
        <v>2240</v>
      </c>
      <c r="T339">
        <v>250</v>
      </c>
      <c r="U339">
        <v>7000</v>
      </c>
      <c r="V339">
        <v>691</v>
      </c>
      <c r="W339" t="s">
        <v>10</v>
      </c>
      <c r="X339">
        <v>90</v>
      </c>
    </row>
    <row r="340" spans="8:24" x14ac:dyDescent="0.3">
      <c r="H340">
        <v>342</v>
      </c>
      <c r="I340">
        <v>10260</v>
      </c>
      <c r="J340">
        <v>280</v>
      </c>
      <c r="K340">
        <v>7470</v>
      </c>
      <c r="L340">
        <v>133</v>
      </c>
      <c r="M340">
        <v>3990</v>
      </c>
      <c r="N340">
        <v>200</v>
      </c>
      <c r="O340">
        <v>6000</v>
      </c>
      <c r="P340">
        <v>187</v>
      </c>
      <c r="Q340">
        <v>5610</v>
      </c>
      <c r="R340">
        <v>850</v>
      </c>
      <c r="S340">
        <v>25500</v>
      </c>
      <c r="T340">
        <v>345</v>
      </c>
      <c r="U340">
        <v>10350</v>
      </c>
      <c r="V340">
        <v>1992</v>
      </c>
      <c r="W340" t="s">
        <v>10</v>
      </c>
      <c r="X340">
        <v>94</v>
      </c>
    </row>
    <row r="341" spans="8:24" x14ac:dyDescent="0.3">
      <c r="H341">
        <v>360</v>
      </c>
      <c r="I341">
        <v>17100</v>
      </c>
      <c r="J341">
        <v>245</v>
      </c>
      <c r="K341">
        <v>9050</v>
      </c>
      <c r="L341">
        <v>133</v>
      </c>
      <c r="M341">
        <v>6317.5</v>
      </c>
      <c r="N341">
        <v>88</v>
      </c>
      <c r="O341">
        <v>4180</v>
      </c>
      <c r="P341">
        <v>10</v>
      </c>
      <c r="Q341">
        <v>475</v>
      </c>
      <c r="R341">
        <v>0</v>
      </c>
      <c r="S341">
        <v>0</v>
      </c>
      <c r="T341">
        <v>0</v>
      </c>
      <c r="U341">
        <v>0</v>
      </c>
      <c r="V341">
        <v>836</v>
      </c>
      <c r="W341" t="s">
        <v>10</v>
      </c>
      <c r="X341">
        <v>99</v>
      </c>
    </row>
    <row r="342" spans="8:24" x14ac:dyDescent="0.3">
      <c r="H342">
        <v>433</v>
      </c>
      <c r="I342">
        <v>10608.5</v>
      </c>
      <c r="J342">
        <v>350</v>
      </c>
      <c r="K342">
        <v>7703.5</v>
      </c>
      <c r="L342">
        <v>235</v>
      </c>
      <c r="M342">
        <v>5757.5</v>
      </c>
      <c r="N342">
        <v>170</v>
      </c>
      <c r="O342">
        <v>4165</v>
      </c>
      <c r="P342">
        <v>55</v>
      </c>
      <c r="Q342">
        <v>1347.5</v>
      </c>
      <c r="R342">
        <v>135</v>
      </c>
      <c r="S342">
        <v>3307.5</v>
      </c>
      <c r="T342">
        <v>120</v>
      </c>
      <c r="U342">
        <v>2940</v>
      </c>
      <c r="V342">
        <v>1378</v>
      </c>
      <c r="W342" t="s">
        <v>10</v>
      </c>
      <c r="X342">
        <v>99</v>
      </c>
    </row>
    <row r="343" spans="8:24" x14ac:dyDescent="0.3">
      <c r="H343">
        <v>444</v>
      </c>
      <c r="I343">
        <v>18648</v>
      </c>
      <c r="J343">
        <v>294</v>
      </c>
      <c r="K343">
        <v>9648</v>
      </c>
      <c r="L343">
        <v>180</v>
      </c>
      <c r="M343">
        <v>7560</v>
      </c>
      <c r="N343">
        <v>222</v>
      </c>
      <c r="O343">
        <v>9324</v>
      </c>
      <c r="P343">
        <v>493</v>
      </c>
      <c r="Q343">
        <v>20706</v>
      </c>
      <c r="R343">
        <v>450</v>
      </c>
      <c r="S343">
        <v>18900</v>
      </c>
      <c r="T343">
        <v>0</v>
      </c>
      <c r="U343">
        <v>0</v>
      </c>
      <c r="V343">
        <v>2083</v>
      </c>
      <c r="W343" t="s">
        <v>10</v>
      </c>
      <c r="X343">
        <v>96</v>
      </c>
    </row>
    <row r="344" spans="8:24" x14ac:dyDescent="0.3">
      <c r="H344">
        <v>450</v>
      </c>
      <c r="I344">
        <v>14400</v>
      </c>
      <c r="J344">
        <v>300</v>
      </c>
      <c r="K344">
        <v>6900</v>
      </c>
      <c r="L344">
        <v>230</v>
      </c>
      <c r="M344">
        <v>7360</v>
      </c>
      <c r="N344">
        <v>200</v>
      </c>
      <c r="O344">
        <v>6400</v>
      </c>
      <c r="P344">
        <v>225</v>
      </c>
      <c r="Q344">
        <v>7200</v>
      </c>
      <c r="R344">
        <v>705</v>
      </c>
      <c r="S344">
        <v>22560</v>
      </c>
      <c r="T344">
        <v>680</v>
      </c>
      <c r="U344">
        <v>21760</v>
      </c>
      <c r="V344">
        <v>2110</v>
      </c>
      <c r="W344" t="s">
        <v>10</v>
      </c>
      <c r="X344">
        <v>92</v>
      </c>
    </row>
    <row r="345" spans="8:24" x14ac:dyDescent="0.3">
      <c r="H345">
        <v>530</v>
      </c>
      <c r="I345">
        <v>12985</v>
      </c>
      <c r="J345">
        <v>480</v>
      </c>
      <c r="K345">
        <v>11235</v>
      </c>
      <c r="L345">
        <v>257</v>
      </c>
      <c r="M345">
        <v>6296.5</v>
      </c>
      <c r="N345">
        <v>200</v>
      </c>
      <c r="O345">
        <v>4900</v>
      </c>
      <c r="P345">
        <v>230</v>
      </c>
      <c r="Q345">
        <v>5635</v>
      </c>
      <c r="R345">
        <v>580</v>
      </c>
      <c r="S345">
        <v>14210</v>
      </c>
      <c r="T345">
        <v>578</v>
      </c>
      <c r="U345">
        <v>14161</v>
      </c>
      <c r="V345">
        <v>2277</v>
      </c>
      <c r="W345" t="s">
        <v>10</v>
      </c>
      <c r="X345">
        <v>95</v>
      </c>
    </row>
    <row r="346" spans="8:24" x14ac:dyDescent="0.3">
      <c r="H346">
        <v>860</v>
      </c>
      <c r="I346">
        <v>30100</v>
      </c>
      <c r="J346">
        <v>744</v>
      </c>
      <c r="K346">
        <v>24300</v>
      </c>
      <c r="L346">
        <v>343</v>
      </c>
      <c r="M346">
        <v>12005</v>
      </c>
      <c r="N346">
        <v>320</v>
      </c>
      <c r="O346">
        <v>11200</v>
      </c>
      <c r="P346">
        <v>287</v>
      </c>
      <c r="Q346">
        <v>10045</v>
      </c>
      <c r="R346">
        <v>680</v>
      </c>
      <c r="S346">
        <v>23800</v>
      </c>
      <c r="T346">
        <v>623</v>
      </c>
      <c r="U346">
        <v>21805</v>
      </c>
      <c r="V346">
        <v>3234</v>
      </c>
      <c r="W346" t="s">
        <v>10</v>
      </c>
      <c r="X346">
        <v>96</v>
      </c>
    </row>
    <row r="347" spans="8:24" x14ac:dyDescent="0.3">
      <c r="H347">
        <v>890</v>
      </c>
      <c r="I347">
        <v>48950</v>
      </c>
      <c r="J347">
        <v>765</v>
      </c>
      <c r="K347">
        <v>40200</v>
      </c>
      <c r="L347">
        <v>521</v>
      </c>
      <c r="M347">
        <v>28655</v>
      </c>
      <c r="N347">
        <v>220</v>
      </c>
      <c r="O347">
        <v>12100</v>
      </c>
      <c r="P347">
        <v>349</v>
      </c>
      <c r="Q347">
        <v>19195</v>
      </c>
      <c r="R347">
        <v>1385</v>
      </c>
      <c r="S347">
        <v>76175</v>
      </c>
      <c r="T347">
        <v>1290</v>
      </c>
      <c r="U347">
        <v>70950</v>
      </c>
      <c r="V347">
        <v>4130</v>
      </c>
      <c r="W347" t="s">
        <v>10</v>
      </c>
      <c r="X347">
        <v>93</v>
      </c>
    </row>
    <row r="348" spans="8:24" x14ac:dyDescent="0.3">
      <c r="H348">
        <v>1300</v>
      </c>
      <c r="I348">
        <v>24700</v>
      </c>
      <c r="J348">
        <v>1250</v>
      </c>
      <c r="K348">
        <v>22700</v>
      </c>
      <c r="L348">
        <v>800</v>
      </c>
      <c r="M348">
        <v>15200</v>
      </c>
      <c r="N348">
        <v>750</v>
      </c>
      <c r="O348">
        <v>14250</v>
      </c>
      <c r="P348">
        <v>1200</v>
      </c>
      <c r="Q348">
        <v>22800</v>
      </c>
      <c r="R348">
        <v>2050</v>
      </c>
      <c r="S348">
        <v>38950</v>
      </c>
      <c r="T348">
        <v>1980</v>
      </c>
      <c r="U348">
        <v>37620</v>
      </c>
      <c r="V348">
        <v>7350</v>
      </c>
      <c r="W348" t="s">
        <v>10</v>
      </c>
      <c r="X348">
        <v>97</v>
      </c>
    </row>
    <row r="349" spans="8:24" x14ac:dyDescent="0.3">
      <c r="H349">
        <v>1350</v>
      </c>
      <c r="I349">
        <v>33075</v>
      </c>
      <c r="J349">
        <v>1200</v>
      </c>
      <c r="K349">
        <v>27825</v>
      </c>
      <c r="L349">
        <v>567</v>
      </c>
      <c r="M349">
        <v>13891.5</v>
      </c>
      <c r="N349">
        <v>200</v>
      </c>
      <c r="O349">
        <v>4900</v>
      </c>
      <c r="P349">
        <v>540</v>
      </c>
      <c r="Q349">
        <v>13230</v>
      </c>
      <c r="R349">
        <v>1250</v>
      </c>
      <c r="S349">
        <v>30625</v>
      </c>
      <c r="T349">
        <v>890</v>
      </c>
      <c r="U349">
        <v>21805</v>
      </c>
      <c r="V349">
        <v>5107</v>
      </c>
      <c r="W349" t="s">
        <v>10</v>
      </c>
      <c r="X349">
        <v>91</v>
      </c>
    </row>
    <row r="350" spans="8:24" x14ac:dyDescent="0.3">
      <c r="H350">
        <v>1450</v>
      </c>
      <c r="I350">
        <v>62350</v>
      </c>
      <c r="J350">
        <v>834</v>
      </c>
      <c r="K350">
        <v>28470</v>
      </c>
      <c r="L350">
        <v>620</v>
      </c>
      <c r="M350">
        <v>26660</v>
      </c>
      <c r="N350">
        <v>348</v>
      </c>
      <c r="O350">
        <v>14964</v>
      </c>
      <c r="P350">
        <v>930</v>
      </c>
      <c r="Q350">
        <v>39990</v>
      </c>
      <c r="R350">
        <v>870</v>
      </c>
      <c r="S350">
        <v>37410</v>
      </c>
      <c r="T350">
        <v>850</v>
      </c>
      <c r="U350">
        <v>36550</v>
      </c>
      <c r="V350">
        <v>5052</v>
      </c>
      <c r="W350" t="s">
        <v>10</v>
      </c>
      <c r="X350">
        <v>96</v>
      </c>
    </row>
    <row r="351" spans="8:24" x14ac:dyDescent="0.3">
      <c r="H351">
        <v>1578</v>
      </c>
      <c r="I351">
        <v>53652</v>
      </c>
      <c r="J351">
        <v>1450</v>
      </c>
      <c r="K351">
        <v>46612</v>
      </c>
      <c r="L351">
        <v>1135</v>
      </c>
      <c r="M351">
        <v>38590</v>
      </c>
      <c r="N351">
        <v>957</v>
      </c>
      <c r="O351">
        <v>32538</v>
      </c>
      <c r="P351">
        <v>2300</v>
      </c>
      <c r="Q351">
        <v>78200</v>
      </c>
      <c r="R351">
        <v>2780</v>
      </c>
      <c r="S351">
        <v>94520</v>
      </c>
      <c r="T351">
        <v>2800</v>
      </c>
      <c r="U351">
        <v>95200</v>
      </c>
      <c r="V351">
        <v>10200</v>
      </c>
      <c r="W351" t="s">
        <v>10</v>
      </c>
      <c r="X351">
        <v>95</v>
      </c>
    </row>
    <row r="406" spans="18:21" x14ac:dyDescent="0.3">
      <c r="S406" t="s">
        <v>144</v>
      </c>
      <c r="T406" t="s">
        <v>97</v>
      </c>
      <c r="U406" t="s">
        <v>360</v>
      </c>
    </row>
    <row r="407" spans="18:21" x14ac:dyDescent="0.3">
      <c r="R407">
        <v>2006</v>
      </c>
      <c r="S407">
        <v>1230</v>
      </c>
    </row>
    <row r="408" spans="18:21" x14ac:dyDescent="0.3">
      <c r="R408">
        <v>2007</v>
      </c>
      <c r="S408">
        <v>1453</v>
      </c>
    </row>
    <row r="409" spans="18:21" x14ac:dyDescent="0.3">
      <c r="R409">
        <v>2008</v>
      </c>
      <c r="S409">
        <v>1674</v>
      </c>
    </row>
    <row r="410" spans="18:21" x14ac:dyDescent="0.3">
      <c r="R410">
        <v>2009</v>
      </c>
      <c r="S410">
        <v>1328</v>
      </c>
    </row>
    <row r="411" spans="18:21" x14ac:dyDescent="0.3">
      <c r="R411">
        <v>2010</v>
      </c>
      <c r="S411">
        <v>2543</v>
      </c>
    </row>
    <row r="412" spans="18:21" x14ac:dyDescent="0.3">
      <c r="R412">
        <v>2011</v>
      </c>
      <c r="S412">
        <v>2081</v>
      </c>
    </row>
    <row r="413" spans="18:21" x14ac:dyDescent="0.3">
      <c r="R413">
        <v>2012</v>
      </c>
      <c r="S413">
        <v>2048</v>
      </c>
    </row>
    <row r="426" spans="1:17" x14ac:dyDescent="0.3">
      <c r="A426" s="73" t="s">
        <v>231</v>
      </c>
      <c r="B426" s="73"/>
      <c r="C426" s="73" t="s">
        <v>232</v>
      </c>
      <c r="D426" s="73"/>
      <c r="E426" s="73" t="s">
        <v>233</v>
      </c>
      <c r="F426" s="73"/>
      <c r="G426" s="73" t="s">
        <v>234</v>
      </c>
      <c r="H426" s="73"/>
      <c r="I426" s="73" t="s">
        <v>235</v>
      </c>
      <c r="J426" s="73"/>
      <c r="K426" s="73" t="s">
        <v>236</v>
      </c>
      <c r="L426" s="73" t="s">
        <v>251</v>
      </c>
      <c r="M426" s="73" t="s">
        <v>237</v>
      </c>
      <c r="N426" s="73" t="s">
        <v>252</v>
      </c>
      <c r="O426" s="74" t="s">
        <v>238</v>
      </c>
      <c r="P426" s="75" t="s">
        <v>5</v>
      </c>
      <c r="Q426" s="52" t="s">
        <v>6</v>
      </c>
    </row>
    <row r="427" spans="1:17" x14ac:dyDescent="0.3">
      <c r="A427" s="76">
        <v>0</v>
      </c>
      <c r="B427" s="76"/>
      <c r="C427" s="76">
        <v>1</v>
      </c>
      <c r="D427" s="76"/>
      <c r="E427" s="76">
        <v>0</v>
      </c>
      <c r="F427" s="76"/>
      <c r="G427" s="76">
        <v>1</v>
      </c>
      <c r="H427" s="76"/>
      <c r="I427" s="76">
        <v>38</v>
      </c>
      <c r="J427" s="76"/>
      <c r="K427" s="76">
        <v>0</v>
      </c>
      <c r="L427" s="76">
        <v>0</v>
      </c>
      <c r="M427" s="76">
        <v>0</v>
      </c>
      <c r="N427" s="76">
        <v>0</v>
      </c>
      <c r="O427" s="76">
        <v>40</v>
      </c>
      <c r="P427" s="77" t="s">
        <v>10</v>
      </c>
      <c r="Q427" s="53">
        <v>98</v>
      </c>
    </row>
    <row r="428" spans="1:17" x14ac:dyDescent="0.3">
      <c r="A428" s="78">
        <v>0</v>
      </c>
      <c r="B428" s="78"/>
      <c r="C428" s="78">
        <v>0</v>
      </c>
      <c r="D428" s="78"/>
      <c r="E428" s="78">
        <v>0</v>
      </c>
      <c r="F428" s="78"/>
      <c r="G428" s="78">
        <v>0</v>
      </c>
      <c r="H428" s="78"/>
      <c r="I428" s="78">
        <v>12</v>
      </c>
      <c r="J428" s="78"/>
      <c r="K428" s="78">
        <v>0</v>
      </c>
      <c r="L428" s="78">
        <v>0</v>
      </c>
      <c r="M428" s="78">
        <v>0</v>
      </c>
      <c r="N428" s="78">
        <v>0</v>
      </c>
      <c r="O428" s="78">
        <v>12</v>
      </c>
      <c r="P428" s="79" t="s">
        <v>10</v>
      </c>
      <c r="Q428" s="54">
        <v>96</v>
      </c>
    </row>
    <row r="429" spans="1:17" x14ac:dyDescent="0.3">
      <c r="A429" s="76">
        <v>0</v>
      </c>
      <c r="B429" s="76"/>
      <c r="C429" s="76">
        <v>0</v>
      </c>
      <c r="D429" s="76"/>
      <c r="E429" s="76">
        <v>0</v>
      </c>
      <c r="F429" s="76"/>
      <c r="G429" s="76">
        <v>1</v>
      </c>
      <c r="H429" s="76"/>
      <c r="I429" s="76">
        <v>0</v>
      </c>
      <c r="J429" s="76"/>
      <c r="K429" s="76">
        <v>0</v>
      </c>
      <c r="L429" s="76">
        <v>0</v>
      </c>
      <c r="M429" s="76">
        <v>0</v>
      </c>
      <c r="N429" s="76">
        <v>0</v>
      </c>
      <c r="O429" s="76">
        <v>1</v>
      </c>
      <c r="P429" s="77" t="s">
        <v>10</v>
      </c>
      <c r="Q429" s="53">
        <v>93</v>
      </c>
    </row>
    <row r="430" spans="1:17" x14ac:dyDescent="0.3">
      <c r="A430" s="78">
        <v>0</v>
      </c>
      <c r="B430" s="78"/>
      <c r="C430" s="78">
        <v>0</v>
      </c>
      <c r="D430" s="78"/>
      <c r="E430" s="78">
        <v>0</v>
      </c>
      <c r="F430" s="78"/>
      <c r="G430" s="78">
        <v>0</v>
      </c>
      <c r="H430" s="78"/>
      <c r="I430" s="78">
        <v>0</v>
      </c>
      <c r="J430" s="78"/>
      <c r="K430" s="78">
        <v>0</v>
      </c>
      <c r="L430" s="78">
        <v>0</v>
      </c>
      <c r="M430" s="78">
        <v>0</v>
      </c>
      <c r="N430" s="78">
        <v>0</v>
      </c>
      <c r="O430" s="78">
        <v>0</v>
      </c>
      <c r="P430" s="79" t="s">
        <v>97</v>
      </c>
      <c r="Q430" s="54">
        <v>93</v>
      </c>
    </row>
    <row r="431" spans="1:17" x14ac:dyDescent="0.3">
      <c r="A431" s="76">
        <v>0</v>
      </c>
      <c r="B431" s="76"/>
      <c r="C431" s="76">
        <v>0</v>
      </c>
      <c r="D431" s="76"/>
      <c r="E431" s="76">
        <v>0</v>
      </c>
      <c r="F431" s="76"/>
      <c r="G431" s="76">
        <v>0</v>
      </c>
      <c r="H431" s="76"/>
      <c r="I431" s="76">
        <v>0</v>
      </c>
      <c r="J431" s="76"/>
      <c r="K431" s="76">
        <v>0</v>
      </c>
      <c r="L431" s="76">
        <v>0</v>
      </c>
      <c r="M431" s="76">
        <v>0</v>
      </c>
      <c r="N431" s="76">
        <v>0</v>
      </c>
      <c r="O431" s="76">
        <v>0</v>
      </c>
      <c r="P431" s="77" t="s">
        <v>97</v>
      </c>
      <c r="Q431" s="53">
        <v>99</v>
      </c>
    </row>
    <row r="432" spans="1:17" x14ac:dyDescent="0.3">
      <c r="A432" s="78">
        <v>2</v>
      </c>
      <c r="B432" s="78"/>
      <c r="C432" s="78">
        <v>34</v>
      </c>
      <c r="D432" s="78"/>
      <c r="E432" s="78">
        <v>36</v>
      </c>
      <c r="F432" s="78"/>
      <c r="G432" s="78">
        <v>2</v>
      </c>
      <c r="H432" s="78"/>
      <c r="I432" s="78">
        <v>0</v>
      </c>
      <c r="J432" s="78"/>
      <c r="K432" s="78">
        <v>0</v>
      </c>
      <c r="L432" s="78">
        <v>0</v>
      </c>
      <c r="M432" s="78">
        <v>0</v>
      </c>
      <c r="N432" s="78">
        <v>0</v>
      </c>
      <c r="O432" s="78">
        <v>74</v>
      </c>
      <c r="P432" s="79" t="s">
        <v>10</v>
      </c>
      <c r="Q432" s="54">
        <v>92</v>
      </c>
    </row>
    <row r="433" spans="1:17" x14ac:dyDescent="0.3">
      <c r="A433" s="76">
        <v>5</v>
      </c>
      <c r="B433" s="76"/>
      <c r="C433" s="76">
        <v>0</v>
      </c>
      <c r="D433" s="76"/>
      <c r="E433" s="76">
        <v>0</v>
      </c>
      <c r="F433" s="76"/>
      <c r="G433" s="76">
        <v>2</v>
      </c>
      <c r="H433" s="76"/>
      <c r="I433" s="76">
        <v>52</v>
      </c>
      <c r="J433" s="76"/>
      <c r="K433" s="76">
        <v>0</v>
      </c>
      <c r="L433" s="76">
        <v>0</v>
      </c>
      <c r="M433" s="76">
        <v>0</v>
      </c>
      <c r="N433" s="76">
        <v>0</v>
      </c>
      <c r="O433" s="76">
        <v>59</v>
      </c>
      <c r="P433" s="77" t="s">
        <v>10</v>
      </c>
      <c r="Q433" s="53">
        <v>95</v>
      </c>
    </row>
    <row r="434" spans="1:17" x14ac:dyDescent="0.3">
      <c r="A434" s="78">
        <v>5</v>
      </c>
      <c r="B434" s="78"/>
      <c r="C434" s="78">
        <v>7</v>
      </c>
      <c r="D434" s="78"/>
      <c r="E434" s="78">
        <v>3</v>
      </c>
      <c r="F434" s="78"/>
      <c r="G434" s="78">
        <v>8</v>
      </c>
      <c r="H434" s="78"/>
      <c r="I434" s="78">
        <v>0</v>
      </c>
      <c r="J434" s="78"/>
      <c r="K434" s="78">
        <v>0</v>
      </c>
      <c r="L434" s="78">
        <v>0</v>
      </c>
      <c r="M434" s="78">
        <v>0</v>
      </c>
      <c r="N434" s="78">
        <v>0</v>
      </c>
      <c r="O434" s="78">
        <v>23</v>
      </c>
      <c r="P434" s="79" t="s">
        <v>144</v>
      </c>
      <c r="Q434" s="54">
        <v>91</v>
      </c>
    </row>
    <row r="435" spans="1:17" x14ac:dyDescent="0.3">
      <c r="A435" s="76">
        <v>7</v>
      </c>
      <c r="B435" s="76"/>
      <c r="C435" s="76">
        <v>2</v>
      </c>
      <c r="D435" s="76"/>
      <c r="E435" s="76">
        <v>3</v>
      </c>
      <c r="F435" s="76"/>
      <c r="G435" s="76">
        <v>1</v>
      </c>
      <c r="H435" s="76"/>
      <c r="I435" s="76">
        <v>8</v>
      </c>
      <c r="J435" s="76"/>
      <c r="K435" s="76">
        <v>0</v>
      </c>
      <c r="L435" s="76">
        <v>0</v>
      </c>
      <c r="M435" s="76">
        <v>0</v>
      </c>
      <c r="N435" s="76">
        <v>0</v>
      </c>
      <c r="O435" s="76">
        <v>21</v>
      </c>
      <c r="P435" s="77" t="s">
        <v>10</v>
      </c>
      <c r="Q435" s="53">
        <v>95</v>
      </c>
    </row>
    <row r="436" spans="1:17" x14ac:dyDescent="0.3">
      <c r="A436" s="78">
        <v>10</v>
      </c>
      <c r="B436" s="78"/>
      <c r="C436" s="78">
        <v>10</v>
      </c>
      <c r="D436" s="78"/>
      <c r="E436" s="78">
        <v>12</v>
      </c>
      <c r="F436" s="78"/>
      <c r="G436" s="78">
        <v>13</v>
      </c>
      <c r="H436" s="78"/>
      <c r="I436" s="78">
        <v>36</v>
      </c>
      <c r="J436" s="78"/>
      <c r="K436" s="78">
        <v>34</v>
      </c>
      <c r="L436" s="78">
        <v>1468.8000000000002</v>
      </c>
      <c r="M436" s="78">
        <v>0</v>
      </c>
      <c r="N436" s="78">
        <v>0</v>
      </c>
      <c r="O436" s="78">
        <v>115</v>
      </c>
      <c r="P436" s="79" t="s">
        <v>10</v>
      </c>
      <c r="Q436" s="54">
        <v>98</v>
      </c>
    </row>
    <row r="437" spans="1:17" x14ac:dyDescent="0.3">
      <c r="A437" s="76">
        <v>10</v>
      </c>
      <c r="B437" s="76"/>
      <c r="C437" s="76">
        <v>0</v>
      </c>
      <c r="D437" s="76"/>
      <c r="E437" s="76">
        <v>0</v>
      </c>
      <c r="F437" s="76"/>
      <c r="G437" s="76">
        <v>0</v>
      </c>
      <c r="H437" s="76"/>
      <c r="I437" s="76">
        <v>0</v>
      </c>
      <c r="J437" s="76"/>
      <c r="K437" s="76">
        <v>0</v>
      </c>
      <c r="L437" s="76">
        <v>0</v>
      </c>
      <c r="M437" s="76">
        <v>0</v>
      </c>
      <c r="N437" s="76">
        <v>0</v>
      </c>
      <c r="O437" s="76">
        <v>10</v>
      </c>
      <c r="P437" s="77" t="s">
        <v>144</v>
      </c>
      <c r="Q437" s="53">
        <v>98</v>
      </c>
    </row>
    <row r="438" spans="1:17" x14ac:dyDescent="0.3">
      <c r="A438" s="78">
        <v>12</v>
      </c>
      <c r="B438" s="78"/>
      <c r="C438" s="78">
        <v>12</v>
      </c>
      <c r="D438" s="78"/>
      <c r="E438" s="78">
        <v>9</v>
      </c>
      <c r="F438" s="78"/>
      <c r="G438" s="78">
        <v>10</v>
      </c>
      <c r="H438" s="78"/>
      <c r="I438" s="78">
        <v>13</v>
      </c>
      <c r="J438" s="78"/>
      <c r="K438" s="78">
        <v>13</v>
      </c>
      <c r="L438" s="78">
        <v>2548</v>
      </c>
      <c r="M438" s="78">
        <v>15</v>
      </c>
      <c r="N438" s="78">
        <v>2940</v>
      </c>
      <c r="O438" s="78">
        <v>69</v>
      </c>
      <c r="P438" s="79" t="s">
        <v>144</v>
      </c>
      <c r="Q438" s="54">
        <v>93</v>
      </c>
    </row>
    <row r="439" spans="1:17" x14ac:dyDescent="0.3">
      <c r="A439" s="76">
        <v>15</v>
      </c>
      <c r="B439" s="76"/>
      <c r="C439" s="76">
        <v>15</v>
      </c>
      <c r="D439" s="76"/>
      <c r="E439" s="76">
        <v>0</v>
      </c>
      <c r="F439" s="76"/>
      <c r="G439" s="76">
        <v>0</v>
      </c>
      <c r="H439" s="76"/>
      <c r="I439" s="76">
        <v>0</v>
      </c>
      <c r="J439" s="76"/>
      <c r="K439" s="76">
        <v>0</v>
      </c>
      <c r="L439" s="76">
        <v>0</v>
      </c>
      <c r="M439" s="76">
        <v>0</v>
      </c>
      <c r="N439" s="76">
        <v>0</v>
      </c>
      <c r="O439" s="76">
        <v>30</v>
      </c>
      <c r="P439" s="77" t="s">
        <v>10</v>
      </c>
      <c r="Q439" s="53">
        <v>94</v>
      </c>
    </row>
    <row r="440" spans="1:17" x14ac:dyDescent="0.3">
      <c r="A440" s="78">
        <v>15</v>
      </c>
      <c r="B440" s="78"/>
      <c r="C440" s="78">
        <v>15</v>
      </c>
      <c r="D440" s="78"/>
      <c r="E440" s="78">
        <v>7</v>
      </c>
      <c r="F440" s="78"/>
      <c r="G440" s="78">
        <v>8</v>
      </c>
      <c r="H440" s="78"/>
      <c r="I440" s="78">
        <v>27</v>
      </c>
      <c r="J440" s="78"/>
      <c r="K440" s="78">
        <v>12</v>
      </c>
      <c r="L440" s="78">
        <v>715.2</v>
      </c>
      <c r="M440" s="78">
        <v>177</v>
      </c>
      <c r="N440" s="78">
        <v>10549.2</v>
      </c>
      <c r="O440" s="78">
        <v>84</v>
      </c>
      <c r="P440" s="79" t="s">
        <v>10</v>
      </c>
      <c r="Q440" s="54">
        <v>97</v>
      </c>
    </row>
    <row r="441" spans="1:17" x14ac:dyDescent="0.3">
      <c r="A441" s="76">
        <v>15</v>
      </c>
      <c r="B441" s="76"/>
      <c r="C441" s="76">
        <v>10</v>
      </c>
      <c r="D441" s="76"/>
      <c r="E441" s="76">
        <v>8</v>
      </c>
      <c r="F441" s="76"/>
      <c r="G441" s="76">
        <v>10</v>
      </c>
      <c r="H441" s="76"/>
      <c r="I441" s="76">
        <v>25</v>
      </c>
      <c r="J441" s="76"/>
      <c r="K441" s="76">
        <v>10</v>
      </c>
      <c r="L441" s="76">
        <v>1660</v>
      </c>
      <c r="M441" s="76">
        <v>3</v>
      </c>
      <c r="N441" s="76">
        <v>498</v>
      </c>
      <c r="O441" s="76">
        <v>78</v>
      </c>
      <c r="P441" s="77" t="s">
        <v>144</v>
      </c>
      <c r="Q441" s="53">
        <v>96</v>
      </c>
    </row>
    <row r="442" spans="1:17" x14ac:dyDescent="0.3">
      <c r="A442" s="78">
        <v>15</v>
      </c>
      <c r="B442" s="78"/>
      <c r="C442" s="78">
        <v>17</v>
      </c>
      <c r="D442" s="78"/>
      <c r="E442" s="78">
        <v>15</v>
      </c>
      <c r="F442" s="78"/>
      <c r="G442" s="78">
        <v>20</v>
      </c>
      <c r="H442" s="78"/>
      <c r="I442" s="78">
        <v>35</v>
      </c>
      <c r="J442" s="78"/>
      <c r="K442" s="78">
        <v>24</v>
      </c>
      <c r="L442" s="78">
        <v>3984</v>
      </c>
      <c r="M442" s="78">
        <v>15</v>
      </c>
      <c r="N442" s="78">
        <v>2490</v>
      </c>
      <c r="O442" s="78">
        <v>126</v>
      </c>
      <c r="P442" s="79" t="s">
        <v>144</v>
      </c>
      <c r="Q442" s="54">
        <v>90</v>
      </c>
    </row>
    <row r="443" spans="1:17" x14ac:dyDescent="0.3">
      <c r="A443" s="76">
        <v>19</v>
      </c>
      <c r="B443" s="76"/>
      <c r="C443" s="76">
        <v>41</v>
      </c>
      <c r="D443" s="76"/>
      <c r="E443" s="76">
        <v>40</v>
      </c>
      <c r="F443" s="76"/>
      <c r="G443" s="76">
        <v>23</v>
      </c>
      <c r="H443" s="76"/>
      <c r="I443" s="76">
        <v>70</v>
      </c>
      <c r="J443" s="76"/>
      <c r="K443" s="76">
        <v>22</v>
      </c>
      <c r="L443" s="76">
        <v>4444</v>
      </c>
      <c r="M443" s="76">
        <v>25</v>
      </c>
      <c r="N443" s="76">
        <v>5050</v>
      </c>
      <c r="O443" s="76">
        <v>215</v>
      </c>
      <c r="P443" s="77" t="s">
        <v>144</v>
      </c>
      <c r="Q443" s="53">
        <v>97</v>
      </c>
    </row>
    <row r="444" spans="1:17" x14ac:dyDescent="0.3">
      <c r="A444" s="78">
        <v>20</v>
      </c>
      <c r="B444" s="78"/>
      <c r="C444" s="78">
        <v>25</v>
      </c>
      <c r="D444" s="78"/>
      <c r="E444" s="78">
        <v>60</v>
      </c>
      <c r="F444" s="78"/>
      <c r="G444" s="78">
        <v>45</v>
      </c>
      <c r="H444" s="78"/>
      <c r="I444" s="78">
        <v>55</v>
      </c>
      <c r="J444" s="78"/>
      <c r="K444" s="78">
        <v>130</v>
      </c>
      <c r="L444" s="78">
        <v>15080</v>
      </c>
      <c r="M444" s="78">
        <v>0</v>
      </c>
      <c r="N444" s="78">
        <v>0</v>
      </c>
      <c r="O444" s="78">
        <v>335</v>
      </c>
      <c r="P444" s="79" t="s">
        <v>144</v>
      </c>
      <c r="Q444" s="54">
        <v>91</v>
      </c>
    </row>
    <row r="445" spans="1:17" x14ac:dyDescent="0.3">
      <c r="A445" s="76">
        <v>23</v>
      </c>
      <c r="B445" s="76"/>
      <c r="C445" s="76">
        <v>20</v>
      </c>
      <c r="D445" s="76"/>
      <c r="E445" s="76">
        <v>15</v>
      </c>
      <c r="F445" s="76"/>
      <c r="G445" s="76">
        <v>10</v>
      </c>
      <c r="H445" s="76"/>
      <c r="I445" s="76">
        <v>13</v>
      </c>
      <c r="J445" s="76"/>
      <c r="K445" s="76">
        <v>20</v>
      </c>
      <c r="L445" s="76">
        <v>3480.0000000000005</v>
      </c>
      <c r="M445" s="76">
        <v>15</v>
      </c>
      <c r="N445" s="76">
        <v>2610</v>
      </c>
      <c r="O445" s="76">
        <v>101</v>
      </c>
      <c r="P445" s="77" t="s">
        <v>144</v>
      </c>
      <c r="Q445" s="53">
        <v>98</v>
      </c>
    </row>
    <row r="446" spans="1:17" x14ac:dyDescent="0.3">
      <c r="A446" s="78">
        <v>25</v>
      </c>
      <c r="B446" s="78"/>
      <c r="C446" s="78">
        <v>30</v>
      </c>
      <c r="D446" s="78"/>
      <c r="E446" s="78">
        <v>10</v>
      </c>
      <c r="F446" s="78"/>
      <c r="G446" s="78">
        <v>20</v>
      </c>
      <c r="H446" s="78"/>
      <c r="I446" s="78">
        <v>43</v>
      </c>
      <c r="J446" s="78"/>
      <c r="K446" s="78">
        <v>55</v>
      </c>
      <c r="L446" s="78">
        <v>11880</v>
      </c>
      <c r="M446" s="78">
        <v>10</v>
      </c>
      <c r="N446" s="78">
        <v>2160</v>
      </c>
      <c r="O446" s="78">
        <v>183</v>
      </c>
      <c r="P446" s="79" t="s">
        <v>144</v>
      </c>
      <c r="Q446" s="54">
        <v>98</v>
      </c>
    </row>
    <row r="447" spans="1:17" x14ac:dyDescent="0.3">
      <c r="A447" s="76">
        <v>32</v>
      </c>
      <c r="B447" s="76"/>
      <c r="C447" s="76">
        <v>20</v>
      </c>
      <c r="D447" s="76"/>
      <c r="E447" s="76">
        <v>24</v>
      </c>
      <c r="F447" s="76"/>
      <c r="G447" s="76">
        <v>49</v>
      </c>
      <c r="H447" s="76"/>
      <c r="I447" s="76">
        <v>40</v>
      </c>
      <c r="J447" s="76"/>
      <c r="K447" s="76">
        <v>69</v>
      </c>
      <c r="L447" s="76">
        <v>3408.6000000000004</v>
      </c>
      <c r="M447" s="76">
        <v>59</v>
      </c>
      <c r="N447" s="76">
        <v>2914.6000000000004</v>
      </c>
      <c r="O447" s="76">
        <v>234</v>
      </c>
      <c r="P447" s="77" t="s">
        <v>10</v>
      </c>
      <c r="Q447" s="53">
        <v>94</v>
      </c>
    </row>
    <row r="448" spans="1:17" x14ac:dyDescent="0.3">
      <c r="A448" s="78">
        <v>35</v>
      </c>
      <c r="B448" s="78"/>
      <c r="C448" s="78">
        <v>55</v>
      </c>
      <c r="D448" s="78"/>
      <c r="E448" s="78">
        <v>2</v>
      </c>
      <c r="F448" s="78"/>
      <c r="G448" s="78">
        <v>10</v>
      </c>
      <c r="H448" s="78"/>
      <c r="I448" s="78">
        <v>62</v>
      </c>
      <c r="J448" s="78"/>
      <c r="K448" s="78">
        <v>57</v>
      </c>
      <c r="L448" s="78">
        <v>11172</v>
      </c>
      <c r="M448" s="78">
        <v>315</v>
      </c>
      <c r="N448" s="78">
        <v>61740</v>
      </c>
      <c r="O448" s="78">
        <v>221</v>
      </c>
      <c r="P448" s="79" t="s">
        <v>144</v>
      </c>
      <c r="Q448" s="54">
        <v>92</v>
      </c>
    </row>
    <row r="449" spans="1:17" x14ac:dyDescent="0.3">
      <c r="A449" s="76">
        <v>36</v>
      </c>
      <c r="B449" s="76"/>
      <c r="C449" s="76">
        <v>40</v>
      </c>
      <c r="D449" s="76"/>
      <c r="E449" s="76">
        <v>45</v>
      </c>
      <c r="F449" s="76"/>
      <c r="G449" s="76">
        <v>141</v>
      </c>
      <c r="H449" s="76"/>
      <c r="I449" s="76">
        <v>156</v>
      </c>
      <c r="J449" s="76"/>
      <c r="K449" s="76">
        <v>73</v>
      </c>
      <c r="L449" s="76">
        <v>16133</v>
      </c>
      <c r="M449" s="76">
        <v>39</v>
      </c>
      <c r="N449" s="76">
        <v>8619</v>
      </c>
      <c r="O449" s="76">
        <v>491</v>
      </c>
      <c r="P449" s="77" t="s">
        <v>10</v>
      </c>
      <c r="Q449" s="53">
        <v>92</v>
      </c>
    </row>
    <row r="450" spans="1:17" x14ac:dyDescent="0.3">
      <c r="A450" s="78">
        <v>36</v>
      </c>
      <c r="B450" s="78"/>
      <c r="C450" s="78">
        <v>49</v>
      </c>
      <c r="D450" s="78"/>
      <c r="E450" s="78">
        <v>38</v>
      </c>
      <c r="F450" s="78"/>
      <c r="G450" s="78">
        <v>69</v>
      </c>
      <c r="H450" s="78"/>
      <c r="I450" s="78">
        <v>39</v>
      </c>
      <c r="J450" s="78"/>
      <c r="K450" s="78">
        <v>46</v>
      </c>
      <c r="L450" s="78">
        <v>1150</v>
      </c>
      <c r="M450" s="78">
        <v>8</v>
      </c>
      <c r="N450" s="78">
        <v>200</v>
      </c>
      <c r="O450" s="78">
        <v>277</v>
      </c>
      <c r="P450" s="79" t="s">
        <v>10</v>
      </c>
      <c r="Q450" s="54">
        <v>94</v>
      </c>
    </row>
    <row r="451" spans="1:17" x14ac:dyDescent="0.3">
      <c r="A451" s="76">
        <v>38</v>
      </c>
      <c r="B451" s="76"/>
      <c r="C451" s="76">
        <v>16</v>
      </c>
      <c r="D451" s="76"/>
      <c r="E451" s="76">
        <v>36</v>
      </c>
      <c r="F451" s="76"/>
      <c r="G451" s="76">
        <v>79</v>
      </c>
      <c r="H451" s="76"/>
      <c r="I451" s="76">
        <v>23</v>
      </c>
      <c r="J451" s="76"/>
      <c r="K451" s="76">
        <v>78</v>
      </c>
      <c r="L451" s="76">
        <v>7956</v>
      </c>
      <c r="M451" s="76">
        <v>124</v>
      </c>
      <c r="N451" s="76">
        <v>12648</v>
      </c>
      <c r="O451" s="76">
        <v>270</v>
      </c>
      <c r="P451" s="77" t="s">
        <v>10</v>
      </c>
      <c r="Q451" s="53">
        <v>97</v>
      </c>
    </row>
    <row r="452" spans="1:17" x14ac:dyDescent="0.3">
      <c r="A452" s="78">
        <v>40</v>
      </c>
      <c r="B452" s="78"/>
      <c r="C452" s="78">
        <v>30</v>
      </c>
      <c r="D452" s="78"/>
      <c r="E452" s="78">
        <v>0</v>
      </c>
      <c r="F452" s="78"/>
      <c r="G452" s="78">
        <v>0</v>
      </c>
      <c r="H452" s="78"/>
      <c r="I452" s="78">
        <v>0</v>
      </c>
      <c r="J452" s="78"/>
      <c r="K452" s="78">
        <v>0</v>
      </c>
      <c r="L452" s="78">
        <v>0</v>
      </c>
      <c r="M452" s="78">
        <v>0</v>
      </c>
      <c r="N452" s="78">
        <v>0</v>
      </c>
      <c r="O452" s="78">
        <v>70</v>
      </c>
      <c r="P452" s="79" t="s">
        <v>144</v>
      </c>
      <c r="Q452" s="54">
        <v>91</v>
      </c>
    </row>
    <row r="453" spans="1:17" x14ac:dyDescent="0.3">
      <c r="A453" s="76">
        <v>41</v>
      </c>
      <c r="B453" s="76"/>
      <c r="C453" s="76">
        <v>106</v>
      </c>
      <c r="D453" s="76"/>
      <c r="E453" s="76">
        <v>81</v>
      </c>
      <c r="F453" s="76"/>
      <c r="G453" s="76">
        <v>215</v>
      </c>
      <c r="H453" s="76"/>
      <c r="I453" s="76">
        <v>255</v>
      </c>
      <c r="J453" s="76"/>
      <c r="K453" s="76">
        <v>72</v>
      </c>
      <c r="L453" s="76">
        <v>17784</v>
      </c>
      <c r="M453" s="76">
        <v>21</v>
      </c>
      <c r="N453" s="76">
        <v>5187</v>
      </c>
      <c r="O453" s="76">
        <v>770</v>
      </c>
      <c r="P453" s="77" t="s">
        <v>10</v>
      </c>
      <c r="Q453" s="53">
        <v>93</v>
      </c>
    </row>
    <row r="454" spans="1:17" x14ac:dyDescent="0.3">
      <c r="A454" s="78">
        <v>41</v>
      </c>
      <c r="B454" s="78"/>
      <c r="C454" s="78">
        <v>68</v>
      </c>
      <c r="D454" s="78"/>
      <c r="E454" s="78">
        <v>183</v>
      </c>
      <c r="F454" s="78"/>
      <c r="G454" s="78">
        <v>73</v>
      </c>
      <c r="H454" s="78"/>
      <c r="I454" s="78">
        <v>79</v>
      </c>
      <c r="J454" s="78"/>
      <c r="K454" s="78">
        <v>314</v>
      </c>
      <c r="L454" s="78">
        <v>8603.6</v>
      </c>
      <c r="M454" s="78">
        <v>156</v>
      </c>
      <c r="N454" s="78">
        <v>4274.3999999999996</v>
      </c>
      <c r="O454" s="78">
        <v>758</v>
      </c>
      <c r="P454" s="79" t="s">
        <v>10</v>
      </c>
      <c r="Q454" s="54">
        <v>97</v>
      </c>
    </row>
    <row r="455" spans="1:17" x14ac:dyDescent="0.3">
      <c r="A455" s="76">
        <v>45</v>
      </c>
      <c r="B455" s="76"/>
      <c r="C455" s="76">
        <v>3</v>
      </c>
      <c r="D455" s="76"/>
      <c r="E455" s="76">
        <v>10</v>
      </c>
      <c r="F455" s="76"/>
      <c r="G455" s="76">
        <v>21</v>
      </c>
      <c r="H455" s="76"/>
      <c r="I455" s="76">
        <v>1</v>
      </c>
      <c r="J455" s="76"/>
      <c r="K455" s="76">
        <v>40</v>
      </c>
      <c r="L455" s="76">
        <v>2384</v>
      </c>
      <c r="M455" s="76">
        <v>41</v>
      </c>
      <c r="N455" s="76">
        <v>2443.6</v>
      </c>
      <c r="O455" s="76">
        <v>120</v>
      </c>
      <c r="P455" s="77" t="s">
        <v>10</v>
      </c>
      <c r="Q455" s="53">
        <v>91</v>
      </c>
    </row>
    <row r="456" spans="1:17" x14ac:dyDescent="0.3">
      <c r="A456" s="78">
        <v>45</v>
      </c>
      <c r="B456" s="78"/>
      <c r="C456" s="78">
        <v>50</v>
      </c>
      <c r="D456" s="78"/>
      <c r="E456" s="78">
        <v>80</v>
      </c>
      <c r="F456" s="78"/>
      <c r="G456" s="78">
        <v>50</v>
      </c>
      <c r="H456" s="78"/>
      <c r="I456" s="78">
        <v>120</v>
      </c>
      <c r="J456" s="78"/>
      <c r="K456" s="78">
        <v>103</v>
      </c>
      <c r="L456" s="78">
        <v>10567.8</v>
      </c>
      <c r="M456" s="78">
        <v>69</v>
      </c>
      <c r="N456" s="78">
        <v>7079.4</v>
      </c>
      <c r="O456" s="78">
        <v>448</v>
      </c>
      <c r="P456" s="79" t="s">
        <v>144</v>
      </c>
      <c r="Q456" s="54">
        <v>100</v>
      </c>
    </row>
    <row r="457" spans="1:17" x14ac:dyDescent="0.3">
      <c r="A457" s="76">
        <v>51</v>
      </c>
      <c r="B457" s="76"/>
      <c r="C457" s="76">
        <v>78</v>
      </c>
      <c r="D457" s="76"/>
      <c r="E457" s="76">
        <v>193</v>
      </c>
      <c r="F457" s="76"/>
      <c r="G457" s="76">
        <v>0</v>
      </c>
      <c r="H457" s="76"/>
      <c r="I457" s="76">
        <v>0</v>
      </c>
      <c r="J457" s="76"/>
      <c r="K457" s="76">
        <v>0</v>
      </c>
      <c r="L457" s="76">
        <v>0</v>
      </c>
      <c r="M457" s="76">
        <v>0</v>
      </c>
      <c r="N457" s="76">
        <v>0</v>
      </c>
      <c r="O457" s="76">
        <v>322</v>
      </c>
      <c r="P457" s="77" t="s">
        <v>10</v>
      </c>
      <c r="Q457" s="53">
        <v>94</v>
      </c>
    </row>
    <row r="458" spans="1:17" x14ac:dyDescent="0.3">
      <c r="A458" s="78">
        <v>58</v>
      </c>
      <c r="B458" s="78"/>
      <c r="C458" s="78">
        <v>75</v>
      </c>
      <c r="D458" s="78"/>
      <c r="E458" s="78">
        <v>39</v>
      </c>
      <c r="F458" s="78"/>
      <c r="G458" s="78">
        <v>16</v>
      </c>
      <c r="H458" s="78"/>
      <c r="I458" s="78">
        <v>21</v>
      </c>
      <c r="J458" s="78"/>
      <c r="K458" s="78">
        <v>60</v>
      </c>
      <c r="L458" s="78">
        <v>22560</v>
      </c>
      <c r="M458" s="78">
        <v>64</v>
      </c>
      <c r="N458" s="78">
        <v>24064</v>
      </c>
      <c r="O458" s="78">
        <v>269</v>
      </c>
      <c r="P458" s="79" t="s">
        <v>10</v>
      </c>
      <c r="Q458" s="54">
        <v>100</v>
      </c>
    </row>
    <row r="459" spans="1:17" x14ac:dyDescent="0.3">
      <c r="A459" s="76">
        <v>60</v>
      </c>
      <c r="B459" s="76"/>
      <c r="C459" s="76">
        <v>68</v>
      </c>
      <c r="D459" s="76"/>
      <c r="E459" s="76">
        <v>315</v>
      </c>
      <c r="F459" s="76"/>
      <c r="G459" s="76">
        <v>56</v>
      </c>
      <c r="H459" s="76"/>
      <c r="I459" s="76">
        <v>132</v>
      </c>
      <c r="J459" s="76"/>
      <c r="K459" s="76">
        <v>160</v>
      </c>
      <c r="L459" s="76">
        <v>6816</v>
      </c>
      <c r="M459" s="76">
        <v>168</v>
      </c>
      <c r="N459" s="76">
        <v>7156.8</v>
      </c>
      <c r="O459" s="76">
        <v>791</v>
      </c>
      <c r="P459" s="77" t="s">
        <v>10</v>
      </c>
      <c r="Q459" s="53">
        <v>99</v>
      </c>
    </row>
    <row r="460" spans="1:17" x14ac:dyDescent="0.3">
      <c r="A460" s="78">
        <v>61</v>
      </c>
      <c r="B460" s="78"/>
      <c r="C460" s="78">
        <v>97</v>
      </c>
      <c r="D460" s="78"/>
      <c r="E460" s="78">
        <v>29</v>
      </c>
      <c r="F460" s="78"/>
      <c r="G460" s="78">
        <v>91</v>
      </c>
      <c r="H460" s="78"/>
      <c r="I460" s="78">
        <v>62</v>
      </c>
      <c r="J460" s="78"/>
      <c r="K460" s="78">
        <v>419</v>
      </c>
      <c r="L460" s="78">
        <v>17598</v>
      </c>
      <c r="M460" s="78">
        <v>37</v>
      </c>
      <c r="N460" s="78">
        <v>1554</v>
      </c>
      <c r="O460" s="78">
        <v>759</v>
      </c>
      <c r="P460" s="79" t="s">
        <v>10</v>
      </c>
      <c r="Q460" s="54">
        <v>96</v>
      </c>
    </row>
    <row r="461" spans="1:17" x14ac:dyDescent="0.3">
      <c r="A461" s="76">
        <v>62</v>
      </c>
      <c r="B461" s="76"/>
      <c r="C461" s="76">
        <v>36</v>
      </c>
      <c r="D461" s="76"/>
      <c r="E461" s="76">
        <v>46</v>
      </c>
      <c r="F461" s="76"/>
      <c r="G461" s="76">
        <v>34</v>
      </c>
      <c r="H461" s="76"/>
      <c r="I461" s="76">
        <v>1</v>
      </c>
      <c r="J461" s="76"/>
      <c r="K461" s="76">
        <v>1</v>
      </c>
      <c r="L461" s="76">
        <v>25.200000000000003</v>
      </c>
      <c r="M461" s="76">
        <v>4</v>
      </c>
      <c r="N461" s="76">
        <v>100.80000000000001</v>
      </c>
      <c r="O461" s="76">
        <v>180</v>
      </c>
      <c r="P461" s="77" t="s">
        <v>10</v>
      </c>
      <c r="Q461" s="53">
        <v>100</v>
      </c>
    </row>
    <row r="462" spans="1:17" x14ac:dyDescent="0.3">
      <c r="A462" s="78">
        <v>65</v>
      </c>
      <c r="B462" s="78"/>
      <c r="C462" s="78">
        <v>50</v>
      </c>
      <c r="D462" s="78"/>
      <c r="E462" s="78">
        <v>95</v>
      </c>
      <c r="F462" s="78"/>
      <c r="G462" s="78">
        <v>89</v>
      </c>
      <c r="H462" s="78"/>
      <c r="I462" s="78">
        <v>66</v>
      </c>
      <c r="J462" s="78"/>
      <c r="K462" s="78">
        <v>30</v>
      </c>
      <c r="L462" s="78">
        <v>870</v>
      </c>
      <c r="M462" s="78">
        <v>0</v>
      </c>
      <c r="N462" s="78">
        <v>0</v>
      </c>
      <c r="O462" s="78">
        <v>395</v>
      </c>
      <c r="P462" s="79" t="s">
        <v>144</v>
      </c>
      <c r="Q462" s="54">
        <v>93</v>
      </c>
    </row>
    <row r="463" spans="1:17" x14ac:dyDescent="0.3">
      <c r="A463" s="76">
        <v>70</v>
      </c>
      <c r="B463" s="76"/>
      <c r="C463" s="76">
        <v>55</v>
      </c>
      <c r="D463" s="76"/>
      <c r="E463" s="76">
        <v>30</v>
      </c>
      <c r="F463" s="76"/>
      <c r="G463" s="76">
        <v>55</v>
      </c>
      <c r="H463" s="76"/>
      <c r="I463" s="76">
        <v>168</v>
      </c>
      <c r="J463" s="76"/>
      <c r="K463" s="76">
        <v>213</v>
      </c>
      <c r="L463" s="76">
        <v>35358</v>
      </c>
      <c r="M463" s="76">
        <v>230</v>
      </c>
      <c r="N463" s="76">
        <v>38180</v>
      </c>
      <c r="O463" s="76">
        <v>591</v>
      </c>
      <c r="P463" s="77" t="s">
        <v>144</v>
      </c>
      <c r="Q463" s="53">
        <v>90</v>
      </c>
    </row>
    <row r="464" spans="1:17" x14ac:dyDescent="0.3">
      <c r="A464" s="78">
        <v>80</v>
      </c>
      <c r="B464" s="78"/>
      <c r="C464" s="78">
        <v>71</v>
      </c>
      <c r="D464" s="78"/>
      <c r="E464" s="78">
        <v>200</v>
      </c>
      <c r="F464" s="78"/>
      <c r="G464" s="78">
        <v>114</v>
      </c>
      <c r="H464" s="78"/>
      <c r="I464" s="78">
        <v>210</v>
      </c>
      <c r="J464" s="78"/>
      <c r="K464" s="78">
        <v>116</v>
      </c>
      <c r="L464" s="78">
        <v>2296.8000000000002</v>
      </c>
      <c r="M464" s="78">
        <v>408</v>
      </c>
      <c r="N464" s="78">
        <v>8078.4</v>
      </c>
      <c r="O464" s="78">
        <v>791</v>
      </c>
      <c r="P464" s="79" t="s">
        <v>10</v>
      </c>
      <c r="Q464" s="54">
        <v>97</v>
      </c>
    </row>
    <row r="465" spans="1:17" x14ac:dyDescent="0.3">
      <c r="A465" s="76">
        <v>85</v>
      </c>
      <c r="B465" s="76"/>
      <c r="C465" s="76">
        <v>34</v>
      </c>
      <c r="D465" s="76"/>
      <c r="E465" s="76">
        <v>33</v>
      </c>
      <c r="F465" s="76"/>
      <c r="G465" s="76">
        <v>10</v>
      </c>
      <c r="H465" s="76"/>
      <c r="I465" s="76">
        <v>0</v>
      </c>
      <c r="J465" s="76"/>
      <c r="K465" s="76">
        <v>0</v>
      </c>
      <c r="L465" s="76">
        <v>0</v>
      </c>
      <c r="M465" s="76">
        <v>0</v>
      </c>
      <c r="N465" s="76">
        <v>0</v>
      </c>
      <c r="O465" s="76">
        <v>162</v>
      </c>
      <c r="P465" s="77" t="s">
        <v>144</v>
      </c>
      <c r="Q465" s="53">
        <v>92</v>
      </c>
    </row>
    <row r="466" spans="1:17" x14ac:dyDescent="0.3">
      <c r="A466" s="78">
        <v>94</v>
      </c>
      <c r="B466" s="78"/>
      <c r="C466" s="78">
        <v>138</v>
      </c>
      <c r="D466" s="78"/>
      <c r="E466" s="78">
        <v>124</v>
      </c>
      <c r="F466" s="78"/>
      <c r="G466" s="78">
        <v>72</v>
      </c>
      <c r="H466" s="78"/>
      <c r="I466" s="78">
        <v>10</v>
      </c>
      <c r="J466" s="78"/>
      <c r="K466" s="78">
        <v>0</v>
      </c>
      <c r="L466" s="78">
        <v>0</v>
      </c>
      <c r="M466" s="78">
        <v>0</v>
      </c>
      <c r="N466" s="78">
        <v>0</v>
      </c>
      <c r="O466" s="78">
        <v>438</v>
      </c>
      <c r="P466" s="79" t="s">
        <v>10</v>
      </c>
      <c r="Q466" s="54">
        <v>99</v>
      </c>
    </row>
    <row r="467" spans="1:17" x14ac:dyDescent="0.3">
      <c r="A467" s="76">
        <v>112</v>
      </c>
      <c r="B467" s="76"/>
      <c r="C467" s="76">
        <v>98</v>
      </c>
      <c r="D467" s="76"/>
      <c r="E467" s="76">
        <v>92</v>
      </c>
      <c r="F467" s="76"/>
      <c r="G467" s="76">
        <v>235</v>
      </c>
      <c r="H467" s="76"/>
      <c r="I467" s="76">
        <v>176</v>
      </c>
      <c r="J467" s="76"/>
      <c r="K467" s="76">
        <v>88</v>
      </c>
      <c r="L467" s="76">
        <v>7656</v>
      </c>
      <c r="M467" s="76">
        <v>28</v>
      </c>
      <c r="N467" s="76">
        <v>2436</v>
      </c>
      <c r="O467" s="76">
        <v>801</v>
      </c>
      <c r="P467" s="77" t="s">
        <v>10</v>
      </c>
      <c r="Q467" s="53">
        <v>97</v>
      </c>
    </row>
    <row r="468" spans="1:17" x14ac:dyDescent="0.3">
      <c r="A468" s="78">
        <v>116</v>
      </c>
      <c r="B468" s="78"/>
      <c r="C468" s="78">
        <v>164</v>
      </c>
      <c r="D468" s="78"/>
      <c r="E468" s="78">
        <v>319</v>
      </c>
      <c r="F468" s="78"/>
      <c r="G468" s="78">
        <v>251</v>
      </c>
      <c r="H468" s="78"/>
      <c r="I468" s="78">
        <v>207</v>
      </c>
      <c r="J468" s="78"/>
      <c r="K468" s="78">
        <v>182</v>
      </c>
      <c r="L468" s="78">
        <v>6734</v>
      </c>
      <c r="M468" s="78">
        <v>54</v>
      </c>
      <c r="N468" s="78">
        <v>1998</v>
      </c>
      <c r="O468" s="78">
        <v>1239</v>
      </c>
      <c r="P468" s="79" t="s">
        <v>10</v>
      </c>
      <c r="Q468" s="54">
        <v>96</v>
      </c>
    </row>
    <row r="469" spans="1:17" x14ac:dyDescent="0.3">
      <c r="A469" s="76">
        <v>124</v>
      </c>
      <c r="B469" s="76"/>
      <c r="C469" s="76">
        <v>4</v>
      </c>
      <c r="D469" s="76"/>
      <c r="E469" s="76">
        <v>127</v>
      </c>
      <c r="F469" s="76"/>
      <c r="G469" s="76">
        <v>35</v>
      </c>
      <c r="H469" s="76"/>
      <c r="I469" s="76">
        <v>38</v>
      </c>
      <c r="J469" s="76"/>
      <c r="K469" s="76">
        <v>12</v>
      </c>
      <c r="L469" s="76">
        <v>302.39999999999998</v>
      </c>
      <c r="M469" s="76">
        <v>0</v>
      </c>
      <c r="N469" s="76">
        <v>0</v>
      </c>
      <c r="O469" s="76">
        <v>340</v>
      </c>
      <c r="P469" s="77" t="s">
        <v>10</v>
      </c>
      <c r="Q469" s="53">
        <v>97</v>
      </c>
    </row>
    <row r="470" spans="1:17" x14ac:dyDescent="0.3">
      <c r="A470" s="78">
        <v>163</v>
      </c>
      <c r="B470" s="78"/>
      <c r="C470" s="78">
        <v>33</v>
      </c>
      <c r="D470" s="78"/>
      <c r="E470" s="78">
        <v>68</v>
      </c>
      <c r="F470" s="78"/>
      <c r="G470" s="78">
        <v>32</v>
      </c>
      <c r="H470" s="78"/>
      <c r="I470" s="78">
        <v>138</v>
      </c>
      <c r="J470" s="78"/>
      <c r="K470" s="78">
        <v>386</v>
      </c>
      <c r="L470" s="78">
        <v>16443.599999999999</v>
      </c>
      <c r="M470" s="78">
        <v>233</v>
      </c>
      <c r="N470" s="78">
        <v>9925.7999999999993</v>
      </c>
      <c r="O470" s="78">
        <v>820</v>
      </c>
      <c r="P470" s="79" t="s">
        <v>10</v>
      </c>
      <c r="Q470" s="54">
        <v>91</v>
      </c>
    </row>
    <row r="471" spans="1:17" x14ac:dyDescent="0.3">
      <c r="A471" s="76">
        <v>200</v>
      </c>
      <c r="B471" s="76"/>
      <c r="C471" s="76">
        <v>233</v>
      </c>
      <c r="D471" s="76"/>
      <c r="E471" s="76">
        <v>150</v>
      </c>
      <c r="F471" s="76"/>
      <c r="G471" s="76">
        <v>200</v>
      </c>
      <c r="H471" s="76"/>
      <c r="I471" s="76">
        <v>148</v>
      </c>
      <c r="J471" s="76"/>
      <c r="K471" s="76">
        <v>150</v>
      </c>
      <c r="L471" s="76">
        <v>4050</v>
      </c>
      <c r="M471" s="76">
        <v>170</v>
      </c>
      <c r="N471" s="76">
        <v>4590</v>
      </c>
      <c r="O471" s="76">
        <v>1081</v>
      </c>
      <c r="P471" s="77" t="s">
        <v>144</v>
      </c>
      <c r="Q471" s="53">
        <v>96</v>
      </c>
    </row>
    <row r="472" spans="1:17" x14ac:dyDescent="0.3">
      <c r="A472" s="78">
        <v>230</v>
      </c>
      <c r="B472" s="78"/>
      <c r="C472" s="78">
        <v>215</v>
      </c>
      <c r="D472" s="78"/>
      <c r="E472" s="78">
        <v>150</v>
      </c>
      <c r="F472" s="78"/>
      <c r="G472" s="78">
        <v>20</v>
      </c>
      <c r="H472" s="78"/>
      <c r="I472" s="78">
        <v>80</v>
      </c>
      <c r="J472" s="78"/>
      <c r="K472" s="78">
        <v>40</v>
      </c>
      <c r="L472" s="78">
        <v>3760</v>
      </c>
      <c r="M472" s="78">
        <v>50</v>
      </c>
      <c r="N472" s="78">
        <v>4700</v>
      </c>
      <c r="O472" s="78">
        <v>735</v>
      </c>
      <c r="P472" s="79" t="s">
        <v>144</v>
      </c>
      <c r="Q472" s="54">
        <v>97</v>
      </c>
    </row>
    <row r="473" spans="1:17" x14ac:dyDescent="0.3">
      <c r="A473" s="76">
        <v>268</v>
      </c>
      <c r="B473" s="76"/>
      <c r="C473" s="76">
        <v>253</v>
      </c>
      <c r="D473" s="76"/>
      <c r="E473" s="76">
        <v>178</v>
      </c>
      <c r="F473" s="76"/>
      <c r="G473" s="76">
        <v>360</v>
      </c>
      <c r="H473" s="76"/>
      <c r="I473" s="76">
        <v>816</v>
      </c>
      <c r="J473" s="76"/>
      <c r="K473" s="76">
        <v>410</v>
      </c>
      <c r="L473" s="76">
        <v>29110</v>
      </c>
      <c r="M473" s="76">
        <v>301</v>
      </c>
      <c r="N473" s="76">
        <v>21371</v>
      </c>
      <c r="O473" s="76">
        <v>2285</v>
      </c>
      <c r="P473" s="77" t="s">
        <v>10</v>
      </c>
      <c r="Q473" s="53">
        <v>93</v>
      </c>
    </row>
    <row r="474" spans="1:17" x14ac:dyDescent="0.3">
      <c r="A474" s="78">
        <v>299</v>
      </c>
      <c r="B474" s="78"/>
      <c r="C474" s="78">
        <v>83</v>
      </c>
      <c r="D474" s="78"/>
      <c r="E474" s="78">
        <v>176</v>
      </c>
      <c r="F474" s="78"/>
      <c r="G474" s="78">
        <v>400</v>
      </c>
      <c r="H474" s="78"/>
      <c r="I474" s="78">
        <v>427</v>
      </c>
      <c r="J474" s="78"/>
      <c r="K474" s="78">
        <v>459</v>
      </c>
      <c r="L474" s="78">
        <v>8353.7999999999993</v>
      </c>
      <c r="M474" s="78">
        <v>369</v>
      </c>
      <c r="N474" s="78">
        <v>6715.8</v>
      </c>
      <c r="O474" s="78">
        <v>1844</v>
      </c>
      <c r="P474" s="79" t="s">
        <v>10</v>
      </c>
      <c r="Q474" s="54">
        <v>99</v>
      </c>
    </row>
    <row r="475" spans="1:17" x14ac:dyDescent="0.3">
      <c r="A475" s="76">
        <v>315</v>
      </c>
      <c r="B475" s="76"/>
      <c r="C475" s="76">
        <v>467</v>
      </c>
      <c r="D475" s="76"/>
      <c r="E475" s="76">
        <v>580</v>
      </c>
      <c r="F475" s="76"/>
      <c r="G475" s="76">
        <v>443</v>
      </c>
      <c r="H475" s="76"/>
      <c r="I475" s="76">
        <v>521</v>
      </c>
      <c r="J475" s="76"/>
      <c r="K475" s="76">
        <v>342</v>
      </c>
      <c r="L475" s="76">
        <v>14158.800000000001</v>
      </c>
      <c r="M475" s="76">
        <v>155</v>
      </c>
      <c r="N475" s="76">
        <v>6417.0000000000009</v>
      </c>
      <c r="O475" s="76">
        <v>2668</v>
      </c>
      <c r="P475" s="77" t="s">
        <v>144</v>
      </c>
      <c r="Q475" s="53">
        <v>96</v>
      </c>
    </row>
    <row r="476" spans="1:17" x14ac:dyDescent="0.3">
      <c r="A476" s="78">
        <v>332</v>
      </c>
      <c r="B476" s="78"/>
      <c r="C476" s="78">
        <v>280</v>
      </c>
      <c r="D476" s="78"/>
      <c r="E476" s="78">
        <v>309</v>
      </c>
      <c r="F476" s="78"/>
      <c r="G476" s="78">
        <v>280</v>
      </c>
      <c r="H476" s="78"/>
      <c r="I476" s="78">
        <v>255</v>
      </c>
      <c r="J476" s="78"/>
      <c r="K476" s="78">
        <v>244</v>
      </c>
      <c r="L476" s="78">
        <v>9467.2000000000007</v>
      </c>
      <c r="M476" s="78">
        <v>158</v>
      </c>
      <c r="N476" s="78">
        <v>6130.4</v>
      </c>
      <c r="O476" s="78">
        <v>1700</v>
      </c>
      <c r="P476" s="79" t="s">
        <v>144</v>
      </c>
      <c r="Q476" s="54">
        <v>94</v>
      </c>
    </row>
    <row r="477" spans="1:17" x14ac:dyDescent="0.3">
      <c r="A477" s="76">
        <v>382</v>
      </c>
      <c r="B477" s="76"/>
      <c r="C477" s="76">
        <v>425</v>
      </c>
      <c r="D477" s="76"/>
      <c r="E477" s="76">
        <v>323</v>
      </c>
      <c r="F477" s="76"/>
      <c r="G477" s="76">
        <v>238</v>
      </c>
      <c r="H477" s="76"/>
      <c r="I477" s="76">
        <v>484</v>
      </c>
      <c r="J477" s="76"/>
      <c r="K477" s="76">
        <v>394</v>
      </c>
      <c r="L477" s="76">
        <v>5988.8000000000011</v>
      </c>
      <c r="M477" s="76">
        <v>213</v>
      </c>
      <c r="N477" s="76">
        <v>3237.6000000000004</v>
      </c>
      <c r="O477" s="76">
        <v>2246</v>
      </c>
      <c r="P477" s="77" t="s">
        <v>10</v>
      </c>
      <c r="Q477" s="53">
        <v>97</v>
      </c>
    </row>
    <row r="478" spans="1:17" x14ac:dyDescent="0.3">
      <c r="A478" s="78">
        <v>405</v>
      </c>
      <c r="B478" s="78"/>
      <c r="C478" s="78">
        <v>534</v>
      </c>
      <c r="D478" s="78"/>
      <c r="E478" s="78">
        <v>987</v>
      </c>
      <c r="F478" s="78"/>
      <c r="G478" s="78">
        <v>1917</v>
      </c>
      <c r="H478" s="78"/>
      <c r="I478" s="78">
        <v>1047</v>
      </c>
      <c r="J478" s="78"/>
      <c r="K478" s="78">
        <v>326</v>
      </c>
      <c r="L478" s="78">
        <v>7563.2000000000007</v>
      </c>
      <c r="M478" s="78">
        <v>857</v>
      </c>
      <c r="N478" s="78">
        <v>19882.400000000001</v>
      </c>
      <c r="O478" s="78">
        <v>5216</v>
      </c>
      <c r="P478" s="79" t="s">
        <v>10</v>
      </c>
      <c r="Q478" s="54">
        <v>92</v>
      </c>
    </row>
    <row r="479" spans="1:17" x14ac:dyDescent="0.3">
      <c r="A479" s="76">
        <v>487</v>
      </c>
      <c r="B479" s="76"/>
      <c r="C479" s="76">
        <v>450</v>
      </c>
      <c r="D479" s="76"/>
      <c r="E479" s="76">
        <v>954</v>
      </c>
      <c r="F479" s="76"/>
      <c r="G479" s="76">
        <v>25</v>
      </c>
      <c r="H479" s="76"/>
      <c r="I479" s="76">
        <v>0</v>
      </c>
      <c r="J479" s="76"/>
      <c r="K479" s="76">
        <v>0</v>
      </c>
      <c r="L479" s="76">
        <v>0</v>
      </c>
      <c r="M479" s="76">
        <v>0</v>
      </c>
      <c r="N479" s="76">
        <v>0</v>
      </c>
      <c r="O479" s="76">
        <v>1916</v>
      </c>
      <c r="P479" s="77" t="s">
        <v>144</v>
      </c>
      <c r="Q479" s="53">
        <v>90</v>
      </c>
    </row>
    <row r="480" spans="1:17" x14ac:dyDescent="0.3">
      <c r="A480" s="78">
        <v>527</v>
      </c>
      <c r="B480" s="78"/>
      <c r="C480" s="78">
        <v>203</v>
      </c>
      <c r="D480" s="78"/>
      <c r="E480" s="78">
        <v>395</v>
      </c>
      <c r="F480" s="78"/>
      <c r="G480" s="78">
        <v>499</v>
      </c>
      <c r="H480" s="78"/>
      <c r="I480" s="78">
        <v>915</v>
      </c>
      <c r="J480" s="78"/>
      <c r="K480" s="78">
        <v>230</v>
      </c>
      <c r="L480" s="78">
        <v>4830</v>
      </c>
      <c r="M480" s="78">
        <v>532</v>
      </c>
      <c r="N480" s="78">
        <v>11172</v>
      </c>
      <c r="O480" s="78">
        <v>2769</v>
      </c>
      <c r="P480" s="79" t="s">
        <v>10</v>
      </c>
      <c r="Q480" s="54">
        <v>91</v>
      </c>
    </row>
    <row r="481" spans="1:17" x14ac:dyDescent="0.3">
      <c r="A481" s="76">
        <v>604</v>
      </c>
      <c r="B481" s="76"/>
      <c r="C481" s="76">
        <v>339</v>
      </c>
      <c r="D481" s="76"/>
      <c r="E481" s="76">
        <v>853</v>
      </c>
      <c r="F481" s="76"/>
      <c r="G481" s="76">
        <v>2331</v>
      </c>
      <c r="H481" s="76"/>
      <c r="I481" s="76">
        <v>1049</v>
      </c>
      <c r="J481" s="76"/>
      <c r="K481" s="76">
        <v>326</v>
      </c>
      <c r="L481" s="76">
        <v>4955.2000000000007</v>
      </c>
      <c r="M481" s="76">
        <v>708</v>
      </c>
      <c r="N481" s="76">
        <v>10761.6</v>
      </c>
      <c r="O481" s="76">
        <v>5502</v>
      </c>
      <c r="P481" s="77" t="s">
        <v>10</v>
      </c>
      <c r="Q481" s="53">
        <v>99</v>
      </c>
    </row>
    <row r="482" spans="1:17" x14ac:dyDescent="0.3">
      <c r="A482" s="78">
        <v>728</v>
      </c>
      <c r="B482" s="78"/>
      <c r="C482" s="78">
        <v>871</v>
      </c>
      <c r="D482" s="78"/>
      <c r="E482" s="78">
        <v>913</v>
      </c>
      <c r="F482" s="78"/>
      <c r="G482" s="78">
        <v>1800</v>
      </c>
      <c r="H482" s="78"/>
      <c r="I482" s="78">
        <v>1315</v>
      </c>
      <c r="J482" s="78"/>
      <c r="K482" s="78">
        <v>577</v>
      </c>
      <c r="L482" s="78">
        <v>29427</v>
      </c>
      <c r="M482" s="78">
        <v>573</v>
      </c>
      <c r="N482" s="78">
        <v>29223</v>
      </c>
      <c r="O482" s="78">
        <v>6204</v>
      </c>
      <c r="P482" s="79" t="s">
        <v>10</v>
      </c>
      <c r="Q482" s="54">
        <v>93</v>
      </c>
    </row>
    <row r="483" spans="1:17" x14ac:dyDescent="0.3">
      <c r="A483" s="76">
        <v>787</v>
      </c>
      <c r="B483" s="76"/>
      <c r="C483" s="76">
        <v>478</v>
      </c>
      <c r="D483" s="76"/>
      <c r="E483" s="76">
        <v>1235</v>
      </c>
      <c r="F483" s="76"/>
      <c r="G483" s="76">
        <v>1450</v>
      </c>
      <c r="H483" s="76"/>
      <c r="I483" s="76">
        <v>1728</v>
      </c>
      <c r="J483" s="76"/>
      <c r="K483" s="76">
        <v>1182</v>
      </c>
      <c r="L483" s="76">
        <v>36642</v>
      </c>
      <c r="M483" s="76">
        <v>999</v>
      </c>
      <c r="N483" s="76">
        <v>30969</v>
      </c>
      <c r="O483" s="76">
        <v>6860</v>
      </c>
      <c r="P483" s="77" t="s">
        <v>10</v>
      </c>
      <c r="Q483" s="53">
        <v>97</v>
      </c>
    </row>
    <row r="484" spans="1:17" x14ac:dyDescent="0.3">
      <c r="A484" s="78">
        <v>962</v>
      </c>
      <c r="B484" s="78"/>
      <c r="C484" s="78">
        <v>1465</v>
      </c>
      <c r="D484" s="78"/>
      <c r="E484" s="78">
        <v>1334</v>
      </c>
      <c r="F484" s="78"/>
      <c r="G484" s="78">
        <v>2383</v>
      </c>
      <c r="H484" s="78"/>
      <c r="I484" s="78">
        <v>1525</v>
      </c>
      <c r="J484" s="78"/>
      <c r="K484" s="78">
        <v>1582</v>
      </c>
      <c r="L484" s="78">
        <v>53471.600000000006</v>
      </c>
      <c r="M484" s="78">
        <v>1539</v>
      </c>
      <c r="N484" s="78">
        <v>52018.2</v>
      </c>
      <c r="O484" s="78">
        <v>9251</v>
      </c>
      <c r="P484" s="79" t="s">
        <v>10</v>
      </c>
      <c r="Q484" s="54">
        <v>100</v>
      </c>
    </row>
    <row r="485" spans="1:17" x14ac:dyDescent="0.3">
      <c r="A485" s="76">
        <v>1064</v>
      </c>
      <c r="B485" s="76"/>
      <c r="C485" s="76">
        <v>1153</v>
      </c>
      <c r="D485" s="76"/>
      <c r="E485" s="76">
        <v>1979</v>
      </c>
      <c r="F485" s="76"/>
      <c r="G485" s="76">
        <v>2901</v>
      </c>
      <c r="H485" s="76"/>
      <c r="I485" s="76">
        <v>2434</v>
      </c>
      <c r="J485" s="76"/>
      <c r="K485" s="76">
        <v>1693</v>
      </c>
      <c r="L485" s="76">
        <v>43002.200000000004</v>
      </c>
      <c r="M485" s="76">
        <v>1311</v>
      </c>
      <c r="N485" s="76">
        <v>33299.4</v>
      </c>
      <c r="O485" s="76">
        <v>11224</v>
      </c>
      <c r="P485" s="77" t="s">
        <v>10</v>
      </c>
      <c r="Q485" s="53">
        <v>94</v>
      </c>
    </row>
    <row r="486" spans="1:17" x14ac:dyDescent="0.3">
      <c r="A486" s="78">
        <v>2132</v>
      </c>
      <c r="B486" s="78"/>
      <c r="C486" s="78">
        <v>2648</v>
      </c>
      <c r="D486" s="78"/>
      <c r="E486" s="78">
        <v>2712</v>
      </c>
      <c r="F486" s="78"/>
      <c r="G486" s="78">
        <v>1775</v>
      </c>
      <c r="H486" s="78"/>
      <c r="I486" s="78">
        <v>2302</v>
      </c>
      <c r="J486" s="78"/>
      <c r="K486" s="78">
        <v>2250</v>
      </c>
      <c r="L486" s="78">
        <v>23400.000000000007</v>
      </c>
      <c r="M486" s="78">
        <v>2532</v>
      </c>
      <c r="N486" s="78">
        <v>26332.800000000003</v>
      </c>
      <c r="O486" s="78">
        <v>13819</v>
      </c>
      <c r="P486" s="79" t="s">
        <v>10</v>
      </c>
      <c r="Q486" s="54">
        <v>91</v>
      </c>
    </row>
    <row r="487" spans="1:17" x14ac:dyDescent="0.3">
      <c r="A487" s="76">
        <v>496</v>
      </c>
      <c r="B487" s="76"/>
      <c r="C487" s="76">
        <v>557</v>
      </c>
      <c r="D487" s="76"/>
      <c r="E487" s="76">
        <v>0</v>
      </c>
      <c r="F487" s="76"/>
      <c r="G487" s="76">
        <v>0</v>
      </c>
      <c r="H487" s="76"/>
      <c r="I487" s="76">
        <v>0</v>
      </c>
      <c r="J487" s="76"/>
      <c r="K487" s="76">
        <v>0</v>
      </c>
      <c r="L487" s="76">
        <v>0</v>
      </c>
      <c r="M487" s="76">
        <v>0</v>
      </c>
      <c r="N487" s="76">
        <v>0</v>
      </c>
      <c r="O487" s="76">
        <v>1053</v>
      </c>
      <c r="P487" s="77" t="s">
        <v>10</v>
      </c>
      <c r="Q487" s="53">
        <v>91</v>
      </c>
    </row>
    <row r="488" spans="1:17" x14ac:dyDescent="0.3">
      <c r="A488" s="78">
        <v>0</v>
      </c>
      <c r="B488" s="78"/>
      <c r="C488" s="78">
        <v>5</v>
      </c>
      <c r="D488" s="78"/>
      <c r="E488" s="78">
        <v>0</v>
      </c>
      <c r="F488" s="78"/>
      <c r="G488" s="78">
        <v>0</v>
      </c>
      <c r="H488" s="78"/>
      <c r="I488" s="78">
        <v>0</v>
      </c>
      <c r="J488" s="78"/>
      <c r="K488" s="78">
        <v>0</v>
      </c>
      <c r="L488" s="78">
        <v>0</v>
      </c>
      <c r="M488" s="78">
        <v>0</v>
      </c>
      <c r="N488" s="78">
        <v>0</v>
      </c>
      <c r="O488" s="78">
        <v>5</v>
      </c>
      <c r="P488" s="79" t="s">
        <v>10</v>
      </c>
      <c r="Q488" s="54">
        <v>100</v>
      </c>
    </row>
    <row r="489" spans="1:17" x14ac:dyDescent="0.3">
      <c r="A489" s="76">
        <v>0</v>
      </c>
      <c r="B489" s="76"/>
      <c r="C489" s="76">
        <v>13</v>
      </c>
      <c r="D489" s="76"/>
      <c r="E489" s="76">
        <v>0</v>
      </c>
      <c r="F489" s="76"/>
      <c r="G489" s="76">
        <v>0</v>
      </c>
      <c r="H489" s="76"/>
      <c r="I489" s="76">
        <v>0</v>
      </c>
      <c r="J489" s="76"/>
      <c r="K489" s="76">
        <v>0</v>
      </c>
      <c r="L489" s="76">
        <v>0</v>
      </c>
      <c r="M489" s="76">
        <v>0</v>
      </c>
      <c r="N489" s="76">
        <v>0</v>
      </c>
      <c r="O489" s="76">
        <v>13</v>
      </c>
      <c r="P489" s="77" t="s">
        <v>10</v>
      </c>
      <c r="Q489" s="53">
        <v>100</v>
      </c>
    </row>
    <row r="490" spans="1:17" x14ac:dyDescent="0.3">
      <c r="A490" s="78">
        <v>0</v>
      </c>
      <c r="B490" s="78"/>
      <c r="C490" s="78">
        <v>5</v>
      </c>
      <c r="D490" s="78"/>
      <c r="E490" s="78">
        <v>0</v>
      </c>
      <c r="F490" s="78"/>
      <c r="G490" s="78">
        <v>0</v>
      </c>
      <c r="H490" s="78"/>
      <c r="I490" s="78">
        <v>0</v>
      </c>
      <c r="J490" s="78"/>
      <c r="K490" s="78">
        <v>0</v>
      </c>
      <c r="L490" s="78">
        <v>0</v>
      </c>
      <c r="M490" s="78">
        <v>0</v>
      </c>
      <c r="N490" s="78">
        <v>0</v>
      </c>
      <c r="O490" s="78">
        <v>5</v>
      </c>
      <c r="P490" s="79" t="s">
        <v>10</v>
      </c>
      <c r="Q490" s="54">
        <v>91</v>
      </c>
    </row>
    <row r="491" spans="1:17" x14ac:dyDescent="0.3">
      <c r="A491" s="76">
        <v>0</v>
      </c>
      <c r="B491" s="76"/>
      <c r="C491" s="76">
        <v>3</v>
      </c>
      <c r="D491" s="76"/>
      <c r="E491" s="76">
        <v>0</v>
      </c>
      <c r="F491" s="76"/>
      <c r="G491" s="76">
        <v>0</v>
      </c>
      <c r="H491" s="76"/>
      <c r="I491" s="76">
        <v>0</v>
      </c>
      <c r="J491" s="76"/>
      <c r="K491" s="76">
        <v>0</v>
      </c>
      <c r="L491" s="76">
        <v>0</v>
      </c>
      <c r="M491" s="76">
        <v>0</v>
      </c>
      <c r="N491" s="76">
        <v>0</v>
      </c>
      <c r="O491" s="76">
        <v>3</v>
      </c>
      <c r="P491" s="77" t="s">
        <v>10</v>
      </c>
      <c r="Q491" s="53">
        <v>93</v>
      </c>
    </row>
    <row r="492" spans="1:17" x14ac:dyDescent="0.3">
      <c r="A492" s="78">
        <v>0</v>
      </c>
      <c r="B492" s="78"/>
      <c r="C492" s="78">
        <v>3</v>
      </c>
      <c r="D492" s="78"/>
      <c r="E492" s="78">
        <v>0</v>
      </c>
      <c r="F492" s="78"/>
      <c r="G492" s="78">
        <v>0</v>
      </c>
      <c r="H492" s="78"/>
      <c r="I492" s="78">
        <v>0</v>
      </c>
      <c r="J492" s="78"/>
      <c r="K492" s="78">
        <v>0</v>
      </c>
      <c r="L492" s="78">
        <v>0</v>
      </c>
      <c r="M492" s="78">
        <v>0</v>
      </c>
      <c r="N492" s="78">
        <v>0</v>
      </c>
      <c r="O492" s="78">
        <v>3</v>
      </c>
      <c r="P492" s="79" t="s">
        <v>10</v>
      </c>
      <c r="Q492" s="54">
        <v>90</v>
      </c>
    </row>
    <row r="493" spans="1:17" x14ac:dyDescent="0.3">
      <c r="A493" s="76">
        <v>0</v>
      </c>
      <c r="B493" s="76"/>
      <c r="C493" s="76">
        <v>5</v>
      </c>
      <c r="D493" s="76"/>
      <c r="E493" s="76">
        <v>0</v>
      </c>
      <c r="F493" s="76"/>
      <c r="G493" s="76">
        <v>0</v>
      </c>
      <c r="H493" s="76"/>
      <c r="I493" s="76">
        <v>0</v>
      </c>
      <c r="J493" s="76"/>
      <c r="K493" s="76">
        <v>0</v>
      </c>
      <c r="L493" s="76">
        <v>0</v>
      </c>
      <c r="M493" s="76">
        <v>0</v>
      </c>
      <c r="N493" s="76">
        <v>0</v>
      </c>
      <c r="O493" s="76">
        <v>5</v>
      </c>
      <c r="P493" s="77" t="s">
        <v>10</v>
      </c>
      <c r="Q493" s="53">
        <v>98</v>
      </c>
    </row>
    <row r="494" spans="1:17" x14ac:dyDescent="0.3">
      <c r="A494" s="78">
        <v>1</v>
      </c>
      <c r="B494" s="78"/>
      <c r="C494" s="78">
        <v>0</v>
      </c>
      <c r="D494" s="78"/>
      <c r="E494" s="78">
        <v>0</v>
      </c>
      <c r="F494" s="78"/>
      <c r="G494" s="78">
        <v>0</v>
      </c>
      <c r="H494" s="78"/>
      <c r="I494" s="78">
        <v>0</v>
      </c>
      <c r="J494" s="78"/>
      <c r="K494" s="78">
        <v>0</v>
      </c>
      <c r="L494" s="78">
        <v>0</v>
      </c>
      <c r="M494" s="78">
        <v>0</v>
      </c>
      <c r="N494" s="78">
        <v>0</v>
      </c>
      <c r="O494" s="78">
        <v>1</v>
      </c>
      <c r="P494" s="79" t="s">
        <v>10</v>
      </c>
      <c r="Q494" s="54">
        <v>100</v>
      </c>
    </row>
    <row r="495" spans="1:17" x14ac:dyDescent="0.3">
      <c r="A495" s="76">
        <v>2</v>
      </c>
      <c r="B495" s="76"/>
      <c r="C495" s="76">
        <v>0</v>
      </c>
      <c r="D495" s="76"/>
      <c r="E495" s="76">
        <v>0</v>
      </c>
      <c r="F495" s="76"/>
      <c r="G495" s="76">
        <v>0</v>
      </c>
      <c r="H495" s="76"/>
      <c r="I495" s="76">
        <v>0</v>
      </c>
      <c r="J495" s="76"/>
      <c r="K495" s="76">
        <v>0</v>
      </c>
      <c r="L495" s="76">
        <v>0</v>
      </c>
      <c r="M495" s="76">
        <v>0</v>
      </c>
      <c r="N495" s="76">
        <v>0</v>
      </c>
      <c r="O495" s="76">
        <v>2</v>
      </c>
      <c r="P495" s="77" t="s">
        <v>10</v>
      </c>
      <c r="Q495" s="53">
        <v>100</v>
      </c>
    </row>
    <row r="496" spans="1:17" x14ac:dyDescent="0.3">
      <c r="A496" s="78">
        <v>2</v>
      </c>
      <c r="B496" s="78"/>
      <c r="C496" s="78">
        <v>0</v>
      </c>
      <c r="D496" s="78"/>
      <c r="E496" s="78">
        <v>0</v>
      </c>
      <c r="F496" s="78"/>
      <c r="G496" s="78">
        <v>0</v>
      </c>
      <c r="H496" s="78"/>
      <c r="I496" s="78">
        <v>0</v>
      </c>
      <c r="J496" s="78"/>
      <c r="K496" s="78">
        <v>0</v>
      </c>
      <c r="L496" s="78">
        <v>0</v>
      </c>
      <c r="M496" s="78">
        <v>0</v>
      </c>
      <c r="N496" s="78">
        <v>0</v>
      </c>
      <c r="O496" s="78">
        <v>2</v>
      </c>
      <c r="P496" s="79" t="s">
        <v>10</v>
      </c>
      <c r="Q496" s="54">
        <v>90</v>
      </c>
    </row>
    <row r="497" spans="1:17" x14ac:dyDescent="0.3">
      <c r="A497" s="76">
        <v>2</v>
      </c>
      <c r="B497" s="76"/>
      <c r="C497" s="76">
        <v>0</v>
      </c>
      <c r="D497" s="76"/>
      <c r="E497" s="76">
        <v>0</v>
      </c>
      <c r="F497" s="76"/>
      <c r="G497" s="76">
        <v>0</v>
      </c>
      <c r="H497" s="76"/>
      <c r="I497" s="76">
        <v>0</v>
      </c>
      <c r="J497" s="76"/>
      <c r="K497" s="76">
        <v>0</v>
      </c>
      <c r="L497" s="76">
        <v>0</v>
      </c>
      <c r="M497" s="76">
        <v>0</v>
      </c>
      <c r="N497" s="76">
        <v>0</v>
      </c>
      <c r="O497" s="76">
        <v>2</v>
      </c>
      <c r="P497" s="77" t="s">
        <v>10</v>
      </c>
      <c r="Q497" s="53">
        <v>99</v>
      </c>
    </row>
    <row r="498" spans="1:17" x14ac:dyDescent="0.3">
      <c r="A498" s="78">
        <v>5</v>
      </c>
      <c r="B498" s="78"/>
      <c r="C498" s="78">
        <v>0</v>
      </c>
      <c r="D498" s="78"/>
      <c r="E498" s="78">
        <v>0</v>
      </c>
      <c r="F498" s="78"/>
      <c r="G498" s="78">
        <v>0</v>
      </c>
      <c r="H498" s="78"/>
      <c r="I498" s="78">
        <v>0</v>
      </c>
      <c r="J498" s="78"/>
      <c r="K498" s="78">
        <v>0</v>
      </c>
      <c r="L498" s="78">
        <v>0</v>
      </c>
      <c r="M498" s="78">
        <v>0</v>
      </c>
      <c r="N498" s="78">
        <v>0</v>
      </c>
      <c r="O498" s="78">
        <v>5</v>
      </c>
      <c r="P498" s="79" t="s">
        <v>10</v>
      </c>
      <c r="Q498" s="54">
        <v>96</v>
      </c>
    </row>
    <row r="499" spans="1:17" x14ac:dyDescent="0.3">
      <c r="A499" s="76">
        <v>8</v>
      </c>
      <c r="B499" s="76"/>
      <c r="C499" s="76">
        <v>0</v>
      </c>
      <c r="D499" s="76"/>
      <c r="E499" s="76">
        <v>0</v>
      </c>
      <c r="F499" s="76"/>
      <c r="G499" s="76">
        <v>0</v>
      </c>
      <c r="H499" s="76"/>
      <c r="I499" s="76">
        <v>0</v>
      </c>
      <c r="J499" s="76"/>
      <c r="K499" s="76">
        <v>0</v>
      </c>
      <c r="L499" s="76">
        <v>0</v>
      </c>
      <c r="M499" s="76">
        <v>0</v>
      </c>
      <c r="N499" s="76">
        <v>0</v>
      </c>
      <c r="O499" s="76">
        <v>8</v>
      </c>
      <c r="P499" s="77" t="s">
        <v>10</v>
      </c>
      <c r="Q499" s="53">
        <v>97</v>
      </c>
    </row>
    <row r="500" spans="1:17" x14ac:dyDescent="0.3">
      <c r="A500" s="78">
        <v>28</v>
      </c>
      <c r="B500" s="78"/>
      <c r="C500" s="78">
        <v>5</v>
      </c>
      <c r="D500" s="78"/>
      <c r="E500" s="78">
        <v>0</v>
      </c>
      <c r="F500" s="78"/>
      <c r="G500" s="78">
        <v>0</v>
      </c>
      <c r="H500" s="78"/>
      <c r="I500" s="78">
        <v>0</v>
      </c>
      <c r="J500" s="78"/>
      <c r="K500" s="78">
        <v>0</v>
      </c>
      <c r="L500" s="78">
        <v>0</v>
      </c>
      <c r="M500" s="78">
        <v>0</v>
      </c>
      <c r="N500" s="78">
        <v>0</v>
      </c>
      <c r="O500" s="78">
        <v>33</v>
      </c>
      <c r="P500" s="79" t="s">
        <v>10</v>
      </c>
      <c r="Q500" s="54">
        <v>90</v>
      </c>
    </row>
    <row r="501" spans="1:17" x14ac:dyDescent="0.3">
      <c r="A501" s="76">
        <v>26</v>
      </c>
      <c r="B501" s="76"/>
      <c r="C501" s="76">
        <v>13</v>
      </c>
      <c r="D501" s="76"/>
      <c r="E501" s="76">
        <v>0</v>
      </c>
      <c r="F501" s="76"/>
      <c r="G501" s="76">
        <v>0</v>
      </c>
      <c r="H501" s="76"/>
      <c r="I501" s="76">
        <v>0</v>
      </c>
      <c r="J501" s="76"/>
      <c r="K501" s="76">
        <v>0</v>
      </c>
      <c r="L501" s="76">
        <v>0</v>
      </c>
      <c r="M501" s="76">
        <v>0</v>
      </c>
      <c r="N501" s="76">
        <v>0</v>
      </c>
      <c r="O501" s="76">
        <v>39</v>
      </c>
      <c r="P501" s="77" t="s">
        <v>10</v>
      </c>
      <c r="Q501" s="53">
        <v>95</v>
      </c>
    </row>
    <row r="502" spans="1:17" x14ac:dyDescent="0.3">
      <c r="A502" s="78">
        <v>0</v>
      </c>
      <c r="B502" s="78"/>
      <c r="C502" s="78">
        <v>1</v>
      </c>
      <c r="D502" s="78"/>
      <c r="E502" s="78">
        <v>0</v>
      </c>
      <c r="F502" s="78"/>
      <c r="G502" s="78">
        <v>0</v>
      </c>
      <c r="H502" s="78"/>
      <c r="I502" s="78">
        <v>0</v>
      </c>
      <c r="J502" s="78"/>
      <c r="K502" s="78">
        <v>0</v>
      </c>
      <c r="L502" s="78">
        <v>0</v>
      </c>
      <c r="M502" s="78">
        <v>0</v>
      </c>
      <c r="N502" s="78">
        <v>0</v>
      </c>
      <c r="O502" s="78">
        <v>1</v>
      </c>
      <c r="P502" s="79" t="s">
        <v>10</v>
      </c>
      <c r="Q502" s="54">
        <v>90</v>
      </c>
    </row>
    <row r="503" spans="1:17" x14ac:dyDescent="0.3">
      <c r="A503" s="76">
        <v>5</v>
      </c>
      <c r="B503" s="76"/>
      <c r="C503" s="76">
        <v>0</v>
      </c>
      <c r="D503" s="76"/>
      <c r="E503" s="76">
        <v>0</v>
      </c>
      <c r="F503" s="76"/>
      <c r="G503" s="76">
        <v>0</v>
      </c>
      <c r="H503" s="76"/>
      <c r="I503" s="76">
        <v>0</v>
      </c>
      <c r="J503" s="76"/>
      <c r="K503" s="76">
        <v>0</v>
      </c>
      <c r="L503" s="76">
        <v>0</v>
      </c>
      <c r="M503" s="76">
        <v>0</v>
      </c>
      <c r="N503" s="76">
        <v>0</v>
      </c>
      <c r="O503" s="76">
        <v>5</v>
      </c>
      <c r="P503" s="77" t="s">
        <v>10</v>
      </c>
      <c r="Q503" s="53">
        <v>99</v>
      </c>
    </row>
    <row r="504" spans="1:17" x14ac:dyDescent="0.3">
      <c r="A504" s="78">
        <v>26</v>
      </c>
      <c r="B504" s="78"/>
      <c r="C504" s="78">
        <v>25</v>
      </c>
      <c r="D504" s="78"/>
      <c r="E504" s="78">
        <v>0</v>
      </c>
      <c r="F504" s="78"/>
      <c r="G504" s="78">
        <v>0</v>
      </c>
      <c r="H504" s="78"/>
      <c r="I504" s="78">
        <v>0</v>
      </c>
      <c r="J504" s="78"/>
      <c r="K504" s="78">
        <v>0</v>
      </c>
      <c r="L504" s="78">
        <v>0</v>
      </c>
      <c r="M504" s="78">
        <v>0</v>
      </c>
      <c r="N504" s="78">
        <v>0</v>
      </c>
      <c r="O504" s="78">
        <v>51</v>
      </c>
      <c r="P504" s="79" t="s">
        <v>10</v>
      </c>
      <c r="Q504" s="54">
        <v>100</v>
      </c>
    </row>
    <row r="505" spans="1:17" x14ac:dyDescent="0.3">
      <c r="A505" s="76">
        <v>30</v>
      </c>
      <c r="B505" s="76"/>
      <c r="C505" s="76">
        <v>0</v>
      </c>
      <c r="D505" s="76"/>
      <c r="E505" s="76">
        <v>0</v>
      </c>
      <c r="F505" s="76"/>
      <c r="G505" s="76">
        <v>0</v>
      </c>
      <c r="H505" s="76"/>
      <c r="I505" s="76">
        <v>0</v>
      </c>
      <c r="J505" s="76"/>
      <c r="K505" s="76">
        <v>0</v>
      </c>
      <c r="L505" s="76">
        <v>0</v>
      </c>
      <c r="M505" s="76">
        <v>0</v>
      </c>
      <c r="N505" s="76">
        <v>0</v>
      </c>
      <c r="O505" s="76">
        <v>30</v>
      </c>
      <c r="P505" s="77" t="s">
        <v>10</v>
      </c>
      <c r="Q505" s="53">
        <v>99</v>
      </c>
    </row>
    <row r="506" spans="1:17" x14ac:dyDescent="0.3">
      <c r="A506" s="78">
        <v>53</v>
      </c>
      <c r="B506" s="78"/>
      <c r="C506" s="78">
        <v>21</v>
      </c>
      <c r="D506" s="78"/>
      <c r="E506" s="78">
        <v>0</v>
      </c>
      <c r="F506" s="78"/>
      <c r="G506" s="78">
        <v>0</v>
      </c>
      <c r="H506" s="78"/>
      <c r="I506" s="78">
        <v>0</v>
      </c>
      <c r="J506" s="78"/>
      <c r="K506" s="78">
        <v>0</v>
      </c>
      <c r="L506" s="78">
        <v>0</v>
      </c>
      <c r="M506" s="78">
        <v>0</v>
      </c>
      <c r="N506" s="78">
        <v>0</v>
      </c>
      <c r="O506" s="78">
        <v>74</v>
      </c>
      <c r="P506" s="79" t="s">
        <v>10</v>
      </c>
      <c r="Q506" s="54">
        <v>99</v>
      </c>
    </row>
    <row r="507" spans="1:17" x14ac:dyDescent="0.3">
      <c r="A507" s="76">
        <v>57</v>
      </c>
      <c r="B507" s="76"/>
      <c r="C507" s="76">
        <v>35</v>
      </c>
      <c r="D507" s="76"/>
      <c r="E507" s="76">
        <v>0</v>
      </c>
      <c r="F507" s="76"/>
      <c r="G507" s="76">
        <v>0</v>
      </c>
      <c r="H507" s="76"/>
      <c r="I507" s="76">
        <v>0</v>
      </c>
      <c r="J507" s="76"/>
      <c r="K507" s="76">
        <v>0</v>
      </c>
      <c r="L507" s="76">
        <v>0</v>
      </c>
      <c r="M507" s="76">
        <v>0</v>
      </c>
      <c r="N507" s="76">
        <v>0</v>
      </c>
      <c r="O507" s="76">
        <v>92</v>
      </c>
      <c r="P507" s="77" t="s">
        <v>10</v>
      </c>
      <c r="Q507" s="53">
        <v>93</v>
      </c>
    </row>
    <row r="508" spans="1:17" x14ac:dyDescent="0.3">
      <c r="A508" s="78">
        <v>135</v>
      </c>
      <c r="B508" s="78"/>
      <c r="C508" s="78">
        <v>78</v>
      </c>
      <c r="D508" s="78"/>
      <c r="E508" s="78">
        <v>0</v>
      </c>
      <c r="F508" s="78"/>
      <c r="G508" s="78">
        <v>0</v>
      </c>
      <c r="H508" s="78"/>
      <c r="I508" s="78">
        <v>0</v>
      </c>
      <c r="J508" s="78"/>
      <c r="K508" s="78">
        <v>0</v>
      </c>
      <c r="L508" s="78">
        <v>0</v>
      </c>
      <c r="M508" s="78">
        <v>0</v>
      </c>
      <c r="N508" s="78">
        <v>0</v>
      </c>
      <c r="O508" s="78">
        <v>213</v>
      </c>
      <c r="P508" s="79" t="s">
        <v>10</v>
      </c>
      <c r="Q508" s="54">
        <v>95</v>
      </c>
    </row>
    <row r="509" spans="1:17" x14ac:dyDescent="0.3">
      <c r="A509" s="76">
        <v>3</v>
      </c>
      <c r="B509" s="76"/>
      <c r="C509" s="76">
        <v>0</v>
      </c>
      <c r="D509" s="76"/>
      <c r="E509" s="76">
        <v>0</v>
      </c>
      <c r="F509" s="76"/>
      <c r="G509" s="76">
        <v>0</v>
      </c>
      <c r="H509" s="76"/>
      <c r="I509" s="76">
        <v>0</v>
      </c>
      <c r="J509" s="76"/>
      <c r="K509" s="76">
        <v>0</v>
      </c>
      <c r="L509" s="76">
        <v>0</v>
      </c>
      <c r="M509" s="76">
        <v>0</v>
      </c>
      <c r="N509" s="76">
        <v>0</v>
      </c>
      <c r="O509" s="76">
        <v>3</v>
      </c>
      <c r="P509" s="77" t="s">
        <v>10</v>
      </c>
      <c r="Q509" s="53">
        <v>98</v>
      </c>
    </row>
    <row r="510" spans="1:17" x14ac:dyDescent="0.3">
      <c r="A510" s="78">
        <v>3</v>
      </c>
      <c r="B510" s="78"/>
      <c r="C510" s="78">
        <v>0</v>
      </c>
      <c r="D510" s="78"/>
      <c r="E510" s="78">
        <v>0</v>
      </c>
      <c r="F510" s="78"/>
      <c r="G510" s="78">
        <v>0</v>
      </c>
      <c r="H510" s="78"/>
      <c r="I510" s="78">
        <v>0</v>
      </c>
      <c r="J510" s="78"/>
      <c r="K510" s="78">
        <v>0</v>
      </c>
      <c r="L510" s="78">
        <v>0</v>
      </c>
      <c r="M510" s="78">
        <v>0</v>
      </c>
      <c r="N510" s="78">
        <v>0</v>
      </c>
      <c r="O510" s="78">
        <v>3</v>
      </c>
      <c r="P510" s="79" t="s">
        <v>10</v>
      </c>
      <c r="Q510" s="54">
        <v>93</v>
      </c>
    </row>
    <row r="511" spans="1:17" x14ac:dyDescent="0.3">
      <c r="A511" s="76">
        <v>15</v>
      </c>
      <c r="B511" s="76"/>
      <c r="C511" s="76">
        <v>0</v>
      </c>
      <c r="D511" s="76"/>
      <c r="E511" s="76">
        <v>0</v>
      </c>
      <c r="F511" s="76"/>
      <c r="G511" s="76">
        <v>0</v>
      </c>
      <c r="H511" s="76"/>
      <c r="I511" s="76">
        <v>0</v>
      </c>
      <c r="J511" s="76"/>
      <c r="K511" s="76">
        <v>0</v>
      </c>
      <c r="L511" s="76">
        <v>0</v>
      </c>
      <c r="M511" s="76">
        <v>0</v>
      </c>
      <c r="N511" s="76">
        <v>0</v>
      </c>
      <c r="O511" s="76">
        <v>15</v>
      </c>
      <c r="P511" s="77" t="s">
        <v>10</v>
      </c>
      <c r="Q511" s="53">
        <v>99</v>
      </c>
    </row>
    <row r="512" spans="1:17" x14ac:dyDescent="0.3">
      <c r="A512" s="78">
        <v>23</v>
      </c>
      <c r="B512" s="78"/>
      <c r="C512" s="78">
        <v>15</v>
      </c>
      <c r="D512" s="78"/>
      <c r="E512" s="78">
        <v>0</v>
      </c>
      <c r="F512" s="78"/>
      <c r="G512" s="78">
        <v>0</v>
      </c>
      <c r="H512" s="78"/>
      <c r="I512" s="78">
        <v>0</v>
      </c>
      <c r="J512" s="78"/>
      <c r="K512" s="78">
        <v>0</v>
      </c>
      <c r="L512" s="78">
        <v>0</v>
      </c>
      <c r="M512" s="78">
        <v>0</v>
      </c>
      <c r="N512" s="78">
        <v>0</v>
      </c>
      <c r="O512" s="78">
        <v>38</v>
      </c>
      <c r="P512" s="79" t="s">
        <v>10</v>
      </c>
      <c r="Q512" s="54">
        <v>90</v>
      </c>
    </row>
    <row r="513" spans="1:17" x14ac:dyDescent="0.3">
      <c r="A513" s="76">
        <v>0</v>
      </c>
      <c r="B513" s="76"/>
      <c r="C513" s="76">
        <v>5</v>
      </c>
      <c r="D513" s="76"/>
      <c r="E513" s="76">
        <v>0</v>
      </c>
      <c r="F513" s="76"/>
      <c r="G513" s="76">
        <v>0</v>
      </c>
      <c r="H513" s="76"/>
      <c r="I513" s="76">
        <v>0</v>
      </c>
      <c r="J513" s="76"/>
      <c r="K513" s="76">
        <v>0</v>
      </c>
      <c r="L513" s="76">
        <v>0</v>
      </c>
      <c r="M513" s="76">
        <v>0</v>
      </c>
      <c r="N513" s="76">
        <v>0</v>
      </c>
      <c r="O513" s="76">
        <v>5</v>
      </c>
      <c r="P513" s="77" t="s">
        <v>10</v>
      </c>
      <c r="Q513" s="53">
        <v>99</v>
      </c>
    </row>
    <row r="514" spans="1:17" x14ac:dyDescent="0.3">
      <c r="A514" s="78">
        <v>0</v>
      </c>
      <c r="B514" s="78"/>
      <c r="C514" s="78">
        <v>1</v>
      </c>
      <c r="D514" s="78"/>
      <c r="E514" s="78">
        <v>0</v>
      </c>
      <c r="F514" s="78"/>
      <c r="G514" s="78">
        <v>0</v>
      </c>
      <c r="H514" s="78"/>
      <c r="I514" s="78">
        <v>0</v>
      </c>
      <c r="J514" s="78"/>
      <c r="K514" s="78">
        <v>0</v>
      </c>
      <c r="L514" s="78">
        <v>0</v>
      </c>
      <c r="M514" s="78">
        <v>0</v>
      </c>
      <c r="N514" s="78">
        <v>0</v>
      </c>
      <c r="O514" s="78">
        <v>1</v>
      </c>
      <c r="P514" s="79" t="s">
        <v>10</v>
      </c>
      <c r="Q514" s="54">
        <v>90</v>
      </c>
    </row>
    <row r="515" spans="1:17" x14ac:dyDescent="0.3">
      <c r="A515" s="76">
        <v>0</v>
      </c>
      <c r="B515" s="76"/>
      <c r="C515" s="76">
        <v>1</v>
      </c>
      <c r="D515" s="76"/>
      <c r="E515" s="76">
        <v>0</v>
      </c>
      <c r="F515" s="76"/>
      <c r="G515" s="76">
        <v>0</v>
      </c>
      <c r="H515" s="76"/>
      <c r="I515" s="76">
        <v>0</v>
      </c>
      <c r="J515" s="76"/>
      <c r="K515" s="76">
        <v>0</v>
      </c>
      <c r="L515" s="76">
        <v>0</v>
      </c>
      <c r="M515" s="76">
        <v>0</v>
      </c>
      <c r="N515" s="76">
        <v>0</v>
      </c>
      <c r="O515" s="76">
        <v>1</v>
      </c>
      <c r="P515" s="77" t="s">
        <v>10</v>
      </c>
      <c r="Q515" s="53">
        <v>93</v>
      </c>
    </row>
    <row r="516" spans="1:17" x14ac:dyDescent="0.3">
      <c r="A516" s="78">
        <v>0</v>
      </c>
      <c r="B516" s="78"/>
      <c r="C516" s="78">
        <v>1</v>
      </c>
      <c r="D516" s="78"/>
      <c r="E516" s="78">
        <v>0</v>
      </c>
      <c r="F516" s="78"/>
      <c r="G516" s="78">
        <v>0</v>
      </c>
      <c r="H516" s="78"/>
      <c r="I516" s="78">
        <v>0</v>
      </c>
      <c r="J516" s="78"/>
      <c r="K516" s="78">
        <v>0</v>
      </c>
      <c r="L516" s="78">
        <v>0</v>
      </c>
      <c r="M516" s="78">
        <v>0</v>
      </c>
      <c r="N516" s="78">
        <v>0</v>
      </c>
      <c r="O516" s="78">
        <v>1</v>
      </c>
      <c r="P516" s="79" t="s">
        <v>10</v>
      </c>
      <c r="Q516" s="54">
        <v>93</v>
      </c>
    </row>
    <row r="517" spans="1:17" x14ac:dyDescent="0.3">
      <c r="A517" s="76">
        <v>0</v>
      </c>
      <c r="B517" s="76"/>
      <c r="C517" s="76">
        <v>0</v>
      </c>
      <c r="D517" s="76"/>
      <c r="E517" s="76">
        <v>0</v>
      </c>
      <c r="F517" s="76"/>
      <c r="G517" s="76">
        <v>0</v>
      </c>
      <c r="H517" s="76"/>
      <c r="I517" s="76">
        <v>0</v>
      </c>
      <c r="J517" s="76"/>
      <c r="K517" s="76">
        <v>0</v>
      </c>
      <c r="L517" s="76">
        <v>0</v>
      </c>
      <c r="M517" s="76">
        <v>0</v>
      </c>
      <c r="N517" s="76">
        <v>0</v>
      </c>
      <c r="O517" s="76">
        <v>0</v>
      </c>
      <c r="P517" s="77" t="s">
        <v>97</v>
      </c>
      <c r="Q517" s="53">
        <v>97</v>
      </c>
    </row>
    <row r="518" spans="1:17" x14ac:dyDescent="0.3">
      <c r="A518" s="78">
        <v>0</v>
      </c>
      <c r="B518" s="78"/>
      <c r="C518" s="78">
        <v>0</v>
      </c>
      <c r="D518" s="78"/>
      <c r="E518" s="78">
        <v>0</v>
      </c>
      <c r="F518" s="78"/>
      <c r="G518" s="78">
        <v>0</v>
      </c>
      <c r="H518" s="78"/>
      <c r="I518" s="78">
        <v>0</v>
      </c>
      <c r="J518" s="78"/>
      <c r="K518" s="78">
        <v>0</v>
      </c>
      <c r="L518" s="78">
        <v>0</v>
      </c>
      <c r="M518" s="78">
        <v>0</v>
      </c>
      <c r="N518" s="78">
        <v>0</v>
      </c>
      <c r="O518" s="78">
        <v>0</v>
      </c>
      <c r="P518" s="79" t="s">
        <v>97</v>
      </c>
      <c r="Q518" s="54">
        <v>98</v>
      </c>
    </row>
    <row r="519" spans="1:17" x14ac:dyDescent="0.3">
      <c r="A519" s="76">
        <v>5</v>
      </c>
      <c r="B519" s="76"/>
      <c r="C519" s="76">
        <v>0</v>
      </c>
      <c r="D519" s="76"/>
      <c r="E519" s="76">
        <v>0</v>
      </c>
      <c r="F519" s="76"/>
      <c r="G519" s="76">
        <v>0</v>
      </c>
      <c r="H519" s="76"/>
      <c r="I519" s="76">
        <v>0</v>
      </c>
      <c r="J519" s="76"/>
      <c r="K519" s="76">
        <v>0</v>
      </c>
      <c r="L519" s="76">
        <v>0</v>
      </c>
      <c r="M519" s="76">
        <v>0</v>
      </c>
      <c r="N519" s="76">
        <v>0</v>
      </c>
      <c r="O519" s="76">
        <v>5</v>
      </c>
      <c r="P519" s="77" t="s">
        <v>10</v>
      </c>
      <c r="Q519" s="53">
        <v>98</v>
      </c>
    </row>
    <row r="520" spans="1:17" x14ac:dyDescent="0.3">
      <c r="A520" s="78">
        <v>5</v>
      </c>
      <c r="B520" s="78"/>
      <c r="C520" s="78">
        <v>0</v>
      </c>
      <c r="D520" s="78"/>
      <c r="E520" s="78">
        <v>0</v>
      </c>
      <c r="F520" s="78"/>
      <c r="G520" s="78">
        <v>0</v>
      </c>
      <c r="H520" s="78"/>
      <c r="I520" s="78">
        <v>0</v>
      </c>
      <c r="J520" s="78"/>
      <c r="K520" s="78">
        <v>0</v>
      </c>
      <c r="L520" s="78">
        <v>0</v>
      </c>
      <c r="M520" s="78">
        <v>0</v>
      </c>
      <c r="N520" s="78">
        <v>0</v>
      </c>
      <c r="O520" s="78">
        <v>5</v>
      </c>
      <c r="P520" s="79" t="s">
        <v>10</v>
      </c>
      <c r="Q520" s="54">
        <v>99</v>
      </c>
    </row>
    <row r="521" spans="1:17" x14ac:dyDescent="0.3">
      <c r="A521" s="76">
        <v>5</v>
      </c>
      <c r="B521" s="76"/>
      <c r="C521" s="76">
        <v>0</v>
      </c>
      <c r="D521" s="76"/>
      <c r="E521" s="76">
        <v>0</v>
      </c>
      <c r="F521" s="76"/>
      <c r="G521" s="76">
        <v>0</v>
      </c>
      <c r="H521" s="76"/>
      <c r="I521" s="76">
        <v>0</v>
      </c>
      <c r="J521" s="76"/>
      <c r="K521" s="76">
        <v>0</v>
      </c>
      <c r="L521" s="76">
        <v>0</v>
      </c>
      <c r="M521" s="76">
        <v>0</v>
      </c>
      <c r="N521" s="76">
        <v>0</v>
      </c>
      <c r="O521" s="76">
        <v>5</v>
      </c>
      <c r="P521" s="77" t="s">
        <v>10</v>
      </c>
      <c r="Q521" s="53">
        <v>95</v>
      </c>
    </row>
    <row r="522" spans="1:17" x14ac:dyDescent="0.3">
      <c r="A522" s="78">
        <v>23</v>
      </c>
      <c r="B522" s="78"/>
      <c r="C522" s="78">
        <v>35</v>
      </c>
      <c r="D522" s="78"/>
      <c r="E522" s="78">
        <v>0</v>
      </c>
      <c r="F522" s="78"/>
      <c r="G522" s="78">
        <v>0</v>
      </c>
      <c r="H522" s="78"/>
      <c r="I522" s="78">
        <v>0</v>
      </c>
      <c r="J522" s="78"/>
      <c r="K522" s="78">
        <v>0</v>
      </c>
      <c r="L522" s="78">
        <v>0</v>
      </c>
      <c r="M522" s="78">
        <v>0</v>
      </c>
      <c r="N522" s="78">
        <v>0</v>
      </c>
      <c r="O522" s="78">
        <v>58</v>
      </c>
      <c r="P522" s="79" t="s">
        <v>10</v>
      </c>
      <c r="Q522" s="54">
        <v>95</v>
      </c>
    </row>
    <row r="523" spans="1:17" x14ac:dyDescent="0.3">
      <c r="A523" s="76">
        <v>15</v>
      </c>
      <c r="B523" s="76"/>
      <c r="C523" s="76">
        <v>8</v>
      </c>
      <c r="D523" s="76"/>
      <c r="E523" s="76">
        <v>0</v>
      </c>
      <c r="F523" s="76"/>
      <c r="G523" s="76">
        <v>0</v>
      </c>
      <c r="H523" s="76"/>
      <c r="I523" s="76">
        <v>0</v>
      </c>
      <c r="J523" s="76"/>
      <c r="K523" s="76">
        <v>0</v>
      </c>
      <c r="L523" s="76">
        <v>0</v>
      </c>
      <c r="M523" s="76">
        <v>0</v>
      </c>
      <c r="N523" s="76">
        <v>0</v>
      </c>
      <c r="O523" s="76">
        <v>23</v>
      </c>
      <c r="P523" s="77" t="s">
        <v>10</v>
      </c>
      <c r="Q523" s="53">
        <v>97</v>
      </c>
    </row>
    <row r="524" spans="1:17" x14ac:dyDescent="0.3">
      <c r="A524" s="78">
        <v>0</v>
      </c>
      <c r="B524" s="78"/>
      <c r="C524" s="78">
        <v>5</v>
      </c>
      <c r="D524" s="78"/>
      <c r="E524" s="78">
        <v>0</v>
      </c>
      <c r="F524" s="78"/>
      <c r="G524" s="78">
        <v>0</v>
      </c>
      <c r="H524" s="78"/>
      <c r="I524" s="78">
        <v>0</v>
      </c>
      <c r="J524" s="78"/>
      <c r="K524" s="78">
        <v>0</v>
      </c>
      <c r="L524" s="78">
        <v>0</v>
      </c>
      <c r="M524" s="78">
        <v>0</v>
      </c>
      <c r="N524" s="78">
        <v>0</v>
      </c>
      <c r="O524" s="78">
        <v>5</v>
      </c>
      <c r="P524" s="79" t="s">
        <v>10</v>
      </c>
      <c r="Q524" s="54">
        <v>98</v>
      </c>
    </row>
    <row r="525" spans="1:17" x14ac:dyDescent="0.3">
      <c r="A525" s="76">
        <v>0</v>
      </c>
      <c r="B525" s="76"/>
      <c r="C525" s="76">
        <v>5</v>
      </c>
      <c r="D525" s="76"/>
      <c r="E525" s="76">
        <v>0</v>
      </c>
      <c r="F525" s="76"/>
      <c r="G525" s="76">
        <v>0</v>
      </c>
      <c r="H525" s="76"/>
      <c r="I525" s="76">
        <v>0</v>
      </c>
      <c r="J525" s="76"/>
      <c r="K525" s="76">
        <v>0</v>
      </c>
      <c r="L525" s="76">
        <v>0</v>
      </c>
      <c r="M525" s="76">
        <v>0</v>
      </c>
      <c r="N525" s="76">
        <v>0</v>
      </c>
      <c r="O525" s="76">
        <v>5</v>
      </c>
      <c r="P525" s="77" t="s">
        <v>10</v>
      </c>
      <c r="Q525" s="53">
        <v>100</v>
      </c>
    </row>
    <row r="526" spans="1:17" x14ac:dyDescent="0.3">
      <c r="A526" s="78">
        <v>1</v>
      </c>
      <c r="B526" s="78"/>
      <c r="C526" s="78">
        <v>0</v>
      </c>
      <c r="D526" s="78"/>
      <c r="E526" s="78">
        <v>0</v>
      </c>
      <c r="F526" s="78"/>
      <c r="G526" s="78">
        <v>0</v>
      </c>
      <c r="H526" s="78"/>
      <c r="I526" s="78">
        <v>0</v>
      </c>
      <c r="J526" s="78"/>
      <c r="K526" s="78">
        <v>0</v>
      </c>
      <c r="L526" s="78">
        <v>0</v>
      </c>
      <c r="M526" s="78">
        <v>0</v>
      </c>
      <c r="N526" s="78">
        <v>0</v>
      </c>
      <c r="O526" s="78">
        <v>1</v>
      </c>
      <c r="P526" s="79" t="s">
        <v>10</v>
      </c>
      <c r="Q526" s="54">
        <v>98</v>
      </c>
    </row>
    <row r="527" spans="1:17" x14ac:dyDescent="0.3">
      <c r="A527" s="76">
        <v>6</v>
      </c>
      <c r="B527" s="76"/>
      <c r="C527" s="76">
        <v>15</v>
      </c>
      <c r="D527" s="76"/>
      <c r="E527" s="76">
        <v>0</v>
      </c>
      <c r="F527" s="76"/>
      <c r="G527" s="76">
        <v>0</v>
      </c>
      <c r="H527" s="76"/>
      <c r="I527" s="76">
        <v>0</v>
      </c>
      <c r="J527" s="76"/>
      <c r="K527" s="76">
        <v>0</v>
      </c>
      <c r="L527" s="76">
        <v>0</v>
      </c>
      <c r="M527" s="76">
        <v>0</v>
      </c>
      <c r="N527" s="76">
        <v>0</v>
      </c>
      <c r="O527" s="76">
        <v>21</v>
      </c>
      <c r="P527" s="77" t="s">
        <v>10</v>
      </c>
      <c r="Q527" s="53">
        <v>94</v>
      </c>
    </row>
    <row r="528" spans="1:17" x14ac:dyDescent="0.3">
      <c r="A528" s="78">
        <v>0</v>
      </c>
      <c r="B528" s="78"/>
      <c r="C528" s="78">
        <v>89</v>
      </c>
      <c r="D528" s="78"/>
      <c r="E528" s="78">
        <v>0</v>
      </c>
      <c r="F528" s="78"/>
      <c r="G528" s="78">
        <v>0</v>
      </c>
      <c r="H528" s="78"/>
      <c r="I528" s="78">
        <v>0</v>
      </c>
      <c r="J528" s="78"/>
      <c r="K528" s="78">
        <v>0</v>
      </c>
      <c r="L528" s="78">
        <v>0</v>
      </c>
      <c r="M528" s="78">
        <v>0</v>
      </c>
      <c r="N528" s="78">
        <v>0</v>
      </c>
      <c r="O528" s="78">
        <v>89</v>
      </c>
      <c r="P528" s="79" t="s">
        <v>10</v>
      </c>
      <c r="Q528" s="54">
        <v>92</v>
      </c>
    </row>
    <row r="529" spans="1:17" x14ac:dyDescent="0.3">
      <c r="A529" s="76">
        <v>0</v>
      </c>
      <c r="B529" s="76"/>
      <c r="C529" s="76">
        <v>5</v>
      </c>
      <c r="D529" s="76"/>
      <c r="E529" s="76">
        <v>0</v>
      </c>
      <c r="F529" s="76"/>
      <c r="G529" s="76">
        <v>0</v>
      </c>
      <c r="H529" s="76"/>
      <c r="I529" s="76">
        <v>0</v>
      </c>
      <c r="J529" s="76"/>
      <c r="K529" s="76">
        <v>0</v>
      </c>
      <c r="L529" s="76">
        <v>0</v>
      </c>
      <c r="M529" s="76">
        <v>0</v>
      </c>
      <c r="N529" s="76">
        <v>0</v>
      </c>
      <c r="O529" s="76">
        <v>5</v>
      </c>
      <c r="P529" s="77" t="s">
        <v>10</v>
      </c>
      <c r="Q529" s="53">
        <v>94</v>
      </c>
    </row>
    <row r="530" spans="1:17" x14ac:dyDescent="0.3">
      <c r="A530" s="78">
        <v>1</v>
      </c>
      <c r="B530" s="78"/>
      <c r="C530" s="78">
        <v>0</v>
      </c>
      <c r="D530" s="78"/>
      <c r="E530" s="78">
        <v>0</v>
      </c>
      <c r="F530" s="78"/>
      <c r="G530" s="78">
        <v>0</v>
      </c>
      <c r="H530" s="78"/>
      <c r="I530" s="78">
        <v>0</v>
      </c>
      <c r="J530" s="78"/>
      <c r="K530" s="78">
        <v>0</v>
      </c>
      <c r="L530" s="78">
        <v>0</v>
      </c>
      <c r="M530" s="78">
        <v>0</v>
      </c>
      <c r="N530" s="78">
        <v>0</v>
      </c>
      <c r="O530" s="78">
        <v>1</v>
      </c>
      <c r="P530" s="79" t="s">
        <v>10</v>
      </c>
      <c r="Q530" s="54">
        <v>99</v>
      </c>
    </row>
    <row r="531" spans="1:17" x14ac:dyDescent="0.3">
      <c r="A531" s="76">
        <v>1</v>
      </c>
      <c r="B531" s="76"/>
      <c r="C531" s="76">
        <v>0</v>
      </c>
      <c r="D531" s="76"/>
      <c r="E531" s="76">
        <v>0</v>
      </c>
      <c r="F531" s="76"/>
      <c r="G531" s="76">
        <v>0</v>
      </c>
      <c r="H531" s="76"/>
      <c r="I531" s="76">
        <v>0</v>
      </c>
      <c r="J531" s="76"/>
      <c r="K531" s="76">
        <v>0</v>
      </c>
      <c r="L531" s="76">
        <v>0</v>
      </c>
      <c r="M531" s="76">
        <v>0</v>
      </c>
      <c r="N531" s="76">
        <v>0</v>
      </c>
      <c r="O531" s="76">
        <v>1</v>
      </c>
      <c r="P531" s="77" t="s">
        <v>10</v>
      </c>
      <c r="Q531" s="53">
        <v>100</v>
      </c>
    </row>
    <row r="532" spans="1:17" x14ac:dyDescent="0.3">
      <c r="A532" s="78">
        <v>3</v>
      </c>
      <c r="B532" s="78"/>
      <c r="C532" s="78">
        <v>0</v>
      </c>
      <c r="D532" s="78"/>
      <c r="E532" s="78">
        <v>0</v>
      </c>
      <c r="F532" s="78"/>
      <c r="G532" s="78">
        <v>0</v>
      </c>
      <c r="H532" s="78"/>
      <c r="I532" s="78">
        <v>0</v>
      </c>
      <c r="J532" s="78"/>
      <c r="K532" s="78">
        <v>0</v>
      </c>
      <c r="L532" s="78">
        <v>0</v>
      </c>
      <c r="M532" s="78">
        <v>0</v>
      </c>
      <c r="N532" s="78">
        <v>0</v>
      </c>
      <c r="O532" s="78">
        <v>3</v>
      </c>
      <c r="P532" s="79" t="s">
        <v>10</v>
      </c>
      <c r="Q532" s="54">
        <v>94</v>
      </c>
    </row>
    <row r="533" spans="1:17" x14ac:dyDescent="0.3">
      <c r="A533" s="76">
        <v>3</v>
      </c>
      <c r="B533" s="76"/>
      <c r="C533" s="76">
        <v>0</v>
      </c>
      <c r="D533" s="76"/>
      <c r="E533" s="76">
        <v>0</v>
      </c>
      <c r="F533" s="76"/>
      <c r="G533" s="76">
        <v>0</v>
      </c>
      <c r="H533" s="76"/>
      <c r="I533" s="76">
        <v>0</v>
      </c>
      <c r="J533" s="76"/>
      <c r="K533" s="76">
        <v>0</v>
      </c>
      <c r="L533" s="76">
        <v>0</v>
      </c>
      <c r="M533" s="76">
        <v>0</v>
      </c>
      <c r="N533" s="76">
        <v>0</v>
      </c>
      <c r="O533" s="76">
        <v>3</v>
      </c>
      <c r="P533" s="77" t="s">
        <v>10</v>
      </c>
      <c r="Q533" s="53">
        <v>92</v>
      </c>
    </row>
    <row r="534" spans="1:17" x14ac:dyDescent="0.3">
      <c r="A534" s="78">
        <v>5</v>
      </c>
      <c r="B534" s="78"/>
      <c r="C534" s="78">
        <v>0</v>
      </c>
      <c r="D534" s="78"/>
      <c r="E534" s="78">
        <v>0</v>
      </c>
      <c r="F534" s="78"/>
      <c r="G534" s="78">
        <v>0</v>
      </c>
      <c r="H534" s="78"/>
      <c r="I534" s="78">
        <v>0</v>
      </c>
      <c r="J534" s="78"/>
      <c r="K534" s="78">
        <v>0</v>
      </c>
      <c r="L534" s="78">
        <v>0</v>
      </c>
      <c r="M534" s="78">
        <v>0</v>
      </c>
      <c r="N534" s="78">
        <v>0</v>
      </c>
      <c r="O534" s="78">
        <v>5</v>
      </c>
      <c r="P534" s="79" t="s">
        <v>10</v>
      </c>
      <c r="Q534" s="54">
        <v>94</v>
      </c>
    </row>
    <row r="535" spans="1:17" x14ac:dyDescent="0.3">
      <c r="A535" s="76">
        <v>5</v>
      </c>
      <c r="B535" s="76"/>
      <c r="C535" s="76">
        <v>0</v>
      </c>
      <c r="D535" s="76"/>
      <c r="E535" s="76">
        <v>0</v>
      </c>
      <c r="F535" s="76"/>
      <c r="G535" s="76">
        <v>0</v>
      </c>
      <c r="H535" s="76"/>
      <c r="I535" s="76">
        <v>0</v>
      </c>
      <c r="J535" s="76"/>
      <c r="K535" s="76">
        <v>0</v>
      </c>
      <c r="L535" s="76">
        <v>0</v>
      </c>
      <c r="M535" s="76">
        <v>0</v>
      </c>
      <c r="N535" s="76">
        <v>0</v>
      </c>
      <c r="O535" s="76">
        <v>5</v>
      </c>
      <c r="P535" s="77" t="s">
        <v>10</v>
      </c>
      <c r="Q535" s="53">
        <v>97</v>
      </c>
    </row>
    <row r="536" spans="1:17" x14ac:dyDescent="0.3">
      <c r="A536" s="78">
        <v>5</v>
      </c>
      <c r="B536" s="78"/>
      <c r="C536" s="78">
        <v>0</v>
      </c>
      <c r="D536" s="78"/>
      <c r="E536" s="78">
        <v>0</v>
      </c>
      <c r="F536" s="78"/>
      <c r="G536" s="78">
        <v>0</v>
      </c>
      <c r="H536" s="78"/>
      <c r="I536" s="78">
        <v>0</v>
      </c>
      <c r="J536" s="78"/>
      <c r="K536" s="78">
        <v>0</v>
      </c>
      <c r="L536" s="78">
        <v>0</v>
      </c>
      <c r="M536" s="78">
        <v>0</v>
      </c>
      <c r="N536" s="78">
        <v>0</v>
      </c>
      <c r="O536" s="78">
        <v>5</v>
      </c>
      <c r="P536" s="79" t="s">
        <v>10</v>
      </c>
      <c r="Q536" s="54">
        <v>90</v>
      </c>
    </row>
    <row r="537" spans="1:17" x14ac:dyDescent="0.3">
      <c r="A537" s="76">
        <v>5</v>
      </c>
      <c r="B537" s="76"/>
      <c r="C537" s="76">
        <v>0</v>
      </c>
      <c r="D537" s="76"/>
      <c r="E537" s="76">
        <v>0</v>
      </c>
      <c r="F537" s="76"/>
      <c r="G537" s="76">
        <v>0</v>
      </c>
      <c r="H537" s="76"/>
      <c r="I537" s="76">
        <v>0</v>
      </c>
      <c r="J537" s="76"/>
      <c r="K537" s="76">
        <v>0</v>
      </c>
      <c r="L537" s="76">
        <v>0</v>
      </c>
      <c r="M537" s="76">
        <v>0</v>
      </c>
      <c r="N537" s="76">
        <v>0</v>
      </c>
      <c r="O537" s="76">
        <v>5</v>
      </c>
      <c r="P537" s="77" t="s">
        <v>10</v>
      </c>
      <c r="Q537" s="53">
        <v>93</v>
      </c>
    </row>
    <row r="538" spans="1:17" x14ac:dyDescent="0.3">
      <c r="A538" s="78">
        <v>13</v>
      </c>
      <c r="B538" s="78"/>
      <c r="C538" s="78">
        <v>10</v>
      </c>
      <c r="D538" s="78"/>
      <c r="E538" s="78">
        <v>0</v>
      </c>
      <c r="F538" s="78"/>
      <c r="G538" s="78">
        <v>0</v>
      </c>
      <c r="H538" s="78"/>
      <c r="I538" s="78">
        <v>0</v>
      </c>
      <c r="J538" s="78"/>
      <c r="K538" s="78">
        <v>0</v>
      </c>
      <c r="L538" s="78">
        <v>0</v>
      </c>
      <c r="M538" s="78">
        <v>0</v>
      </c>
      <c r="N538" s="78">
        <v>0</v>
      </c>
      <c r="O538" s="78">
        <v>23</v>
      </c>
      <c r="P538" s="79" t="s">
        <v>10</v>
      </c>
      <c r="Q538" s="54">
        <v>96</v>
      </c>
    </row>
    <row r="539" spans="1:17" x14ac:dyDescent="0.3">
      <c r="A539" s="76">
        <v>13</v>
      </c>
      <c r="B539" s="76"/>
      <c r="C539" s="76">
        <v>10</v>
      </c>
      <c r="D539" s="76"/>
      <c r="E539" s="76">
        <v>0</v>
      </c>
      <c r="F539" s="76"/>
      <c r="G539" s="76">
        <v>0</v>
      </c>
      <c r="H539" s="76"/>
      <c r="I539" s="76">
        <v>0</v>
      </c>
      <c r="J539" s="76"/>
      <c r="K539" s="76">
        <v>0</v>
      </c>
      <c r="L539" s="76">
        <v>0</v>
      </c>
      <c r="M539" s="76">
        <v>0</v>
      </c>
      <c r="N539" s="76">
        <v>0</v>
      </c>
      <c r="O539" s="76">
        <v>23</v>
      </c>
      <c r="P539" s="77" t="s">
        <v>10</v>
      </c>
      <c r="Q539" s="53">
        <v>93</v>
      </c>
    </row>
    <row r="540" spans="1:17" x14ac:dyDescent="0.3">
      <c r="A540" s="78">
        <v>25</v>
      </c>
      <c r="B540" s="78"/>
      <c r="C540" s="78">
        <v>0</v>
      </c>
      <c r="D540" s="78"/>
      <c r="E540" s="78">
        <v>0</v>
      </c>
      <c r="F540" s="78"/>
      <c r="G540" s="78">
        <v>0</v>
      </c>
      <c r="H540" s="78"/>
      <c r="I540" s="78">
        <v>0</v>
      </c>
      <c r="J540" s="78"/>
      <c r="K540" s="78">
        <v>0</v>
      </c>
      <c r="L540" s="78">
        <v>0</v>
      </c>
      <c r="M540" s="78">
        <v>0</v>
      </c>
      <c r="N540" s="78">
        <v>0</v>
      </c>
      <c r="O540" s="78">
        <v>25</v>
      </c>
      <c r="P540" s="79" t="s">
        <v>10</v>
      </c>
      <c r="Q540" s="54">
        <v>92</v>
      </c>
    </row>
    <row r="541" spans="1:17" x14ac:dyDescent="0.3">
      <c r="A541" s="76">
        <v>33</v>
      </c>
      <c r="B541" s="76"/>
      <c r="C541" s="76">
        <v>15</v>
      </c>
      <c r="D541" s="76"/>
      <c r="E541" s="76">
        <v>0</v>
      </c>
      <c r="F541" s="76"/>
      <c r="G541" s="76">
        <v>0</v>
      </c>
      <c r="H541" s="76"/>
      <c r="I541" s="76">
        <v>0</v>
      </c>
      <c r="J541" s="76"/>
      <c r="K541" s="76">
        <v>0</v>
      </c>
      <c r="L541" s="76">
        <v>0</v>
      </c>
      <c r="M541" s="76">
        <v>0</v>
      </c>
      <c r="N541" s="76">
        <v>0</v>
      </c>
      <c r="O541" s="76">
        <v>48</v>
      </c>
      <c r="P541" s="77" t="s">
        <v>10</v>
      </c>
      <c r="Q541" s="53">
        <v>98</v>
      </c>
    </row>
    <row r="542" spans="1:17" x14ac:dyDescent="0.3">
      <c r="A542" s="78">
        <v>35</v>
      </c>
      <c r="B542" s="78"/>
      <c r="C542" s="78">
        <v>14</v>
      </c>
      <c r="D542" s="78"/>
      <c r="E542" s="78">
        <v>0</v>
      </c>
      <c r="F542" s="78"/>
      <c r="G542" s="78">
        <v>0</v>
      </c>
      <c r="H542" s="78"/>
      <c r="I542" s="78">
        <v>0</v>
      </c>
      <c r="J542" s="78"/>
      <c r="K542" s="78">
        <v>0</v>
      </c>
      <c r="L542" s="78">
        <v>0</v>
      </c>
      <c r="M542" s="78">
        <v>0</v>
      </c>
      <c r="N542" s="78">
        <v>0</v>
      </c>
      <c r="O542" s="78">
        <v>49</v>
      </c>
      <c r="P542" s="79" t="s">
        <v>10</v>
      </c>
      <c r="Q542" s="54">
        <v>90</v>
      </c>
    </row>
    <row r="543" spans="1:17" x14ac:dyDescent="0.3">
      <c r="A543" s="76">
        <v>35</v>
      </c>
      <c r="B543" s="76"/>
      <c r="C543" s="76">
        <v>0</v>
      </c>
      <c r="D543" s="76"/>
      <c r="E543" s="76">
        <v>0</v>
      </c>
      <c r="F543" s="76"/>
      <c r="G543" s="76">
        <v>0</v>
      </c>
      <c r="H543" s="76"/>
      <c r="I543" s="76">
        <v>0</v>
      </c>
      <c r="J543" s="76"/>
      <c r="K543" s="76">
        <v>0</v>
      </c>
      <c r="L543" s="76">
        <v>0</v>
      </c>
      <c r="M543" s="76">
        <v>0</v>
      </c>
      <c r="N543" s="76">
        <v>0</v>
      </c>
      <c r="O543" s="76">
        <v>35</v>
      </c>
      <c r="P543" s="77" t="s">
        <v>10</v>
      </c>
      <c r="Q543" s="53">
        <v>96</v>
      </c>
    </row>
    <row r="544" spans="1:17" x14ac:dyDescent="0.3">
      <c r="A544" s="78">
        <v>35</v>
      </c>
      <c r="B544" s="78"/>
      <c r="C544" s="78">
        <v>0</v>
      </c>
      <c r="D544" s="78"/>
      <c r="E544" s="78">
        <v>0</v>
      </c>
      <c r="F544" s="78"/>
      <c r="G544" s="78">
        <v>0</v>
      </c>
      <c r="H544" s="78"/>
      <c r="I544" s="78">
        <v>0</v>
      </c>
      <c r="J544" s="78"/>
      <c r="K544" s="78">
        <v>0</v>
      </c>
      <c r="L544" s="78">
        <v>0</v>
      </c>
      <c r="M544" s="78">
        <v>0</v>
      </c>
      <c r="N544" s="78">
        <v>0</v>
      </c>
      <c r="O544" s="78">
        <v>35</v>
      </c>
      <c r="P544" s="79" t="s">
        <v>10</v>
      </c>
      <c r="Q544" s="54">
        <v>96</v>
      </c>
    </row>
    <row r="545" spans="1:17" x14ac:dyDescent="0.3">
      <c r="A545" s="76">
        <v>35</v>
      </c>
      <c r="B545" s="76"/>
      <c r="C545" s="76">
        <v>23</v>
      </c>
      <c r="D545" s="76"/>
      <c r="E545" s="76">
        <v>0</v>
      </c>
      <c r="F545" s="76"/>
      <c r="G545" s="76">
        <v>0</v>
      </c>
      <c r="H545" s="76"/>
      <c r="I545" s="76">
        <v>0</v>
      </c>
      <c r="J545" s="76"/>
      <c r="K545" s="76">
        <v>0</v>
      </c>
      <c r="L545" s="76">
        <v>0</v>
      </c>
      <c r="M545" s="76">
        <v>0</v>
      </c>
      <c r="N545" s="76">
        <v>0</v>
      </c>
      <c r="O545" s="76">
        <v>58</v>
      </c>
      <c r="P545" s="77" t="s">
        <v>10</v>
      </c>
      <c r="Q545" s="53">
        <v>93</v>
      </c>
    </row>
    <row r="546" spans="1:17" x14ac:dyDescent="0.3">
      <c r="A546" s="78">
        <v>42</v>
      </c>
      <c r="B546" s="78"/>
      <c r="C546" s="78">
        <v>47</v>
      </c>
      <c r="D546" s="78"/>
      <c r="E546" s="78">
        <v>12</v>
      </c>
      <c r="F546" s="78"/>
      <c r="G546" s="78">
        <v>7</v>
      </c>
      <c r="H546" s="78"/>
      <c r="I546" s="78">
        <v>71</v>
      </c>
      <c r="J546" s="78"/>
      <c r="K546" s="78">
        <v>29</v>
      </c>
      <c r="L546" s="78">
        <v>696</v>
      </c>
      <c r="M546" s="78">
        <v>31</v>
      </c>
      <c r="N546" s="78">
        <v>744</v>
      </c>
      <c r="O546" s="78">
        <v>208</v>
      </c>
      <c r="P546" s="79" t="s">
        <v>10</v>
      </c>
      <c r="Q546" s="54">
        <v>96</v>
      </c>
    </row>
    <row r="547" spans="1:17" x14ac:dyDescent="0.3">
      <c r="A547" s="76">
        <v>53</v>
      </c>
      <c r="B547" s="76"/>
      <c r="C547" s="76">
        <v>28</v>
      </c>
      <c r="D547" s="76"/>
      <c r="E547" s="76">
        <v>0</v>
      </c>
      <c r="F547" s="76"/>
      <c r="G547" s="76">
        <v>0</v>
      </c>
      <c r="H547" s="76"/>
      <c r="I547" s="76">
        <v>0</v>
      </c>
      <c r="J547" s="76"/>
      <c r="K547" s="76">
        <v>0</v>
      </c>
      <c r="L547" s="76">
        <v>0</v>
      </c>
      <c r="M547" s="76">
        <v>0</v>
      </c>
      <c r="N547" s="76">
        <v>0</v>
      </c>
      <c r="O547" s="76">
        <v>81</v>
      </c>
      <c r="P547" s="77" t="s">
        <v>10</v>
      </c>
      <c r="Q547" s="53">
        <v>93</v>
      </c>
    </row>
    <row r="548" spans="1:17" x14ac:dyDescent="0.3">
      <c r="A548" s="78">
        <v>55</v>
      </c>
      <c r="B548" s="78"/>
      <c r="C548" s="78">
        <v>45</v>
      </c>
      <c r="D548" s="78"/>
      <c r="E548" s="78">
        <v>0</v>
      </c>
      <c r="F548" s="78"/>
      <c r="G548" s="78">
        <v>0</v>
      </c>
      <c r="H548" s="78"/>
      <c r="I548" s="78">
        <v>0</v>
      </c>
      <c r="J548" s="78"/>
      <c r="K548" s="78">
        <v>0</v>
      </c>
      <c r="L548" s="78">
        <v>0</v>
      </c>
      <c r="M548" s="78">
        <v>0</v>
      </c>
      <c r="N548" s="78">
        <v>0</v>
      </c>
      <c r="O548" s="78">
        <v>100</v>
      </c>
      <c r="P548" s="79" t="s">
        <v>10</v>
      </c>
      <c r="Q548" s="54">
        <v>98</v>
      </c>
    </row>
    <row r="549" spans="1:17" x14ac:dyDescent="0.3">
      <c r="A549" s="76">
        <v>55</v>
      </c>
      <c r="B549" s="76"/>
      <c r="C549" s="76">
        <v>0</v>
      </c>
      <c r="D549" s="76"/>
      <c r="E549" s="76">
        <v>0</v>
      </c>
      <c r="F549" s="76"/>
      <c r="G549" s="76">
        <v>0</v>
      </c>
      <c r="H549" s="76"/>
      <c r="I549" s="76">
        <v>0</v>
      </c>
      <c r="J549" s="76"/>
      <c r="K549" s="76">
        <v>0</v>
      </c>
      <c r="L549" s="76">
        <v>0</v>
      </c>
      <c r="M549" s="76">
        <v>0</v>
      </c>
      <c r="N549" s="76">
        <v>0</v>
      </c>
      <c r="O549" s="76">
        <v>55</v>
      </c>
      <c r="P549" s="77" t="s">
        <v>10</v>
      </c>
      <c r="Q549" s="53">
        <v>99</v>
      </c>
    </row>
    <row r="550" spans="1:17" x14ac:dyDescent="0.3">
      <c r="A550" s="78">
        <v>76</v>
      </c>
      <c r="B550" s="78"/>
      <c r="C550" s="78">
        <v>55</v>
      </c>
      <c r="D550" s="78"/>
      <c r="E550" s="78">
        <v>0</v>
      </c>
      <c r="F550" s="78"/>
      <c r="G550" s="78">
        <v>0</v>
      </c>
      <c r="H550" s="78"/>
      <c r="I550" s="78">
        <v>0</v>
      </c>
      <c r="J550" s="78"/>
      <c r="K550" s="78">
        <v>0</v>
      </c>
      <c r="L550" s="78">
        <v>0</v>
      </c>
      <c r="M550" s="78">
        <v>0</v>
      </c>
      <c r="N550" s="78">
        <v>0</v>
      </c>
      <c r="O550" s="78">
        <v>131</v>
      </c>
      <c r="P550" s="79" t="s">
        <v>10</v>
      </c>
      <c r="Q550" s="54">
        <v>95</v>
      </c>
    </row>
    <row r="551" spans="1:17" x14ac:dyDescent="0.3">
      <c r="A551" s="76">
        <v>530</v>
      </c>
      <c r="B551" s="76"/>
      <c r="C551" s="76">
        <v>135</v>
      </c>
      <c r="D551" s="76"/>
      <c r="E551" s="76">
        <v>0</v>
      </c>
      <c r="F551" s="76"/>
      <c r="G551" s="76">
        <v>0</v>
      </c>
      <c r="H551" s="76"/>
      <c r="I551" s="76">
        <v>0</v>
      </c>
      <c r="J551" s="76"/>
      <c r="K551" s="76">
        <v>0</v>
      </c>
      <c r="L551" s="76">
        <v>0</v>
      </c>
      <c r="M551" s="76">
        <v>0</v>
      </c>
      <c r="N551" s="76">
        <v>0</v>
      </c>
      <c r="O551" s="76">
        <v>665</v>
      </c>
      <c r="P551" s="77" t="s">
        <v>10</v>
      </c>
      <c r="Q551" s="53">
        <v>90</v>
      </c>
    </row>
    <row r="552" spans="1:17" x14ac:dyDescent="0.3">
      <c r="A552" s="78">
        <v>0</v>
      </c>
      <c r="B552" s="78"/>
      <c r="C552" s="78">
        <v>5</v>
      </c>
      <c r="D552" s="78"/>
      <c r="E552" s="78">
        <v>0</v>
      </c>
      <c r="F552" s="78"/>
      <c r="G552" s="78">
        <v>0</v>
      </c>
      <c r="H552" s="78"/>
      <c r="I552" s="78">
        <v>0</v>
      </c>
      <c r="J552" s="78"/>
      <c r="K552" s="78">
        <v>0</v>
      </c>
      <c r="L552" s="78">
        <v>0</v>
      </c>
      <c r="M552" s="78">
        <v>0</v>
      </c>
      <c r="N552" s="78">
        <v>0</v>
      </c>
      <c r="O552" s="78">
        <v>5</v>
      </c>
      <c r="P552" s="79" t="s">
        <v>10</v>
      </c>
      <c r="Q552" s="54">
        <v>90</v>
      </c>
    </row>
    <row r="553" spans="1:17" x14ac:dyDescent="0.3">
      <c r="A553" s="76">
        <v>1</v>
      </c>
      <c r="B553" s="76"/>
      <c r="C553" s="76">
        <v>0</v>
      </c>
      <c r="D553" s="76"/>
      <c r="E553" s="76">
        <v>0</v>
      </c>
      <c r="F553" s="76"/>
      <c r="G553" s="76">
        <v>0</v>
      </c>
      <c r="H553" s="76"/>
      <c r="I553" s="76">
        <v>0</v>
      </c>
      <c r="J553" s="76"/>
      <c r="K553" s="76">
        <v>0</v>
      </c>
      <c r="L553" s="76">
        <v>0</v>
      </c>
      <c r="M553" s="76">
        <v>0</v>
      </c>
      <c r="N553" s="76">
        <v>0</v>
      </c>
      <c r="O553" s="76">
        <v>1</v>
      </c>
      <c r="P553" s="77" t="s">
        <v>10</v>
      </c>
      <c r="Q553" s="53">
        <v>95</v>
      </c>
    </row>
    <row r="554" spans="1:17" x14ac:dyDescent="0.3">
      <c r="A554" s="78">
        <v>1</v>
      </c>
      <c r="B554" s="78"/>
      <c r="C554" s="78">
        <v>0</v>
      </c>
      <c r="D554" s="78"/>
      <c r="E554" s="78">
        <v>0</v>
      </c>
      <c r="F554" s="78"/>
      <c r="G554" s="78">
        <v>0</v>
      </c>
      <c r="H554" s="78"/>
      <c r="I554" s="78">
        <v>0</v>
      </c>
      <c r="J554" s="78"/>
      <c r="K554" s="78">
        <v>0</v>
      </c>
      <c r="L554" s="78">
        <v>0</v>
      </c>
      <c r="M554" s="78">
        <v>0</v>
      </c>
      <c r="N554" s="78">
        <v>0</v>
      </c>
      <c r="O554" s="78">
        <v>1</v>
      </c>
      <c r="P554" s="79" t="s">
        <v>10</v>
      </c>
      <c r="Q554" s="54">
        <v>92</v>
      </c>
    </row>
    <row r="555" spans="1:17" x14ac:dyDescent="0.3">
      <c r="A555" s="76">
        <v>5</v>
      </c>
      <c r="B555" s="76"/>
      <c r="C555" s="76">
        <v>0</v>
      </c>
      <c r="D555" s="76"/>
      <c r="E555" s="76">
        <v>0</v>
      </c>
      <c r="F555" s="76"/>
      <c r="G555" s="76">
        <v>0</v>
      </c>
      <c r="H555" s="76"/>
      <c r="I555" s="76">
        <v>0</v>
      </c>
      <c r="J555" s="76"/>
      <c r="K555" s="76">
        <v>0</v>
      </c>
      <c r="L555" s="76">
        <v>0</v>
      </c>
      <c r="M555" s="76">
        <v>0</v>
      </c>
      <c r="N555" s="76">
        <v>0</v>
      </c>
      <c r="O555" s="76">
        <v>5</v>
      </c>
      <c r="P555" s="77" t="s">
        <v>10</v>
      </c>
      <c r="Q555" s="53">
        <v>95</v>
      </c>
    </row>
    <row r="556" spans="1:17" x14ac:dyDescent="0.3">
      <c r="A556" s="78">
        <v>5</v>
      </c>
      <c r="B556" s="78"/>
      <c r="C556" s="78">
        <v>0</v>
      </c>
      <c r="D556" s="78"/>
      <c r="E556" s="78">
        <v>0</v>
      </c>
      <c r="F556" s="78"/>
      <c r="G556" s="78">
        <v>0</v>
      </c>
      <c r="H556" s="78"/>
      <c r="I556" s="78">
        <v>0</v>
      </c>
      <c r="J556" s="78"/>
      <c r="K556" s="78">
        <v>0</v>
      </c>
      <c r="L556" s="78">
        <v>0</v>
      </c>
      <c r="M556" s="78">
        <v>0</v>
      </c>
      <c r="N556" s="78">
        <v>0</v>
      </c>
      <c r="O556" s="78">
        <v>5</v>
      </c>
      <c r="P556" s="79" t="s">
        <v>10</v>
      </c>
      <c r="Q556" s="54">
        <v>96</v>
      </c>
    </row>
    <row r="557" spans="1:17" x14ac:dyDescent="0.3">
      <c r="A557" s="76">
        <v>23</v>
      </c>
      <c r="B557" s="76"/>
      <c r="C557" s="76">
        <v>5</v>
      </c>
      <c r="D557" s="76"/>
      <c r="E557" s="76">
        <v>0</v>
      </c>
      <c r="F557" s="76"/>
      <c r="G557" s="76">
        <v>0</v>
      </c>
      <c r="H557" s="76"/>
      <c r="I557" s="76">
        <v>0</v>
      </c>
      <c r="J557" s="76"/>
      <c r="K557" s="76">
        <v>0</v>
      </c>
      <c r="L557" s="76">
        <v>0</v>
      </c>
      <c r="M557" s="76">
        <v>0</v>
      </c>
      <c r="N557" s="76">
        <v>0</v>
      </c>
      <c r="O557" s="76">
        <v>28</v>
      </c>
      <c r="P557" s="77" t="s">
        <v>10</v>
      </c>
      <c r="Q557" s="53">
        <v>93</v>
      </c>
    </row>
    <row r="558" spans="1:17" x14ac:dyDescent="0.3">
      <c r="A558" s="78">
        <v>135</v>
      </c>
      <c r="B558" s="78"/>
      <c r="C558" s="78">
        <v>46</v>
      </c>
      <c r="D558" s="78"/>
      <c r="E558" s="78">
        <v>0</v>
      </c>
      <c r="F558" s="78"/>
      <c r="G558" s="78">
        <v>0</v>
      </c>
      <c r="H558" s="78"/>
      <c r="I558" s="78">
        <v>0</v>
      </c>
      <c r="J558" s="78"/>
      <c r="K558" s="78">
        <v>0</v>
      </c>
      <c r="L558" s="78">
        <v>0</v>
      </c>
      <c r="M558" s="78">
        <v>0</v>
      </c>
      <c r="N558" s="78">
        <v>0</v>
      </c>
      <c r="O558" s="78">
        <v>181</v>
      </c>
      <c r="P558" s="79" t="s">
        <v>10</v>
      </c>
      <c r="Q558" s="54">
        <v>95</v>
      </c>
    </row>
    <row r="559" spans="1:17" x14ac:dyDescent="0.3">
      <c r="A559" s="76">
        <v>1</v>
      </c>
      <c r="B559" s="76"/>
      <c r="C559" s="76">
        <v>0</v>
      </c>
      <c r="D559" s="76"/>
      <c r="E559" s="76">
        <v>0</v>
      </c>
      <c r="F559" s="76"/>
      <c r="G559" s="76">
        <v>0</v>
      </c>
      <c r="H559" s="76"/>
      <c r="I559" s="76">
        <v>0</v>
      </c>
      <c r="J559" s="76"/>
      <c r="K559" s="76">
        <v>0</v>
      </c>
      <c r="L559" s="76">
        <v>0</v>
      </c>
      <c r="M559" s="76">
        <v>0</v>
      </c>
      <c r="N559" s="76">
        <v>0</v>
      </c>
      <c r="O559" s="76">
        <v>1</v>
      </c>
      <c r="P559" s="77" t="s">
        <v>10</v>
      </c>
      <c r="Q559" s="53">
        <v>100</v>
      </c>
    </row>
    <row r="560" spans="1:17" x14ac:dyDescent="0.3">
      <c r="A560" s="78">
        <v>1</v>
      </c>
      <c r="B560" s="78"/>
      <c r="C560" s="78">
        <v>0</v>
      </c>
      <c r="D560" s="78"/>
      <c r="E560" s="78">
        <v>0</v>
      </c>
      <c r="F560" s="78"/>
      <c r="G560" s="78">
        <v>0</v>
      </c>
      <c r="H560" s="78"/>
      <c r="I560" s="78">
        <v>0</v>
      </c>
      <c r="J560" s="78"/>
      <c r="K560" s="78">
        <v>0</v>
      </c>
      <c r="L560" s="78">
        <v>0</v>
      </c>
      <c r="M560" s="78">
        <v>0</v>
      </c>
      <c r="N560" s="78">
        <v>0</v>
      </c>
      <c r="O560" s="78">
        <v>1</v>
      </c>
      <c r="P560" s="79" t="s">
        <v>10</v>
      </c>
      <c r="Q560" s="54">
        <v>91</v>
      </c>
    </row>
    <row r="561" spans="1:17" x14ac:dyDescent="0.3">
      <c r="A561" s="76">
        <v>2</v>
      </c>
      <c r="B561" s="76"/>
      <c r="C561" s="76">
        <v>0</v>
      </c>
      <c r="D561" s="76"/>
      <c r="E561" s="76">
        <v>0</v>
      </c>
      <c r="F561" s="76"/>
      <c r="G561" s="76">
        <v>0</v>
      </c>
      <c r="H561" s="76"/>
      <c r="I561" s="76">
        <v>0</v>
      </c>
      <c r="J561" s="76"/>
      <c r="K561" s="76">
        <v>0</v>
      </c>
      <c r="L561" s="76">
        <v>0</v>
      </c>
      <c r="M561" s="76">
        <v>0</v>
      </c>
      <c r="N561" s="76">
        <v>0</v>
      </c>
      <c r="O561" s="76">
        <v>2</v>
      </c>
      <c r="P561" s="77" t="s">
        <v>10</v>
      </c>
      <c r="Q561" s="53">
        <v>96</v>
      </c>
    </row>
    <row r="562" spans="1:17" x14ac:dyDescent="0.3">
      <c r="A562" s="78">
        <v>3</v>
      </c>
      <c r="B562" s="78"/>
      <c r="C562" s="78">
        <v>0</v>
      </c>
      <c r="D562" s="78"/>
      <c r="E562" s="78">
        <v>0</v>
      </c>
      <c r="F562" s="78"/>
      <c r="G562" s="78">
        <v>0</v>
      </c>
      <c r="H562" s="78"/>
      <c r="I562" s="78">
        <v>0</v>
      </c>
      <c r="J562" s="78"/>
      <c r="K562" s="78">
        <v>0</v>
      </c>
      <c r="L562" s="78">
        <v>0</v>
      </c>
      <c r="M562" s="78">
        <v>0</v>
      </c>
      <c r="N562" s="78">
        <v>0</v>
      </c>
      <c r="O562" s="78">
        <v>3</v>
      </c>
      <c r="P562" s="79" t="s">
        <v>10</v>
      </c>
      <c r="Q562" s="54">
        <v>94</v>
      </c>
    </row>
    <row r="563" spans="1:17" x14ac:dyDescent="0.3">
      <c r="A563" s="76">
        <v>3</v>
      </c>
      <c r="B563" s="76"/>
      <c r="C563" s="76">
        <v>0</v>
      </c>
      <c r="D563" s="76"/>
      <c r="E563" s="76">
        <v>0</v>
      </c>
      <c r="F563" s="76"/>
      <c r="G563" s="76">
        <v>0</v>
      </c>
      <c r="H563" s="76"/>
      <c r="I563" s="76">
        <v>0</v>
      </c>
      <c r="J563" s="76"/>
      <c r="K563" s="76">
        <v>0</v>
      </c>
      <c r="L563" s="76">
        <v>0</v>
      </c>
      <c r="M563" s="76">
        <v>0</v>
      </c>
      <c r="N563" s="76">
        <v>0</v>
      </c>
      <c r="O563" s="76">
        <v>3</v>
      </c>
      <c r="P563" s="77" t="s">
        <v>10</v>
      </c>
      <c r="Q563" s="53">
        <v>97</v>
      </c>
    </row>
    <row r="564" spans="1:17" x14ac:dyDescent="0.3">
      <c r="A564" s="78">
        <v>5</v>
      </c>
      <c r="B564" s="78"/>
      <c r="C564" s="78">
        <v>0</v>
      </c>
      <c r="D564" s="78"/>
      <c r="E564" s="78">
        <v>0</v>
      </c>
      <c r="F564" s="78"/>
      <c r="G564" s="78">
        <v>0</v>
      </c>
      <c r="H564" s="78"/>
      <c r="I564" s="78">
        <v>0</v>
      </c>
      <c r="J564" s="78"/>
      <c r="K564" s="78">
        <v>0</v>
      </c>
      <c r="L564" s="78">
        <v>0</v>
      </c>
      <c r="M564" s="78">
        <v>0</v>
      </c>
      <c r="N564" s="78">
        <v>0</v>
      </c>
      <c r="O564" s="78">
        <v>5</v>
      </c>
      <c r="P564" s="79" t="s">
        <v>10</v>
      </c>
      <c r="Q564" s="54">
        <v>92</v>
      </c>
    </row>
    <row r="565" spans="1:17" x14ac:dyDescent="0.3">
      <c r="A565" s="76">
        <v>10</v>
      </c>
      <c r="B565" s="76"/>
      <c r="C565" s="76">
        <v>0</v>
      </c>
      <c r="D565" s="76"/>
      <c r="E565" s="76">
        <v>0</v>
      </c>
      <c r="F565" s="76"/>
      <c r="G565" s="76">
        <v>0</v>
      </c>
      <c r="H565" s="76"/>
      <c r="I565" s="76">
        <v>0</v>
      </c>
      <c r="J565" s="76"/>
      <c r="K565" s="76">
        <v>0</v>
      </c>
      <c r="L565" s="76">
        <v>0</v>
      </c>
      <c r="M565" s="76">
        <v>0</v>
      </c>
      <c r="N565" s="76">
        <v>0</v>
      </c>
      <c r="O565" s="76">
        <v>10</v>
      </c>
      <c r="P565" s="77" t="s">
        <v>10</v>
      </c>
      <c r="Q565" s="53">
        <v>94</v>
      </c>
    </row>
    <row r="566" spans="1:17" x14ac:dyDescent="0.3">
      <c r="A566" s="78">
        <v>10</v>
      </c>
      <c r="B566" s="78"/>
      <c r="C566" s="78">
        <v>0</v>
      </c>
      <c r="D566" s="78"/>
      <c r="E566" s="78">
        <v>0</v>
      </c>
      <c r="F566" s="78"/>
      <c r="G566" s="78">
        <v>0</v>
      </c>
      <c r="H566" s="78"/>
      <c r="I566" s="78">
        <v>0</v>
      </c>
      <c r="J566" s="78"/>
      <c r="K566" s="78">
        <v>0</v>
      </c>
      <c r="L566" s="78">
        <v>0</v>
      </c>
      <c r="M566" s="78">
        <v>0</v>
      </c>
      <c r="N566" s="78">
        <v>0</v>
      </c>
      <c r="O566" s="78">
        <v>10</v>
      </c>
      <c r="P566" s="79" t="s">
        <v>10</v>
      </c>
      <c r="Q566" s="54">
        <v>100</v>
      </c>
    </row>
    <row r="567" spans="1:17" x14ac:dyDescent="0.3">
      <c r="A567" s="76">
        <v>10</v>
      </c>
      <c r="B567" s="76"/>
      <c r="C567" s="76">
        <v>0</v>
      </c>
      <c r="D567" s="76"/>
      <c r="E567" s="76">
        <v>0</v>
      </c>
      <c r="F567" s="76"/>
      <c r="G567" s="76">
        <v>0</v>
      </c>
      <c r="H567" s="76"/>
      <c r="I567" s="76">
        <v>0</v>
      </c>
      <c r="J567" s="76"/>
      <c r="K567" s="76">
        <v>0</v>
      </c>
      <c r="L567" s="76">
        <v>0</v>
      </c>
      <c r="M567" s="76">
        <v>0</v>
      </c>
      <c r="N567" s="76">
        <v>0</v>
      </c>
      <c r="O567" s="76">
        <v>10</v>
      </c>
      <c r="P567" s="77" t="s">
        <v>10</v>
      </c>
      <c r="Q567" s="53">
        <v>90</v>
      </c>
    </row>
    <row r="568" spans="1:17" x14ac:dyDescent="0.3">
      <c r="A568" s="78">
        <v>24</v>
      </c>
      <c r="B568" s="78"/>
      <c r="C568" s="78">
        <v>0</v>
      </c>
      <c r="D568" s="78"/>
      <c r="E568" s="78">
        <v>0</v>
      </c>
      <c r="F568" s="78"/>
      <c r="G568" s="78">
        <v>0</v>
      </c>
      <c r="H568" s="78"/>
      <c r="I568" s="78">
        <v>0</v>
      </c>
      <c r="J568" s="78"/>
      <c r="K568" s="78">
        <v>0</v>
      </c>
      <c r="L568" s="78">
        <v>0</v>
      </c>
      <c r="M568" s="78">
        <v>0</v>
      </c>
      <c r="N568" s="78">
        <v>0</v>
      </c>
      <c r="O568" s="78">
        <v>24</v>
      </c>
      <c r="P568" s="79" t="s">
        <v>10</v>
      </c>
      <c r="Q568" s="54">
        <v>91</v>
      </c>
    </row>
    <row r="569" spans="1:17" x14ac:dyDescent="0.3">
      <c r="A569" s="76">
        <v>25</v>
      </c>
      <c r="B569" s="76"/>
      <c r="C569" s="76">
        <v>30</v>
      </c>
      <c r="D569" s="76"/>
      <c r="E569" s="76">
        <v>23</v>
      </c>
      <c r="F569" s="76"/>
      <c r="G569" s="76">
        <v>22</v>
      </c>
      <c r="H569" s="76"/>
      <c r="I569" s="76">
        <v>35</v>
      </c>
      <c r="J569" s="76"/>
      <c r="K569" s="76">
        <v>135</v>
      </c>
      <c r="L569" s="76">
        <v>31725</v>
      </c>
      <c r="M569" s="76">
        <v>142</v>
      </c>
      <c r="N569" s="76">
        <v>33370</v>
      </c>
      <c r="O569" s="76">
        <v>270</v>
      </c>
      <c r="P569" s="77" t="s">
        <v>10</v>
      </c>
      <c r="Q569" s="53">
        <v>95</v>
      </c>
    </row>
    <row r="570" spans="1:17" x14ac:dyDescent="0.3">
      <c r="A570" s="78">
        <v>40</v>
      </c>
      <c r="B570" s="78"/>
      <c r="C570" s="78">
        <v>33</v>
      </c>
      <c r="D570" s="78"/>
      <c r="E570" s="78">
        <v>45</v>
      </c>
      <c r="F570" s="78"/>
      <c r="G570" s="78">
        <v>20</v>
      </c>
      <c r="H570" s="78"/>
      <c r="I570" s="78">
        <v>15</v>
      </c>
      <c r="J570" s="78"/>
      <c r="K570" s="78">
        <v>55</v>
      </c>
      <c r="L570" s="78">
        <v>2007.5</v>
      </c>
      <c r="M570" s="78">
        <v>46</v>
      </c>
      <c r="N570" s="78">
        <v>1679</v>
      </c>
      <c r="O570" s="78">
        <v>208</v>
      </c>
      <c r="P570" s="79" t="s">
        <v>10</v>
      </c>
      <c r="Q570" s="54">
        <v>100</v>
      </c>
    </row>
    <row r="571" spans="1:17" x14ac:dyDescent="0.3">
      <c r="A571" s="76">
        <v>40</v>
      </c>
      <c r="B571" s="76"/>
      <c r="C571" s="76">
        <v>32</v>
      </c>
      <c r="D571" s="76"/>
      <c r="E571" s="76">
        <v>45</v>
      </c>
      <c r="F571" s="76"/>
      <c r="G571" s="76">
        <v>13</v>
      </c>
      <c r="H571" s="76"/>
      <c r="I571" s="76">
        <v>25</v>
      </c>
      <c r="J571" s="76"/>
      <c r="K571" s="76">
        <v>66</v>
      </c>
      <c r="L571" s="76">
        <v>3828</v>
      </c>
      <c r="M571" s="76">
        <v>45</v>
      </c>
      <c r="N571" s="76">
        <v>2610</v>
      </c>
      <c r="O571" s="76">
        <v>221</v>
      </c>
      <c r="P571" s="77" t="s">
        <v>10</v>
      </c>
      <c r="Q571" s="53">
        <v>92</v>
      </c>
    </row>
    <row r="572" spans="1:17" x14ac:dyDescent="0.3">
      <c r="A572" s="78">
        <v>45</v>
      </c>
      <c r="B572" s="78"/>
      <c r="C572" s="78">
        <v>35</v>
      </c>
      <c r="D572" s="78"/>
      <c r="E572" s="78">
        <v>30</v>
      </c>
      <c r="F572" s="78"/>
      <c r="G572" s="78">
        <v>20</v>
      </c>
      <c r="H572" s="78"/>
      <c r="I572" s="78">
        <v>15</v>
      </c>
      <c r="J572" s="78"/>
      <c r="K572" s="78">
        <v>50</v>
      </c>
      <c r="L572" s="78">
        <v>5750</v>
      </c>
      <c r="M572" s="78">
        <v>45</v>
      </c>
      <c r="N572" s="78">
        <v>5175</v>
      </c>
      <c r="O572" s="78">
        <v>195</v>
      </c>
      <c r="P572" s="79" t="s">
        <v>10</v>
      </c>
      <c r="Q572" s="54">
        <v>100</v>
      </c>
    </row>
    <row r="573" spans="1:17" x14ac:dyDescent="0.3">
      <c r="A573" s="76">
        <v>66</v>
      </c>
      <c r="B573" s="76"/>
      <c r="C573" s="76">
        <v>35</v>
      </c>
      <c r="D573" s="76"/>
      <c r="E573" s="76">
        <v>12</v>
      </c>
      <c r="F573" s="76"/>
      <c r="G573" s="76">
        <v>15</v>
      </c>
      <c r="H573" s="76"/>
      <c r="I573" s="76">
        <v>33</v>
      </c>
      <c r="J573" s="76"/>
      <c r="K573" s="76">
        <v>50</v>
      </c>
      <c r="L573" s="76">
        <v>21750</v>
      </c>
      <c r="M573" s="76">
        <v>45</v>
      </c>
      <c r="N573" s="76">
        <v>19575</v>
      </c>
      <c r="O573" s="76">
        <v>211</v>
      </c>
      <c r="P573" s="77" t="s">
        <v>10</v>
      </c>
      <c r="Q573" s="53">
        <v>94</v>
      </c>
    </row>
    <row r="574" spans="1:17" x14ac:dyDescent="0.3">
      <c r="A574" s="78">
        <v>68</v>
      </c>
      <c r="B574" s="78"/>
      <c r="C574" s="78">
        <v>55</v>
      </c>
      <c r="D574" s="78"/>
      <c r="E574" s="78">
        <v>20</v>
      </c>
      <c r="F574" s="78"/>
      <c r="G574" s="78">
        <v>25</v>
      </c>
      <c r="H574" s="78"/>
      <c r="I574" s="78">
        <v>30</v>
      </c>
      <c r="J574" s="78"/>
      <c r="K574" s="78">
        <v>44</v>
      </c>
      <c r="L574" s="78">
        <v>1496</v>
      </c>
      <c r="M574" s="78">
        <v>10</v>
      </c>
      <c r="N574" s="78">
        <v>340</v>
      </c>
      <c r="O574" s="78">
        <v>242</v>
      </c>
      <c r="P574" s="79" t="s">
        <v>10</v>
      </c>
      <c r="Q574" s="54">
        <v>93</v>
      </c>
    </row>
    <row r="575" spans="1:17" x14ac:dyDescent="0.3">
      <c r="A575" s="76">
        <v>87</v>
      </c>
      <c r="B575" s="76"/>
      <c r="C575" s="76">
        <v>65</v>
      </c>
      <c r="D575" s="76"/>
      <c r="E575" s="76">
        <v>50</v>
      </c>
      <c r="F575" s="76"/>
      <c r="G575" s="76">
        <v>67</v>
      </c>
      <c r="H575" s="76"/>
      <c r="I575" s="76">
        <v>50</v>
      </c>
      <c r="J575" s="76"/>
      <c r="K575" s="76">
        <v>35</v>
      </c>
      <c r="L575" s="76">
        <v>1785</v>
      </c>
      <c r="M575" s="76">
        <v>55</v>
      </c>
      <c r="N575" s="76">
        <v>2805</v>
      </c>
      <c r="O575" s="76">
        <v>354</v>
      </c>
      <c r="P575" s="77" t="s">
        <v>10</v>
      </c>
      <c r="Q575" s="53">
        <v>91</v>
      </c>
    </row>
    <row r="576" spans="1:17" x14ac:dyDescent="0.3">
      <c r="A576" s="78">
        <v>135</v>
      </c>
      <c r="B576" s="78"/>
      <c r="C576" s="78">
        <v>100</v>
      </c>
      <c r="D576" s="78"/>
      <c r="E576" s="78">
        <v>87</v>
      </c>
      <c r="F576" s="78"/>
      <c r="G576" s="78">
        <v>15</v>
      </c>
      <c r="H576" s="78"/>
      <c r="I576" s="78">
        <v>57</v>
      </c>
      <c r="J576" s="78"/>
      <c r="K576" s="78">
        <v>180</v>
      </c>
      <c r="L576" s="78">
        <v>9180</v>
      </c>
      <c r="M576" s="78">
        <v>167</v>
      </c>
      <c r="N576" s="78">
        <v>8517</v>
      </c>
      <c r="O576" s="78">
        <v>574</v>
      </c>
      <c r="P576" s="79" t="s">
        <v>10</v>
      </c>
      <c r="Q576" s="54">
        <v>100</v>
      </c>
    </row>
    <row r="577" spans="1:17" x14ac:dyDescent="0.3">
      <c r="A577" s="76">
        <v>158</v>
      </c>
      <c r="B577" s="76"/>
      <c r="C577" s="76">
        <v>113</v>
      </c>
      <c r="D577" s="76"/>
      <c r="E577" s="76">
        <v>250</v>
      </c>
      <c r="F577" s="76"/>
      <c r="G577" s="76">
        <v>0</v>
      </c>
      <c r="H577" s="76"/>
      <c r="I577" s="76">
        <v>0</v>
      </c>
      <c r="J577" s="76"/>
      <c r="K577" s="76">
        <v>0</v>
      </c>
      <c r="L577" s="76">
        <v>0</v>
      </c>
      <c r="M577" s="76">
        <v>0</v>
      </c>
      <c r="N577" s="76">
        <v>0</v>
      </c>
      <c r="O577" s="76">
        <v>521</v>
      </c>
      <c r="P577" s="77" t="s">
        <v>10</v>
      </c>
      <c r="Q577" s="53">
        <v>97</v>
      </c>
    </row>
    <row r="578" spans="1:17" x14ac:dyDescent="0.3">
      <c r="A578" s="78">
        <v>180</v>
      </c>
      <c r="B578" s="78"/>
      <c r="C578" s="78">
        <v>0</v>
      </c>
      <c r="D578" s="78"/>
      <c r="E578" s="78">
        <v>0</v>
      </c>
      <c r="F578" s="78"/>
      <c r="G578" s="78">
        <v>0</v>
      </c>
      <c r="H578" s="78"/>
      <c r="I578" s="78">
        <v>0</v>
      </c>
      <c r="J578" s="78"/>
      <c r="K578" s="78">
        <v>0</v>
      </c>
      <c r="L578" s="78">
        <v>0</v>
      </c>
      <c r="M578" s="78">
        <v>0</v>
      </c>
      <c r="N578" s="78">
        <v>0</v>
      </c>
      <c r="O578" s="78">
        <v>180</v>
      </c>
      <c r="P578" s="79" t="s">
        <v>10</v>
      </c>
      <c r="Q578" s="54">
        <v>98</v>
      </c>
    </row>
    <row r="579" spans="1:17" x14ac:dyDescent="0.3">
      <c r="A579" s="76">
        <v>189</v>
      </c>
      <c r="B579" s="76"/>
      <c r="C579" s="76">
        <v>144</v>
      </c>
      <c r="D579" s="76"/>
      <c r="E579" s="76">
        <v>64</v>
      </c>
      <c r="F579" s="76"/>
      <c r="G579" s="76">
        <v>0</v>
      </c>
      <c r="H579" s="76"/>
      <c r="I579" s="76">
        <v>87</v>
      </c>
      <c r="J579" s="76"/>
      <c r="K579" s="76">
        <v>153</v>
      </c>
      <c r="L579" s="76">
        <v>8568</v>
      </c>
      <c r="M579" s="76">
        <v>145</v>
      </c>
      <c r="N579" s="76">
        <v>8120</v>
      </c>
      <c r="O579" s="76">
        <v>637</v>
      </c>
      <c r="P579" s="77" t="s">
        <v>10</v>
      </c>
      <c r="Q579" s="53">
        <v>98</v>
      </c>
    </row>
    <row r="580" spans="1:17" x14ac:dyDescent="0.3">
      <c r="A580" s="78">
        <v>200</v>
      </c>
      <c r="B580" s="78"/>
      <c r="C580" s="78">
        <v>45</v>
      </c>
      <c r="D580" s="78"/>
      <c r="E580" s="78">
        <v>5</v>
      </c>
      <c r="F580" s="78"/>
      <c r="G580" s="78">
        <v>0</v>
      </c>
      <c r="H580" s="78"/>
      <c r="I580" s="78">
        <v>0</v>
      </c>
      <c r="J580" s="78"/>
      <c r="K580" s="78">
        <v>0</v>
      </c>
      <c r="L580" s="78">
        <v>0</v>
      </c>
      <c r="M580" s="78">
        <v>0</v>
      </c>
      <c r="N580" s="78">
        <v>0</v>
      </c>
      <c r="O580" s="78">
        <v>250</v>
      </c>
      <c r="P580" s="79" t="s">
        <v>10</v>
      </c>
      <c r="Q580" s="54">
        <v>92</v>
      </c>
    </row>
    <row r="581" spans="1:17" x14ac:dyDescent="0.3">
      <c r="A581" s="76">
        <v>230</v>
      </c>
      <c r="B581" s="76"/>
      <c r="C581" s="76">
        <v>187</v>
      </c>
      <c r="D581" s="76"/>
      <c r="E581" s="76">
        <v>135</v>
      </c>
      <c r="F581" s="76"/>
      <c r="G581" s="76">
        <v>87</v>
      </c>
      <c r="H581" s="76"/>
      <c r="I581" s="76">
        <v>53</v>
      </c>
      <c r="J581" s="76"/>
      <c r="K581" s="76">
        <v>235</v>
      </c>
      <c r="L581" s="76">
        <v>34075</v>
      </c>
      <c r="M581" s="76">
        <v>200</v>
      </c>
      <c r="N581" s="76">
        <v>29000</v>
      </c>
      <c r="O581" s="76">
        <v>927</v>
      </c>
      <c r="P581" s="77" t="s">
        <v>10</v>
      </c>
      <c r="Q581" s="53">
        <v>96</v>
      </c>
    </row>
    <row r="582" spans="1:17" x14ac:dyDescent="0.3">
      <c r="A582" s="78">
        <v>230</v>
      </c>
      <c r="B582" s="78"/>
      <c r="C582" s="78">
        <v>185</v>
      </c>
      <c r="D582" s="78"/>
      <c r="E582" s="78">
        <v>74</v>
      </c>
      <c r="F582" s="78"/>
      <c r="G582" s="78">
        <v>67</v>
      </c>
      <c r="H582" s="78"/>
      <c r="I582" s="78">
        <v>55</v>
      </c>
      <c r="J582" s="78"/>
      <c r="K582" s="78">
        <v>80</v>
      </c>
      <c r="L582" s="78">
        <v>2240</v>
      </c>
      <c r="M582" s="78">
        <v>250</v>
      </c>
      <c r="N582" s="78">
        <v>7000</v>
      </c>
      <c r="O582" s="78">
        <v>691</v>
      </c>
      <c r="P582" s="79" t="s">
        <v>10</v>
      </c>
      <c r="Q582" s="54">
        <v>90</v>
      </c>
    </row>
    <row r="583" spans="1:17" x14ac:dyDescent="0.3">
      <c r="A583" s="76">
        <v>342</v>
      </c>
      <c r="B583" s="76"/>
      <c r="C583" s="76">
        <v>280</v>
      </c>
      <c r="D583" s="76"/>
      <c r="E583" s="76">
        <v>133</v>
      </c>
      <c r="F583" s="76"/>
      <c r="G583" s="76">
        <v>200</v>
      </c>
      <c r="H583" s="76"/>
      <c r="I583" s="76">
        <v>187</v>
      </c>
      <c r="J583" s="76"/>
      <c r="K583" s="76">
        <v>850</v>
      </c>
      <c r="L583" s="76">
        <v>25500</v>
      </c>
      <c r="M583" s="76">
        <v>345</v>
      </c>
      <c r="N583" s="76">
        <v>10350</v>
      </c>
      <c r="O583" s="76">
        <v>1992</v>
      </c>
      <c r="P583" s="77" t="s">
        <v>10</v>
      </c>
      <c r="Q583" s="53">
        <v>94</v>
      </c>
    </row>
    <row r="584" spans="1:17" x14ac:dyDescent="0.3">
      <c r="A584" s="78">
        <v>360</v>
      </c>
      <c r="B584" s="78"/>
      <c r="C584" s="78">
        <v>245</v>
      </c>
      <c r="D584" s="78"/>
      <c r="E584" s="78">
        <v>133</v>
      </c>
      <c r="F584" s="78"/>
      <c r="G584" s="78">
        <v>88</v>
      </c>
      <c r="H584" s="78"/>
      <c r="I584" s="78">
        <v>10</v>
      </c>
      <c r="J584" s="78"/>
      <c r="K584" s="78">
        <v>0</v>
      </c>
      <c r="L584" s="78">
        <v>0</v>
      </c>
      <c r="M584" s="78">
        <v>0</v>
      </c>
      <c r="N584" s="78">
        <v>0</v>
      </c>
      <c r="O584" s="78">
        <v>836</v>
      </c>
      <c r="P584" s="79" t="s">
        <v>10</v>
      </c>
      <c r="Q584" s="54">
        <v>99</v>
      </c>
    </row>
    <row r="585" spans="1:17" x14ac:dyDescent="0.3">
      <c r="A585" s="76">
        <v>433</v>
      </c>
      <c r="B585" s="76"/>
      <c r="C585" s="76">
        <v>350</v>
      </c>
      <c r="D585" s="76"/>
      <c r="E585" s="76">
        <v>235</v>
      </c>
      <c r="F585" s="76"/>
      <c r="G585" s="76">
        <v>170</v>
      </c>
      <c r="H585" s="76"/>
      <c r="I585" s="76">
        <v>55</v>
      </c>
      <c r="J585" s="76"/>
      <c r="K585" s="76">
        <v>135</v>
      </c>
      <c r="L585" s="76">
        <v>3307.5</v>
      </c>
      <c r="M585" s="76">
        <v>120</v>
      </c>
      <c r="N585" s="76">
        <v>2940</v>
      </c>
      <c r="O585" s="76">
        <v>1378</v>
      </c>
      <c r="P585" s="77" t="s">
        <v>10</v>
      </c>
      <c r="Q585" s="53">
        <v>99</v>
      </c>
    </row>
    <row r="586" spans="1:17" x14ac:dyDescent="0.3">
      <c r="A586" s="78">
        <v>444</v>
      </c>
      <c r="B586" s="78"/>
      <c r="C586" s="78">
        <v>294</v>
      </c>
      <c r="D586" s="78"/>
      <c r="E586" s="78">
        <v>180</v>
      </c>
      <c r="F586" s="78"/>
      <c r="G586" s="78">
        <v>222</v>
      </c>
      <c r="H586" s="78"/>
      <c r="I586" s="78">
        <v>493</v>
      </c>
      <c r="J586" s="78"/>
      <c r="K586" s="78">
        <v>450</v>
      </c>
      <c r="L586" s="78">
        <v>18900</v>
      </c>
      <c r="M586" s="78">
        <v>0</v>
      </c>
      <c r="N586" s="78">
        <v>0</v>
      </c>
      <c r="O586" s="78">
        <v>2083</v>
      </c>
      <c r="P586" s="79" t="s">
        <v>10</v>
      </c>
      <c r="Q586" s="54">
        <v>96</v>
      </c>
    </row>
    <row r="587" spans="1:17" x14ac:dyDescent="0.3">
      <c r="A587" s="76">
        <v>450</v>
      </c>
      <c r="B587" s="76"/>
      <c r="C587" s="76">
        <v>300</v>
      </c>
      <c r="D587" s="76"/>
      <c r="E587" s="76">
        <v>230</v>
      </c>
      <c r="F587" s="76"/>
      <c r="G587" s="76">
        <v>200</v>
      </c>
      <c r="H587" s="76"/>
      <c r="I587" s="76">
        <v>225</v>
      </c>
      <c r="J587" s="76"/>
      <c r="K587" s="76">
        <v>705</v>
      </c>
      <c r="L587" s="76">
        <v>22560</v>
      </c>
      <c r="M587" s="76">
        <v>680</v>
      </c>
      <c r="N587" s="76">
        <v>21760</v>
      </c>
      <c r="O587" s="76">
        <v>2110</v>
      </c>
      <c r="P587" s="77" t="s">
        <v>10</v>
      </c>
      <c r="Q587" s="53">
        <v>92</v>
      </c>
    </row>
    <row r="588" spans="1:17" x14ac:dyDescent="0.3">
      <c r="A588" s="78">
        <v>530</v>
      </c>
      <c r="B588" s="78"/>
      <c r="C588" s="78">
        <v>480</v>
      </c>
      <c r="D588" s="78"/>
      <c r="E588" s="78">
        <v>257</v>
      </c>
      <c r="F588" s="78"/>
      <c r="G588" s="78">
        <v>200</v>
      </c>
      <c r="H588" s="78"/>
      <c r="I588" s="78">
        <v>230</v>
      </c>
      <c r="J588" s="78"/>
      <c r="K588" s="78">
        <v>580</v>
      </c>
      <c r="L588" s="78">
        <v>14210</v>
      </c>
      <c r="M588" s="78">
        <v>578</v>
      </c>
      <c r="N588" s="78">
        <v>14161</v>
      </c>
      <c r="O588" s="78">
        <v>2277</v>
      </c>
      <c r="P588" s="79" t="s">
        <v>10</v>
      </c>
      <c r="Q588" s="54">
        <v>95</v>
      </c>
    </row>
    <row r="589" spans="1:17" x14ac:dyDescent="0.3">
      <c r="A589" s="76">
        <v>860</v>
      </c>
      <c r="B589" s="76"/>
      <c r="C589" s="76">
        <v>744</v>
      </c>
      <c r="D589" s="76"/>
      <c r="E589" s="76">
        <v>343</v>
      </c>
      <c r="F589" s="76"/>
      <c r="G589" s="76">
        <v>320</v>
      </c>
      <c r="H589" s="76"/>
      <c r="I589" s="76">
        <v>287</v>
      </c>
      <c r="J589" s="76"/>
      <c r="K589" s="76">
        <v>680</v>
      </c>
      <c r="L589" s="76">
        <v>23800</v>
      </c>
      <c r="M589" s="76">
        <v>623</v>
      </c>
      <c r="N589" s="76">
        <v>21805</v>
      </c>
      <c r="O589" s="76">
        <v>3234</v>
      </c>
      <c r="P589" s="77" t="s">
        <v>10</v>
      </c>
      <c r="Q589" s="53">
        <v>96</v>
      </c>
    </row>
    <row r="590" spans="1:17" x14ac:dyDescent="0.3">
      <c r="A590" s="78">
        <v>890</v>
      </c>
      <c r="B590" s="78"/>
      <c r="C590" s="78">
        <v>765</v>
      </c>
      <c r="D590" s="78"/>
      <c r="E590" s="78">
        <v>521</v>
      </c>
      <c r="F590" s="78"/>
      <c r="G590" s="78">
        <v>220</v>
      </c>
      <c r="H590" s="78"/>
      <c r="I590" s="78">
        <v>349</v>
      </c>
      <c r="J590" s="78"/>
      <c r="K590" s="78">
        <v>1385</v>
      </c>
      <c r="L590" s="78">
        <v>76175</v>
      </c>
      <c r="M590" s="78">
        <v>1290</v>
      </c>
      <c r="N590" s="78">
        <v>70950</v>
      </c>
      <c r="O590" s="78">
        <v>4130</v>
      </c>
      <c r="P590" s="79" t="s">
        <v>10</v>
      </c>
      <c r="Q590" s="54">
        <v>93</v>
      </c>
    </row>
    <row r="591" spans="1:17" x14ac:dyDescent="0.3">
      <c r="A591" s="76">
        <v>1300</v>
      </c>
      <c r="B591" s="76"/>
      <c r="C591" s="76">
        <v>1250</v>
      </c>
      <c r="D591" s="76"/>
      <c r="E591" s="76">
        <v>800</v>
      </c>
      <c r="F591" s="76"/>
      <c r="G591" s="76">
        <v>750</v>
      </c>
      <c r="H591" s="76"/>
      <c r="I591" s="76">
        <v>1200</v>
      </c>
      <c r="J591" s="76"/>
      <c r="K591" s="76">
        <v>2050</v>
      </c>
      <c r="L591" s="76">
        <v>38950</v>
      </c>
      <c r="M591" s="76">
        <v>1980</v>
      </c>
      <c r="N591" s="76">
        <v>37620</v>
      </c>
      <c r="O591" s="76">
        <v>7350</v>
      </c>
      <c r="P591" s="77" t="s">
        <v>10</v>
      </c>
      <c r="Q591" s="53">
        <v>97</v>
      </c>
    </row>
    <row r="592" spans="1:17" x14ac:dyDescent="0.3">
      <c r="A592" s="78">
        <v>1350</v>
      </c>
      <c r="B592" s="78"/>
      <c r="C592" s="78">
        <v>1200</v>
      </c>
      <c r="D592" s="78"/>
      <c r="E592" s="78">
        <v>567</v>
      </c>
      <c r="F592" s="78"/>
      <c r="G592" s="78">
        <v>200</v>
      </c>
      <c r="H592" s="78"/>
      <c r="I592" s="78">
        <v>540</v>
      </c>
      <c r="J592" s="78"/>
      <c r="K592" s="78">
        <v>1250</v>
      </c>
      <c r="L592" s="78">
        <v>30625</v>
      </c>
      <c r="M592" s="78">
        <v>890</v>
      </c>
      <c r="N592" s="78">
        <v>21805</v>
      </c>
      <c r="O592" s="78">
        <v>5107</v>
      </c>
      <c r="P592" s="79" t="s">
        <v>10</v>
      </c>
      <c r="Q592" s="54">
        <v>91</v>
      </c>
    </row>
    <row r="593" spans="1:17" x14ac:dyDescent="0.3">
      <c r="A593" s="76">
        <v>1450</v>
      </c>
      <c r="B593" s="76"/>
      <c r="C593" s="76">
        <v>834</v>
      </c>
      <c r="D593" s="76"/>
      <c r="E593" s="76">
        <v>620</v>
      </c>
      <c r="F593" s="76"/>
      <c r="G593" s="76">
        <v>348</v>
      </c>
      <c r="H593" s="76"/>
      <c r="I593" s="76">
        <v>930</v>
      </c>
      <c r="J593" s="76"/>
      <c r="K593" s="76">
        <v>870</v>
      </c>
      <c r="L593" s="76">
        <v>37410</v>
      </c>
      <c r="M593" s="76">
        <v>850</v>
      </c>
      <c r="N593" s="76">
        <v>36550</v>
      </c>
      <c r="O593" s="76">
        <v>5052</v>
      </c>
      <c r="P593" s="77" t="s">
        <v>10</v>
      </c>
      <c r="Q593" s="53">
        <v>96</v>
      </c>
    </row>
    <row r="594" spans="1:17" x14ac:dyDescent="0.3">
      <c r="A594" s="78">
        <v>1578</v>
      </c>
      <c r="B594" s="78"/>
      <c r="C594" s="78">
        <v>1450</v>
      </c>
      <c r="D594" s="78"/>
      <c r="E594" s="78">
        <v>1135</v>
      </c>
      <c r="F594" s="78"/>
      <c r="G594" s="78">
        <v>957</v>
      </c>
      <c r="H594" s="78"/>
      <c r="I594" s="78">
        <v>2300</v>
      </c>
      <c r="J594" s="78"/>
      <c r="K594" s="78">
        <v>2780</v>
      </c>
      <c r="L594" s="78">
        <v>94520</v>
      </c>
      <c r="M594" s="78">
        <v>2800</v>
      </c>
      <c r="N594" s="78">
        <v>95200</v>
      </c>
      <c r="O594" s="78">
        <v>10200</v>
      </c>
      <c r="P594" s="79" t="s">
        <v>10</v>
      </c>
      <c r="Q594" s="54">
        <v>95</v>
      </c>
    </row>
    <row r="595" spans="1:17" x14ac:dyDescent="0.3">
      <c r="A595" s="76">
        <v>7</v>
      </c>
      <c r="B595" s="76"/>
      <c r="C595" s="76">
        <v>25</v>
      </c>
      <c r="D595" s="76"/>
      <c r="E595" s="76">
        <v>25</v>
      </c>
      <c r="F595" s="76"/>
      <c r="G595" s="76">
        <v>0</v>
      </c>
      <c r="H595" s="76"/>
      <c r="I595" s="76">
        <v>0</v>
      </c>
      <c r="J595" s="76"/>
      <c r="K595" s="76">
        <v>0</v>
      </c>
      <c r="L595" s="76">
        <v>0</v>
      </c>
      <c r="M595" s="76">
        <v>0</v>
      </c>
      <c r="N595" s="76">
        <v>0</v>
      </c>
      <c r="O595" s="76">
        <v>57</v>
      </c>
      <c r="P595" s="77" t="s">
        <v>97</v>
      </c>
      <c r="Q595" s="53">
        <v>99</v>
      </c>
    </row>
    <row r="596" spans="1:17" x14ac:dyDescent="0.3">
      <c r="A596" s="78">
        <v>13</v>
      </c>
      <c r="B596" s="78"/>
      <c r="C596" s="78">
        <v>0</v>
      </c>
      <c r="D596" s="78"/>
      <c r="E596" s="78">
        <v>0</v>
      </c>
      <c r="F596" s="78"/>
      <c r="G596" s="78">
        <v>0</v>
      </c>
      <c r="H596" s="78"/>
      <c r="I596" s="78">
        <v>0</v>
      </c>
      <c r="J596" s="78"/>
      <c r="K596" s="78">
        <v>0</v>
      </c>
      <c r="L596" s="78">
        <v>0</v>
      </c>
      <c r="M596" s="78">
        <v>0</v>
      </c>
      <c r="N596" s="78">
        <v>0</v>
      </c>
      <c r="O596" s="78">
        <v>13</v>
      </c>
      <c r="P596" s="79" t="s">
        <v>97</v>
      </c>
      <c r="Q596" s="54">
        <v>99</v>
      </c>
    </row>
    <row r="597" spans="1:17" x14ac:dyDescent="0.3">
      <c r="A597" s="76">
        <v>18</v>
      </c>
      <c r="B597" s="76"/>
      <c r="C597" s="76">
        <v>0</v>
      </c>
      <c r="D597" s="76"/>
      <c r="E597" s="76">
        <v>0</v>
      </c>
      <c r="F597" s="76"/>
      <c r="G597" s="76">
        <v>0</v>
      </c>
      <c r="H597" s="76"/>
      <c r="I597" s="76">
        <v>0</v>
      </c>
      <c r="J597" s="76"/>
      <c r="K597" s="76">
        <v>0</v>
      </c>
      <c r="L597" s="76">
        <v>0</v>
      </c>
      <c r="M597" s="76">
        <v>0</v>
      </c>
      <c r="N597" s="76">
        <v>0</v>
      </c>
      <c r="O597" s="76">
        <v>18</v>
      </c>
      <c r="P597" s="77" t="s">
        <v>97</v>
      </c>
      <c r="Q597" s="53">
        <v>90</v>
      </c>
    </row>
    <row r="598" spans="1:17" x14ac:dyDescent="0.3">
      <c r="A598" s="78">
        <v>24</v>
      </c>
      <c r="B598" s="78"/>
      <c r="C598" s="78">
        <v>21</v>
      </c>
      <c r="D598" s="78"/>
      <c r="E598" s="78">
        <v>3</v>
      </c>
      <c r="F598" s="78"/>
      <c r="G598" s="78">
        <v>0</v>
      </c>
      <c r="H598" s="78"/>
      <c r="I598" s="78">
        <v>0</v>
      </c>
      <c r="J598" s="78"/>
      <c r="K598" s="78">
        <v>0</v>
      </c>
      <c r="L598" s="78">
        <v>0</v>
      </c>
      <c r="M598" s="78">
        <v>0</v>
      </c>
      <c r="N598" s="78">
        <v>0</v>
      </c>
      <c r="O598" s="78">
        <v>48</v>
      </c>
      <c r="P598" s="79" t="s">
        <v>97</v>
      </c>
      <c r="Q598" s="54">
        <v>94</v>
      </c>
    </row>
    <row r="599" spans="1:17" x14ac:dyDescent="0.3">
      <c r="A599" s="76">
        <v>35</v>
      </c>
      <c r="B599" s="76"/>
      <c r="C599" s="76">
        <v>85</v>
      </c>
      <c r="D599" s="76"/>
      <c r="E599" s="76">
        <v>5</v>
      </c>
      <c r="F599" s="76"/>
      <c r="G599" s="76">
        <v>0</v>
      </c>
      <c r="H599" s="76"/>
      <c r="I599" s="76">
        <v>0</v>
      </c>
      <c r="J599" s="76"/>
      <c r="K599" s="76">
        <v>0</v>
      </c>
      <c r="L599" s="76">
        <v>0</v>
      </c>
      <c r="M599" s="76">
        <v>0</v>
      </c>
      <c r="N599" s="76">
        <v>0</v>
      </c>
      <c r="O599" s="76">
        <v>125</v>
      </c>
      <c r="P599" s="77" t="s">
        <v>97</v>
      </c>
      <c r="Q599" s="53">
        <v>93</v>
      </c>
    </row>
    <row r="600" spans="1:17" x14ac:dyDescent="0.3">
      <c r="A600" s="78">
        <v>35</v>
      </c>
      <c r="B600" s="78"/>
      <c r="C600" s="78">
        <v>35</v>
      </c>
      <c r="D600" s="78"/>
      <c r="E600" s="78">
        <v>5</v>
      </c>
      <c r="F600" s="78"/>
      <c r="G600" s="78">
        <v>0</v>
      </c>
      <c r="H600" s="78"/>
      <c r="I600" s="78">
        <v>0</v>
      </c>
      <c r="J600" s="78"/>
      <c r="K600" s="78">
        <v>0</v>
      </c>
      <c r="L600" s="78">
        <v>0</v>
      </c>
      <c r="M600" s="78">
        <v>0</v>
      </c>
      <c r="N600" s="78">
        <v>0</v>
      </c>
      <c r="O600" s="78">
        <v>75</v>
      </c>
      <c r="P600" s="79" t="s">
        <v>97</v>
      </c>
      <c r="Q600" s="54">
        <v>92</v>
      </c>
    </row>
    <row r="601" spans="1:17" x14ac:dyDescent="0.3">
      <c r="A601" s="76">
        <v>54</v>
      </c>
      <c r="B601" s="76"/>
      <c r="C601" s="76">
        <v>0</v>
      </c>
      <c r="D601" s="76"/>
      <c r="E601" s="76">
        <v>0</v>
      </c>
      <c r="F601" s="76"/>
      <c r="G601" s="76">
        <v>0</v>
      </c>
      <c r="H601" s="76"/>
      <c r="I601" s="76">
        <v>0</v>
      </c>
      <c r="J601" s="76"/>
      <c r="K601" s="76">
        <v>0</v>
      </c>
      <c r="L601" s="76">
        <v>0</v>
      </c>
      <c r="M601" s="76">
        <v>0</v>
      </c>
      <c r="N601" s="76">
        <v>0</v>
      </c>
      <c r="O601" s="76">
        <v>54</v>
      </c>
      <c r="P601" s="77" t="s">
        <v>97</v>
      </c>
      <c r="Q601" s="53">
        <v>100</v>
      </c>
    </row>
    <row r="602" spans="1:17" x14ac:dyDescent="0.3">
      <c r="A602" s="78">
        <v>55</v>
      </c>
      <c r="B602" s="78"/>
      <c r="C602" s="78">
        <v>35</v>
      </c>
      <c r="D602" s="78"/>
      <c r="E602" s="78">
        <v>7</v>
      </c>
      <c r="F602" s="78"/>
      <c r="G602" s="78">
        <v>0</v>
      </c>
      <c r="H602" s="78"/>
      <c r="I602" s="78">
        <v>0</v>
      </c>
      <c r="J602" s="78"/>
      <c r="K602" s="78">
        <v>0</v>
      </c>
      <c r="L602" s="78">
        <v>0</v>
      </c>
      <c r="M602" s="78">
        <v>0</v>
      </c>
      <c r="N602" s="78">
        <v>0</v>
      </c>
      <c r="O602" s="78">
        <v>97</v>
      </c>
      <c r="P602" s="79" t="s">
        <v>97</v>
      </c>
      <c r="Q602" s="54">
        <v>100</v>
      </c>
    </row>
    <row r="603" spans="1:17" x14ac:dyDescent="0.3">
      <c r="A603" s="76">
        <v>60</v>
      </c>
      <c r="B603" s="76"/>
      <c r="C603" s="76">
        <v>5</v>
      </c>
      <c r="D603" s="76"/>
      <c r="E603" s="76">
        <v>1</v>
      </c>
      <c r="F603" s="76"/>
      <c r="G603" s="76">
        <v>0</v>
      </c>
      <c r="H603" s="76"/>
      <c r="I603" s="76">
        <v>0</v>
      </c>
      <c r="J603" s="76"/>
      <c r="K603" s="76">
        <v>0</v>
      </c>
      <c r="L603" s="76">
        <v>0</v>
      </c>
      <c r="M603" s="76">
        <v>0</v>
      </c>
      <c r="N603" s="76">
        <v>0</v>
      </c>
      <c r="O603" s="76">
        <v>66</v>
      </c>
      <c r="P603" s="77" t="s">
        <v>97</v>
      </c>
      <c r="Q603" s="53">
        <v>99</v>
      </c>
    </row>
    <row r="604" spans="1:17" x14ac:dyDescent="0.3">
      <c r="A604" s="78">
        <v>70</v>
      </c>
      <c r="B604" s="78"/>
      <c r="C604" s="78">
        <v>7</v>
      </c>
      <c r="D604" s="78"/>
      <c r="E604" s="78">
        <v>0</v>
      </c>
      <c r="F604" s="78"/>
      <c r="G604" s="78">
        <v>0</v>
      </c>
      <c r="H604" s="78"/>
      <c r="I604" s="78">
        <v>0</v>
      </c>
      <c r="J604" s="78"/>
      <c r="K604" s="78">
        <v>0</v>
      </c>
      <c r="L604" s="78">
        <v>0</v>
      </c>
      <c r="M604" s="78">
        <v>0</v>
      </c>
      <c r="N604" s="78">
        <v>0</v>
      </c>
      <c r="O604" s="78">
        <v>77</v>
      </c>
      <c r="P604" s="79" t="s">
        <v>97</v>
      </c>
      <c r="Q604" s="54">
        <v>90</v>
      </c>
    </row>
    <row r="605" spans="1:17" x14ac:dyDescent="0.3">
      <c r="A605" s="76">
        <v>79</v>
      </c>
      <c r="B605" s="76"/>
      <c r="C605" s="76">
        <v>29</v>
      </c>
      <c r="D605" s="76"/>
      <c r="E605" s="76">
        <v>0</v>
      </c>
      <c r="F605" s="76"/>
      <c r="G605" s="76">
        <v>0</v>
      </c>
      <c r="H605" s="76"/>
      <c r="I605" s="76">
        <v>0</v>
      </c>
      <c r="J605" s="76"/>
      <c r="K605" s="76">
        <v>0</v>
      </c>
      <c r="L605" s="76">
        <v>0</v>
      </c>
      <c r="M605" s="76">
        <v>0</v>
      </c>
      <c r="N605" s="76">
        <v>0</v>
      </c>
      <c r="O605" s="76">
        <v>108</v>
      </c>
      <c r="P605" s="77" t="s">
        <v>97</v>
      </c>
      <c r="Q605" s="53">
        <v>95</v>
      </c>
    </row>
    <row r="606" spans="1:17" x14ac:dyDescent="0.3">
      <c r="A606" s="78">
        <v>82</v>
      </c>
      <c r="B606" s="78"/>
      <c r="C606" s="78">
        <v>33</v>
      </c>
      <c r="D606" s="78"/>
      <c r="E606" s="78">
        <v>20</v>
      </c>
      <c r="F606" s="78"/>
      <c r="G606" s="78">
        <v>0</v>
      </c>
      <c r="H606" s="78"/>
      <c r="I606" s="78">
        <v>0</v>
      </c>
      <c r="J606" s="78"/>
      <c r="K606" s="78">
        <v>0</v>
      </c>
      <c r="L606" s="78">
        <v>0</v>
      </c>
      <c r="M606" s="78">
        <v>0</v>
      </c>
      <c r="N606" s="78">
        <v>0</v>
      </c>
      <c r="O606" s="78">
        <v>135</v>
      </c>
      <c r="P606" s="79" t="s">
        <v>97</v>
      </c>
      <c r="Q606" s="54">
        <v>92</v>
      </c>
    </row>
    <row r="607" spans="1:17" x14ac:dyDescent="0.3">
      <c r="A607" s="76">
        <v>90</v>
      </c>
      <c r="B607" s="76"/>
      <c r="C607" s="76">
        <v>35</v>
      </c>
      <c r="D607" s="76"/>
      <c r="E607" s="76">
        <v>15</v>
      </c>
      <c r="F607" s="76"/>
      <c r="G607" s="76">
        <v>0</v>
      </c>
      <c r="H607" s="76"/>
      <c r="I607" s="76">
        <v>0</v>
      </c>
      <c r="J607" s="76"/>
      <c r="K607" s="76">
        <v>0</v>
      </c>
      <c r="L607" s="76">
        <v>0</v>
      </c>
      <c r="M607" s="76">
        <v>0</v>
      </c>
      <c r="N607" s="76">
        <v>0</v>
      </c>
      <c r="O607" s="76">
        <v>140</v>
      </c>
      <c r="P607" s="77" t="s">
        <v>97</v>
      </c>
      <c r="Q607" s="53">
        <v>100</v>
      </c>
    </row>
    <row r="608" spans="1:17" x14ac:dyDescent="0.3">
      <c r="A608" s="78">
        <v>103</v>
      </c>
      <c r="B608" s="78"/>
      <c r="C608" s="78">
        <v>77</v>
      </c>
      <c r="D608" s="78"/>
      <c r="E608" s="78">
        <v>4</v>
      </c>
      <c r="F608" s="78"/>
      <c r="G608" s="78">
        <v>0</v>
      </c>
      <c r="H608" s="78"/>
      <c r="I608" s="78">
        <v>0</v>
      </c>
      <c r="J608" s="78"/>
      <c r="K608" s="78">
        <v>0</v>
      </c>
      <c r="L608" s="78">
        <v>0</v>
      </c>
      <c r="M608" s="78">
        <v>0</v>
      </c>
      <c r="N608" s="78">
        <v>0</v>
      </c>
      <c r="O608" s="78">
        <v>184</v>
      </c>
      <c r="P608" s="79" t="s">
        <v>97</v>
      </c>
      <c r="Q608" s="54">
        <v>94</v>
      </c>
    </row>
    <row r="609" spans="1:17" x14ac:dyDescent="0.3">
      <c r="A609" s="76">
        <v>109</v>
      </c>
      <c r="B609" s="76"/>
      <c r="C609" s="76">
        <v>102</v>
      </c>
      <c r="D609" s="76"/>
      <c r="E609" s="76">
        <v>32</v>
      </c>
      <c r="F609" s="76"/>
      <c r="G609" s="76">
        <v>0</v>
      </c>
      <c r="H609" s="76"/>
      <c r="I609" s="76">
        <v>0</v>
      </c>
      <c r="J609" s="76"/>
      <c r="K609" s="76">
        <v>0</v>
      </c>
      <c r="L609" s="76">
        <v>0</v>
      </c>
      <c r="M609" s="76">
        <v>0</v>
      </c>
      <c r="N609" s="76">
        <v>0</v>
      </c>
      <c r="O609" s="76">
        <v>243</v>
      </c>
      <c r="P609" s="77" t="s">
        <v>97</v>
      </c>
      <c r="Q609" s="53">
        <v>98</v>
      </c>
    </row>
    <row r="610" spans="1:17" x14ac:dyDescent="0.3">
      <c r="A610" s="78">
        <v>122</v>
      </c>
      <c r="B610" s="78"/>
      <c r="C610" s="78">
        <v>91</v>
      </c>
      <c r="D610" s="78"/>
      <c r="E610" s="78">
        <v>3</v>
      </c>
      <c r="F610" s="78"/>
      <c r="G610" s="78">
        <v>0</v>
      </c>
      <c r="H610" s="78"/>
      <c r="I610" s="78">
        <v>0</v>
      </c>
      <c r="J610" s="78"/>
      <c r="K610" s="78">
        <v>0</v>
      </c>
      <c r="L610" s="78">
        <v>0</v>
      </c>
      <c r="M610" s="78">
        <v>0</v>
      </c>
      <c r="N610" s="78">
        <v>0</v>
      </c>
      <c r="O610" s="78">
        <v>216</v>
      </c>
      <c r="P610" s="79" t="s">
        <v>97</v>
      </c>
      <c r="Q610" s="54">
        <v>97</v>
      </c>
    </row>
    <row r="611" spans="1:17" x14ac:dyDescent="0.3">
      <c r="A611" s="76">
        <v>130</v>
      </c>
      <c r="B611" s="76"/>
      <c r="C611" s="76">
        <v>77</v>
      </c>
      <c r="D611" s="76"/>
      <c r="E611" s="76">
        <v>12</v>
      </c>
      <c r="F611" s="76"/>
      <c r="G611" s="76">
        <v>0</v>
      </c>
      <c r="H611" s="76"/>
      <c r="I611" s="76">
        <v>0</v>
      </c>
      <c r="J611" s="76"/>
      <c r="K611" s="76">
        <v>0</v>
      </c>
      <c r="L611" s="76">
        <v>0</v>
      </c>
      <c r="M611" s="76">
        <v>0</v>
      </c>
      <c r="N611" s="76">
        <v>0</v>
      </c>
      <c r="O611" s="76">
        <v>219</v>
      </c>
      <c r="P611" s="77" t="s">
        <v>97</v>
      </c>
      <c r="Q611" s="53">
        <v>90</v>
      </c>
    </row>
    <row r="612" spans="1:17" x14ac:dyDescent="0.3">
      <c r="A612" s="78">
        <v>133</v>
      </c>
      <c r="B612" s="78"/>
      <c r="C612" s="78">
        <v>93</v>
      </c>
      <c r="D612" s="78"/>
      <c r="E612" s="78">
        <v>8</v>
      </c>
      <c r="F612" s="78"/>
      <c r="G612" s="78">
        <v>0</v>
      </c>
      <c r="H612" s="78"/>
      <c r="I612" s="78">
        <v>0</v>
      </c>
      <c r="J612" s="78"/>
      <c r="K612" s="78">
        <v>0</v>
      </c>
      <c r="L612" s="78">
        <v>0</v>
      </c>
      <c r="M612" s="78">
        <v>0</v>
      </c>
      <c r="N612" s="78">
        <v>0</v>
      </c>
      <c r="O612" s="78">
        <v>234</v>
      </c>
      <c r="P612" s="79" t="s">
        <v>97</v>
      </c>
      <c r="Q612" s="54">
        <v>95</v>
      </c>
    </row>
    <row r="613" spans="1:17" x14ac:dyDescent="0.3">
      <c r="A613" s="76">
        <v>134</v>
      </c>
      <c r="B613" s="76"/>
      <c r="C613" s="76">
        <v>1</v>
      </c>
      <c r="D613" s="76"/>
      <c r="E613" s="76">
        <v>0</v>
      </c>
      <c r="F613" s="76"/>
      <c r="G613" s="76">
        <v>0</v>
      </c>
      <c r="H613" s="76"/>
      <c r="I613" s="76">
        <v>0</v>
      </c>
      <c r="J613" s="76"/>
      <c r="K613" s="76">
        <v>0</v>
      </c>
      <c r="L613" s="76">
        <v>0</v>
      </c>
      <c r="M613" s="76">
        <v>0</v>
      </c>
      <c r="N613" s="76">
        <v>0</v>
      </c>
      <c r="O613" s="76">
        <v>135</v>
      </c>
      <c r="P613" s="77" t="s">
        <v>97</v>
      </c>
      <c r="Q613" s="53">
        <v>96</v>
      </c>
    </row>
    <row r="614" spans="1:17" x14ac:dyDescent="0.3">
      <c r="A614" s="78">
        <v>135</v>
      </c>
      <c r="B614" s="78"/>
      <c r="C614" s="78">
        <v>65</v>
      </c>
      <c r="D614" s="78"/>
      <c r="E614" s="78">
        <v>7</v>
      </c>
      <c r="F614" s="78"/>
      <c r="G614" s="78">
        <v>0</v>
      </c>
      <c r="H614" s="78"/>
      <c r="I614" s="78">
        <v>0</v>
      </c>
      <c r="J614" s="78"/>
      <c r="K614" s="78">
        <v>0</v>
      </c>
      <c r="L614" s="78">
        <v>0</v>
      </c>
      <c r="M614" s="78">
        <v>0</v>
      </c>
      <c r="N614" s="78">
        <v>0</v>
      </c>
      <c r="O614" s="78">
        <v>207</v>
      </c>
      <c r="P614" s="79" t="s">
        <v>97</v>
      </c>
      <c r="Q614" s="54">
        <v>91</v>
      </c>
    </row>
    <row r="615" spans="1:17" x14ac:dyDescent="0.3">
      <c r="A615" s="76">
        <v>147</v>
      </c>
      <c r="B615" s="76"/>
      <c r="C615" s="76">
        <v>110</v>
      </c>
      <c r="D615" s="76"/>
      <c r="E615" s="76">
        <v>17</v>
      </c>
      <c r="F615" s="76"/>
      <c r="G615" s="76">
        <v>0</v>
      </c>
      <c r="H615" s="76"/>
      <c r="I615" s="76">
        <v>0</v>
      </c>
      <c r="J615" s="76"/>
      <c r="K615" s="76">
        <v>0</v>
      </c>
      <c r="L615" s="76">
        <v>0</v>
      </c>
      <c r="M615" s="76">
        <v>0</v>
      </c>
      <c r="N615" s="76">
        <v>0</v>
      </c>
      <c r="O615" s="76">
        <v>274</v>
      </c>
      <c r="P615" s="77" t="s">
        <v>97</v>
      </c>
      <c r="Q615" s="53">
        <v>91</v>
      </c>
    </row>
    <row r="616" spans="1:17" x14ac:dyDescent="0.3">
      <c r="A616" s="78">
        <v>150</v>
      </c>
      <c r="B616" s="78"/>
      <c r="C616" s="78">
        <v>50</v>
      </c>
      <c r="D616" s="78"/>
      <c r="E616" s="78">
        <v>4</v>
      </c>
      <c r="F616" s="78"/>
      <c r="G616" s="78">
        <v>0</v>
      </c>
      <c r="H616" s="78"/>
      <c r="I616" s="78">
        <v>0</v>
      </c>
      <c r="J616" s="78"/>
      <c r="K616" s="78">
        <v>0</v>
      </c>
      <c r="L616" s="78">
        <v>0</v>
      </c>
      <c r="M616" s="78">
        <v>0</v>
      </c>
      <c r="N616" s="78">
        <v>0</v>
      </c>
      <c r="O616" s="78">
        <v>204</v>
      </c>
      <c r="P616" s="79" t="s">
        <v>97</v>
      </c>
      <c r="Q616" s="54">
        <v>95</v>
      </c>
    </row>
    <row r="617" spans="1:17" x14ac:dyDescent="0.3">
      <c r="A617" s="76">
        <v>153</v>
      </c>
      <c r="B617" s="76"/>
      <c r="C617" s="76">
        <v>93</v>
      </c>
      <c r="D617" s="76"/>
      <c r="E617" s="76">
        <v>50</v>
      </c>
      <c r="F617" s="76"/>
      <c r="G617" s="76">
        <v>0</v>
      </c>
      <c r="H617" s="76"/>
      <c r="I617" s="76">
        <v>0</v>
      </c>
      <c r="J617" s="76"/>
      <c r="K617" s="76">
        <v>0</v>
      </c>
      <c r="L617" s="76">
        <v>0</v>
      </c>
      <c r="M617" s="76">
        <v>0</v>
      </c>
      <c r="N617" s="76">
        <v>0</v>
      </c>
      <c r="O617" s="76">
        <v>296</v>
      </c>
      <c r="P617" s="77" t="s">
        <v>97</v>
      </c>
      <c r="Q617" s="53">
        <v>93</v>
      </c>
    </row>
    <row r="618" spans="1:17" x14ac:dyDescent="0.3">
      <c r="A618" s="78">
        <v>173</v>
      </c>
      <c r="B618" s="78"/>
      <c r="C618" s="78">
        <v>91</v>
      </c>
      <c r="D618" s="78"/>
      <c r="E618" s="78">
        <v>75</v>
      </c>
      <c r="F618" s="78"/>
      <c r="G618" s="78">
        <v>0</v>
      </c>
      <c r="H618" s="78"/>
      <c r="I618" s="78">
        <v>0</v>
      </c>
      <c r="J618" s="78"/>
      <c r="K618" s="78">
        <v>0</v>
      </c>
      <c r="L618" s="78">
        <v>0</v>
      </c>
      <c r="M618" s="78">
        <v>0</v>
      </c>
      <c r="N618" s="78">
        <v>0</v>
      </c>
      <c r="O618" s="78">
        <v>339</v>
      </c>
      <c r="P618" s="79" t="s">
        <v>97</v>
      </c>
      <c r="Q618" s="54">
        <v>91</v>
      </c>
    </row>
    <row r="619" spans="1:17" x14ac:dyDescent="0.3">
      <c r="A619" s="76">
        <v>194</v>
      </c>
      <c r="B619" s="76"/>
      <c r="C619" s="76">
        <v>102</v>
      </c>
      <c r="D619" s="76"/>
      <c r="E619" s="76">
        <v>2</v>
      </c>
      <c r="F619" s="76"/>
      <c r="G619" s="76">
        <v>0</v>
      </c>
      <c r="H619" s="76"/>
      <c r="I619" s="76">
        <v>0</v>
      </c>
      <c r="J619" s="76"/>
      <c r="K619" s="76">
        <v>0</v>
      </c>
      <c r="L619" s="76">
        <v>0</v>
      </c>
      <c r="M619" s="76">
        <v>0</v>
      </c>
      <c r="N619" s="76">
        <v>0</v>
      </c>
      <c r="O619" s="76">
        <v>298</v>
      </c>
      <c r="P619" s="77" t="s">
        <v>97</v>
      </c>
      <c r="Q619" s="53">
        <v>96</v>
      </c>
    </row>
    <row r="620" spans="1:17" x14ac:dyDescent="0.3">
      <c r="A620" s="78">
        <v>208</v>
      </c>
      <c r="B620" s="78"/>
      <c r="C620" s="78">
        <v>83</v>
      </c>
      <c r="D620" s="78"/>
      <c r="E620" s="78">
        <v>20</v>
      </c>
      <c r="F620" s="78"/>
      <c r="G620" s="78">
        <v>0</v>
      </c>
      <c r="H620" s="78"/>
      <c r="I620" s="78">
        <v>0</v>
      </c>
      <c r="J620" s="78"/>
      <c r="K620" s="78">
        <v>0</v>
      </c>
      <c r="L620" s="78">
        <v>0</v>
      </c>
      <c r="M620" s="78">
        <v>0</v>
      </c>
      <c r="N620" s="78">
        <v>0</v>
      </c>
      <c r="O620" s="78">
        <v>311</v>
      </c>
      <c r="P620" s="79" t="s">
        <v>97</v>
      </c>
      <c r="Q620" s="54">
        <v>94</v>
      </c>
    </row>
    <row r="621" spans="1:17" x14ac:dyDescent="0.3">
      <c r="A621" s="76">
        <v>210</v>
      </c>
      <c r="B621" s="76"/>
      <c r="C621" s="76">
        <v>172</v>
      </c>
      <c r="D621" s="76"/>
      <c r="E621" s="76">
        <v>25</v>
      </c>
      <c r="F621" s="76"/>
      <c r="G621" s="76">
        <v>0</v>
      </c>
      <c r="H621" s="76"/>
      <c r="I621" s="76">
        <v>0</v>
      </c>
      <c r="J621" s="76"/>
      <c r="K621" s="76">
        <v>0</v>
      </c>
      <c r="L621" s="76">
        <v>0</v>
      </c>
      <c r="M621" s="76">
        <v>0</v>
      </c>
      <c r="N621" s="76">
        <v>0</v>
      </c>
      <c r="O621" s="76">
        <v>407</v>
      </c>
      <c r="P621" s="77" t="s">
        <v>97</v>
      </c>
      <c r="Q621" s="53">
        <v>94</v>
      </c>
    </row>
    <row r="622" spans="1:17" x14ac:dyDescent="0.3">
      <c r="A622" s="78">
        <v>235</v>
      </c>
      <c r="B622" s="78"/>
      <c r="C622" s="78">
        <v>55</v>
      </c>
      <c r="D622" s="78"/>
      <c r="E622" s="78">
        <v>39</v>
      </c>
      <c r="F622" s="78"/>
      <c r="G622" s="78">
        <v>0</v>
      </c>
      <c r="H622" s="78"/>
      <c r="I622" s="78">
        <v>0</v>
      </c>
      <c r="J622" s="78"/>
      <c r="K622" s="78">
        <v>0</v>
      </c>
      <c r="L622" s="78">
        <v>0</v>
      </c>
      <c r="M622" s="78">
        <v>0</v>
      </c>
      <c r="N622" s="78">
        <v>0</v>
      </c>
      <c r="O622" s="78">
        <v>329</v>
      </c>
      <c r="P622" s="79" t="s">
        <v>97</v>
      </c>
      <c r="Q622" s="54">
        <v>90</v>
      </c>
    </row>
    <row r="623" spans="1:17" x14ac:dyDescent="0.3">
      <c r="A623" s="76">
        <v>235</v>
      </c>
      <c r="B623" s="76"/>
      <c r="C623" s="76">
        <v>160</v>
      </c>
      <c r="D623" s="76"/>
      <c r="E623" s="76">
        <v>23</v>
      </c>
      <c r="F623" s="76"/>
      <c r="G623" s="76">
        <v>0</v>
      </c>
      <c r="H623" s="76"/>
      <c r="I623" s="76">
        <v>0</v>
      </c>
      <c r="J623" s="76"/>
      <c r="K623" s="76">
        <v>0</v>
      </c>
      <c r="L623" s="76">
        <v>0</v>
      </c>
      <c r="M623" s="76">
        <v>0</v>
      </c>
      <c r="N623" s="76">
        <v>0</v>
      </c>
      <c r="O623" s="76">
        <v>418</v>
      </c>
      <c r="P623" s="77" t="s">
        <v>97</v>
      </c>
      <c r="Q623" s="53">
        <v>99</v>
      </c>
    </row>
    <row r="624" spans="1:17" x14ac:dyDescent="0.3">
      <c r="A624" s="78">
        <v>240</v>
      </c>
      <c r="B624" s="78"/>
      <c r="C624" s="78">
        <v>170</v>
      </c>
      <c r="D624" s="78"/>
      <c r="E624" s="78">
        <v>15</v>
      </c>
      <c r="F624" s="78"/>
      <c r="G624" s="78">
        <v>0</v>
      </c>
      <c r="H624" s="78"/>
      <c r="I624" s="78">
        <v>0</v>
      </c>
      <c r="J624" s="78"/>
      <c r="K624" s="78">
        <v>0</v>
      </c>
      <c r="L624" s="78">
        <v>0</v>
      </c>
      <c r="M624" s="78">
        <v>0</v>
      </c>
      <c r="N624" s="78">
        <v>0</v>
      </c>
      <c r="O624" s="78">
        <v>425</v>
      </c>
      <c r="P624" s="79" t="s">
        <v>97</v>
      </c>
      <c r="Q624" s="54">
        <v>97</v>
      </c>
    </row>
    <row r="625" spans="1:17" x14ac:dyDescent="0.3">
      <c r="A625" s="76">
        <v>289</v>
      </c>
      <c r="B625" s="76"/>
      <c r="C625" s="76">
        <v>193</v>
      </c>
      <c r="D625" s="76"/>
      <c r="E625" s="76">
        <v>205</v>
      </c>
      <c r="F625" s="76"/>
      <c r="G625" s="76">
        <v>0</v>
      </c>
      <c r="H625" s="76"/>
      <c r="I625" s="76">
        <v>0</v>
      </c>
      <c r="J625" s="76"/>
      <c r="K625" s="76">
        <v>0</v>
      </c>
      <c r="L625" s="76">
        <v>0</v>
      </c>
      <c r="M625" s="76">
        <v>0</v>
      </c>
      <c r="N625" s="76">
        <v>0</v>
      </c>
      <c r="O625" s="76">
        <v>687</v>
      </c>
      <c r="P625" s="77" t="s">
        <v>97</v>
      </c>
      <c r="Q625" s="53">
        <v>91</v>
      </c>
    </row>
    <row r="626" spans="1:17" x14ac:dyDescent="0.3">
      <c r="A626" s="78">
        <v>312</v>
      </c>
      <c r="B626" s="78"/>
      <c r="C626" s="78">
        <v>108</v>
      </c>
      <c r="D626" s="78"/>
      <c r="E626" s="78">
        <v>30</v>
      </c>
      <c r="F626" s="78"/>
      <c r="G626" s="78">
        <v>0</v>
      </c>
      <c r="H626" s="78"/>
      <c r="I626" s="78">
        <v>0</v>
      </c>
      <c r="J626" s="78"/>
      <c r="K626" s="78">
        <v>0</v>
      </c>
      <c r="L626" s="78">
        <v>0</v>
      </c>
      <c r="M626" s="78">
        <v>0</v>
      </c>
      <c r="N626" s="78">
        <v>0</v>
      </c>
      <c r="O626" s="78">
        <v>450</v>
      </c>
      <c r="P626" s="79" t="s">
        <v>97</v>
      </c>
      <c r="Q626" s="54">
        <v>99</v>
      </c>
    </row>
    <row r="627" spans="1:17" x14ac:dyDescent="0.3">
      <c r="A627" s="76">
        <v>430</v>
      </c>
      <c r="B627" s="76"/>
      <c r="C627" s="76">
        <v>223</v>
      </c>
      <c r="D627" s="76"/>
      <c r="E627" s="76">
        <v>157</v>
      </c>
      <c r="F627" s="76"/>
      <c r="G627" s="76">
        <v>0</v>
      </c>
      <c r="H627" s="76"/>
      <c r="I627" s="76">
        <v>0</v>
      </c>
      <c r="J627" s="76"/>
      <c r="K627" s="76">
        <v>0</v>
      </c>
      <c r="L627" s="76">
        <v>0</v>
      </c>
      <c r="M627" s="76">
        <v>0</v>
      </c>
      <c r="N627" s="76">
        <v>0</v>
      </c>
      <c r="O627" s="76">
        <v>810</v>
      </c>
      <c r="P627" s="77" t="s">
        <v>97</v>
      </c>
      <c r="Q627" s="53">
        <v>95</v>
      </c>
    </row>
    <row r="628" spans="1:17" x14ac:dyDescent="0.3">
      <c r="A628" s="78">
        <v>5</v>
      </c>
      <c r="B628" s="78"/>
      <c r="C628" s="78">
        <v>0</v>
      </c>
      <c r="D628" s="78"/>
      <c r="E628" s="78">
        <v>0</v>
      </c>
      <c r="F628" s="78"/>
      <c r="G628" s="78">
        <v>0</v>
      </c>
      <c r="H628" s="78"/>
      <c r="I628" s="78">
        <v>0</v>
      </c>
      <c r="J628" s="78"/>
      <c r="K628" s="78">
        <v>0</v>
      </c>
      <c r="L628" s="78">
        <v>0</v>
      </c>
      <c r="M628" s="78">
        <v>0</v>
      </c>
      <c r="N628" s="78">
        <v>0</v>
      </c>
      <c r="O628" s="78">
        <v>5</v>
      </c>
      <c r="P628" s="79" t="s">
        <v>10</v>
      </c>
      <c r="Q628" s="54">
        <v>97</v>
      </c>
    </row>
    <row r="643" spans="5:12" x14ac:dyDescent="0.3">
      <c r="E643" t="s">
        <v>231</v>
      </c>
      <c r="F643" t="s">
        <v>232</v>
      </c>
      <c r="G643" t="s">
        <v>233</v>
      </c>
      <c r="H643" t="s">
        <v>234</v>
      </c>
      <c r="I643" t="s">
        <v>235</v>
      </c>
      <c r="J643" t="s">
        <v>236</v>
      </c>
      <c r="K643" t="s">
        <v>237</v>
      </c>
      <c r="L643" t="s">
        <v>5</v>
      </c>
    </row>
    <row r="644" spans="5:12" x14ac:dyDescent="0.3">
      <c r="E644">
        <v>0</v>
      </c>
      <c r="F644">
        <v>1</v>
      </c>
      <c r="G644">
        <v>0</v>
      </c>
      <c r="H644">
        <v>1</v>
      </c>
      <c r="I644">
        <v>38</v>
      </c>
      <c r="J644">
        <v>0</v>
      </c>
      <c r="K644">
        <v>0</v>
      </c>
      <c r="L644" t="s">
        <v>10</v>
      </c>
    </row>
    <row r="645" spans="5:12" x14ac:dyDescent="0.3">
      <c r="E645">
        <v>0</v>
      </c>
      <c r="F645">
        <v>0</v>
      </c>
      <c r="G645">
        <v>0</v>
      </c>
      <c r="H645">
        <v>0</v>
      </c>
      <c r="I645">
        <v>12</v>
      </c>
      <c r="J645">
        <v>0</v>
      </c>
      <c r="K645">
        <v>0</v>
      </c>
      <c r="L645" t="s">
        <v>10</v>
      </c>
    </row>
    <row r="646" spans="5:12" x14ac:dyDescent="0.3"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 t="s">
        <v>10</v>
      </c>
    </row>
    <row r="647" spans="5:12" x14ac:dyDescent="0.3"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97</v>
      </c>
    </row>
    <row r="648" spans="5:12" x14ac:dyDescent="0.3"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s">
        <v>97</v>
      </c>
    </row>
    <row r="649" spans="5:12" x14ac:dyDescent="0.3">
      <c r="E649">
        <v>2</v>
      </c>
      <c r="F649">
        <v>34</v>
      </c>
      <c r="G649">
        <v>36</v>
      </c>
      <c r="H649">
        <v>2</v>
      </c>
      <c r="I649">
        <v>0</v>
      </c>
      <c r="J649">
        <v>0</v>
      </c>
      <c r="K649">
        <v>0</v>
      </c>
      <c r="L649" t="s">
        <v>10</v>
      </c>
    </row>
    <row r="650" spans="5:12" x14ac:dyDescent="0.3">
      <c r="E650">
        <v>5</v>
      </c>
      <c r="F650">
        <v>0</v>
      </c>
      <c r="G650">
        <v>0</v>
      </c>
      <c r="H650">
        <v>2</v>
      </c>
      <c r="I650">
        <v>52</v>
      </c>
      <c r="J650">
        <v>0</v>
      </c>
      <c r="K650">
        <v>0</v>
      </c>
      <c r="L650" t="s">
        <v>10</v>
      </c>
    </row>
    <row r="651" spans="5:12" x14ac:dyDescent="0.3">
      <c r="E651">
        <v>5</v>
      </c>
      <c r="F651">
        <v>7</v>
      </c>
      <c r="G651">
        <v>3</v>
      </c>
      <c r="H651">
        <v>8</v>
      </c>
      <c r="I651">
        <v>0</v>
      </c>
      <c r="J651">
        <v>0</v>
      </c>
      <c r="K651">
        <v>0</v>
      </c>
      <c r="L651" t="s">
        <v>144</v>
      </c>
    </row>
    <row r="652" spans="5:12" x14ac:dyDescent="0.3">
      <c r="E652">
        <v>7</v>
      </c>
      <c r="F652">
        <v>2</v>
      </c>
      <c r="G652">
        <v>3</v>
      </c>
      <c r="H652">
        <v>1</v>
      </c>
      <c r="I652">
        <v>8</v>
      </c>
      <c r="J652">
        <v>0</v>
      </c>
      <c r="K652">
        <v>0</v>
      </c>
      <c r="L652" t="s">
        <v>10</v>
      </c>
    </row>
    <row r="653" spans="5:12" x14ac:dyDescent="0.3">
      <c r="E653">
        <v>10</v>
      </c>
      <c r="F653">
        <v>10</v>
      </c>
      <c r="G653">
        <v>12</v>
      </c>
      <c r="H653">
        <v>13</v>
      </c>
      <c r="I653">
        <v>36</v>
      </c>
      <c r="J653">
        <v>34</v>
      </c>
      <c r="K653">
        <v>0</v>
      </c>
      <c r="L653" t="s">
        <v>10</v>
      </c>
    </row>
    <row r="654" spans="5:12" x14ac:dyDescent="0.3">
      <c r="E654">
        <v>10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144</v>
      </c>
    </row>
    <row r="655" spans="5:12" x14ac:dyDescent="0.3">
      <c r="E655">
        <v>12</v>
      </c>
      <c r="F655">
        <v>12</v>
      </c>
      <c r="G655">
        <v>9</v>
      </c>
      <c r="H655">
        <v>10</v>
      </c>
      <c r="I655">
        <v>13</v>
      </c>
      <c r="J655">
        <v>13</v>
      </c>
      <c r="K655">
        <v>15</v>
      </c>
      <c r="L655" t="s">
        <v>144</v>
      </c>
    </row>
    <row r="656" spans="5:12" x14ac:dyDescent="0.3">
      <c r="E656">
        <v>15</v>
      </c>
      <c r="F656">
        <v>15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10</v>
      </c>
    </row>
    <row r="657" spans="5:12" x14ac:dyDescent="0.3">
      <c r="E657">
        <v>15</v>
      </c>
      <c r="F657">
        <v>15</v>
      </c>
      <c r="G657">
        <v>7</v>
      </c>
      <c r="H657">
        <v>8</v>
      </c>
      <c r="I657">
        <v>27</v>
      </c>
      <c r="J657">
        <v>12</v>
      </c>
      <c r="K657">
        <v>177</v>
      </c>
      <c r="L657" t="s">
        <v>10</v>
      </c>
    </row>
    <row r="658" spans="5:12" x14ac:dyDescent="0.3">
      <c r="E658">
        <v>15</v>
      </c>
      <c r="F658">
        <v>10</v>
      </c>
      <c r="G658">
        <v>8</v>
      </c>
      <c r="H658">
        <v>10</v>
      </c>
      <c r="I658">
        <v>25</v>
      </c>
      <c r="J658">
        <v>10</v>
      </c>
      <c r="K658">
        <v>3</v>
      </c>
      <c r="L658" t="s">
        <v>144</v>
      </c>
    </row>
    <row r="659" spans="5:12" x14ac:dyDescent="0.3">
      <c r="E659">
        <v>15</v>
      </c>
      <c r="F659">
        <v>17</v>
      </c>
      <c r="G659">
        <v>15</v>
      </c>
      <c r="H659">
        <v>20</v>
      </c>
      <c r="I659">
        <v>35</v>
      </c>
      <c r="J659">
        <v>24</v>
      </c>
      <c r="K659">
        <v>15</v>
      </c>
      <c r="L659" t="s">
        <v>144</v>
      </c>
    </row>
    <row r="660" spans="5:12" x14ac:dyDescent="0.3">
      <c r="E660">
        <v>19</v>
      </c>
      <c r="F660">
        <v>41</v>
      </c>
      <c r="G660">
        <v>40</v>
      </c>
      <c r="H660">
        <v>23</v>
      </c>
      <c r="I660">
        <v>70</v>
      </c>
      <c r="J660">
        <v>22</v>
      </c>
      <c r="K660">
        <v>25</v>
      </c>
      <c r="L660" t="s">
        <v>144</v>
      </c>
    </row>
    <row r="661" spans="5:12" x14ac:dyDescent="0.3">
      <c r="E661">
        <v>20</v>
      </c>
      <c r="F661">
        <v>25</v>
      </c>
      <c r="G661">
        <v>60</v>
      </c>
      <c r="H661">
        <v>45</v>
      </c>
      <c r="I661">
        <v>55</v>
      </c>
      <c r="J661">
        <v>130</v>
      </c>
      <c r="K661">
        <v>0</v>
      </c>
      <c r="L661" t="s">
        <v>144</v>
      </c>
    </row>
    <row r="662" spans="5:12" x14ac:dyDescent="0.3">
      <c r="E662">
        <v>23</v>
      </c>
      <c r="F662">
        <v>20</v>
      </c>
      <c r="G662">
        <v>15</v>
      </c>
      <c r="H662">
        <v>10</v>
      </c>
      <c r="I662">
        <v>13</v>
      </c>
      <c r="J662">
        <v>20</v>
      </c>
      <c r="K662">
        <v>15</v>
      </c>
      <c r="L662" t="s">
        <v>144</v>
      </c>
    </row>
    <row r="663" spans="5:12" x14ac:dyDescent="0.3">
      <c r="E663">
        <v>25</v>
      </c>
      <c r="F663">
        <v>30</v>
      </c>
      <c r="G663">
        <v>10</v>
      </c>
      <c r="H663">
        <v>20</v>
      </c>
      <c r="I663">
        <v>43</v>
      </c>
      <c r="J663">
        <v>55</v>
      </c>
      <c r="K663">
        <v>10</v>
      </c>
      <c r="L663" t="s">
        <v>144</v>
      </c>
    </row>
    <row r="664" spans="5:12" x14ac:dyDescent="0.3">
      <c r="E664">
        <v>32</v>
      </c>
      <c r="F664">
        <v>20</v>
      </c>
      <c r="G664">
        <v>24</v>
      </c>
      <c r="H664">
        <v>49</v>
      </c>
      <c r="I664">
        <v>40</v>
      </c>
      <c r="J664">
        <v>69</v>
      </c>
      <c r="K664">
        <v>59</v>
      </c>
      <c r="L664" t="s">
        <v>10</v>
      </c>
    </row>
    <row r="665" spans="5:12" x14ac:dyDescent="0.3">
      <c r="E665">
        <v>35</v>
      </c>
      <c r="F665">
        <v>55</v>
      </c>
      <c r="G665">
        <v>2</v>
      </c>
      <c r="H665">
        <v>10</v>
      </c>
      <c r="I665">
        <v>62</v>
      </c>
      <c r="J665">
        <v>57</v>
      </c>
      <c r="K665">
        <v>315</v>
      </c>
      <c r="L665" t="s">
        <v>144</v>
      </c>
    </row>
    <row r="666" spans="5:12" x14ac:dyDescent="0.3">
      <c r="E666">
        <v>36</v>
      </c>
      <c r="F666">
        <v>40</v>
      </c>
      <c r="G666">
        <v>45</v>
      </c>
      <c r="H666">
        <v>141</v>
      </c>
      <c r="I666">
        <v>156</v>
      </c>
      <c r="J666">
        <v>73</v>
      </c>
      <c r="K666">
        <v>39</v>
      </c>
      <c r="L666" t="s">
        <v>10</v>
      </c>
    </row>
    <row r="667" spans="5:12" x14ac:dyDescent="0.3">
      <c r="E667">
        <v>36</v>
      </c>
      <c r="F667">
        <v>49</v>
      </c>
      <c r="G667">
        <v>38</v>
      </c>
      <c r="H667">
        <v>69</v>
      </c>
      <c r="I667">
        <v>39</v>
      </c>
      <c r="J667">
        <v>46</v>
      </c>
      <c r="K667">
        <v>8</v>
      </c>
      <c r="L667" t="s">
        <v>10</v>
      </c>
    </row>
    <row r="668" spans="5:12" x14ac:dyDescent="0.3">
      <c r="E668">
        <v>38</v>
      </c>
      <c r="F668">
        <v>16</v>
      </c>
      <c r="G668">
        <v>36</v>
      </c>
      <c r="H668">
        <v>79</v>
      </c>
      <c r="I668">
        <v>23</v>
      </c>
      <c r="J668">
        <v>78</v>
      </c>
      <c r="K668">
        <v>124</v>
      </c>
      <c r="L668" t="s">
        <v>10</v>
      </c>
    </row>
    <row r="669" spans="5:12" x14ac:dyDescent="0.3">
      <c r="E669">
        <v>40</v>
      </c>
      <c r="F669">
        <v>30</v>
      </c>
      <c r="G669">
        <v>0</v>
      </c>
      <c r="H669">
        <v>0</v>
      </c>
      <c r="I669">
        <v>0</v>
      </c>
      <c r="J669">
        <v>0</v>
      </c>
      <c r="K669">
        <v>0</v>
      </c>
      <c r="L669" t="s">
        <v>144</v>
      </c>
    </row>
    <row r="670" spans="5:12" x14ac:dyDescent="0.3">
      <c r="E670">
        <v>41</v>
      </c>
      <c r="F670">
        <v>106</v>
      </c>
      <c r="G670">
        <v>81</v>
      </c>
      <c r="H670">
        <v>215</v>
      </c>
      <c r="I670">
        <v>255</v>
      </c>
      <c r="J670">
        <v>72</v>
      </c>
      <c r="K670">
        <v>21</v>
      </c>
      <c r="L670" t="s">
        <v>10</v>
      </c>
    </row>
    <row r="671" spans="5:12" x14ac:dyDescent="0.3">
      <c r="E671">
        <v>41</v>
      </c>
      <c r="F671">
        <v>68</v>
      </c>
      <c r="G671">
        <v>183</v>
      </c>
      <c r="H671">
        <v>73</v>
      </c>
      <c r="I671">
        <v>79</v>
      </c>
      <c r="J671">
        <v>314</v>
      </c>
      <c r="K671">
        <v>156</v>
      </c>
      <c r="L671" t="s">
        <v>10</v>
      </c>
    </row>
    <row r="672" spans="5:12" x14ac:dyDescent="0.3">
      <c r="E672">
        <v>45</v>
      </c>
      <c r="F672">
        <v>3</v>
      </c>
      <c r="G672">
        <v>10</v>
      </c>
      <c r="H672">
        <v>21</v>
      </c>
      <c r="I672">
        <v>1</v>
      </c>
      <c r="J672">
        <v>40</v>
      </c>
      <c r="K672">
        <v>41</v>
      </c>
      <c r="L672" t="s">
        <v>10</v>
      </c>
    </row>
    <row r="673" spans="5:12" x14ac:dyDescent="0.3">
      <c r="E673">
        <v>45</v>
      </c>
      <c r="F673">
        <v>50</v>
      </c>
      <c r="G673">
        <v>80</v>
      </c>
      <c r="H673">
        <v>50</v>
      </c>
      <c r="I673">
        <v>120</v>
      </c>
      <c r="J673">
        <v>103</v>
      </c>
      <c r="K673">
        <v>69</v>
      </c>
      <c r="L673" t="s">
        <v>144</v>
      </c>
    </row>
    <row r="674" spans="5:12" x14ac:dyDescent="0.3">
      <c r="E674">
        <v>51</v>
      </c>
      <c r="F674">
        <v>78</v>
      </c>
      <c r="G674">
        <v>193</v>
      </c>
      <c r="H674">
        <v>0</v>
      </c>
      <c r="I674">
        <v>0</v>
      </c>
      <c r="J674">
        <v>0</v>
      </c>
      <c r="K674">
        <v>0</v>
      </c>
      <c r="L674" t="s">
        <v>10</v>
      </c>
    </row>
    <row r="675" spans="5:12" x14ac:dyDescent="0.3">
      <c r="E675">
        <v>58</v>
      </c>
      <c r="F675">
        <v>75</v>
      </c>
      <c r="G675">
        <v>39</v>
      </c>
      <c r="H675">
        <v>16</v>
      </c>
      <c r="I675">
        <v>21</v>
      </c>
      <c r="J675">
        <v>60</v>
      </c>
      <c r="K675">
        <v>64</v>
      </c>
      <c r="L675" t="s">
        <v>10</v>
      </c>
    </row>
    <row r="676" spans="5:12" x14ac:dyDescent="0.3">
      <c r="E676">
        <v>60</v>
      </c>
      <c r="F676">
        <v>68</v>
      </c>
      <c r="G676">
        <v>315</v>
      </c>
      <c r="H676">
        <v>56</v>
      </c>
      <c r="I676">
        <v>132</v>
      </c>
      <c r="J676">
        <v>160</v>
      </c>
      <c r="K676">
        <v>168</v>
      </c>
      <c r="L676" t="s">
        <v>10</v>
      </c>
    </row>
    <row r="677" spans="5:12" x14ac:dyDescent="0.3">
      <c r="E677">
        <v>61</v>
      </c>
      <c r="F677">
        <v>97</v>
      </c>
      <c r="G677">
        <v>29</v>
      </c>
      <c r="H677">
        <v>91</v>
      </c>
      <c r="I677">
        <v>62</v>
      </c>
      <c r="J677">
        <v>419</v>
      </c>
      <c r="K677">
        <v>37</v>
      </c>
      <c r="L677" t="s">
        <v>10</v>
      </c>
    </row>
    <row r="678" spans="5:12" x14ac:dyDescent="0.3">
      <c r="E678">
        <v>62</v>
      </c>
      <c r="F678">
        <v>36</v>
      </c>
      <c r="G678">
        <v>46</v>
      </c>
      <c r="H678">
        <v>34</v>
      </c>
      <c r="I678">
        <v>1</v>
      </c>
      <c r="J678">
        <v>1</v>
      </c>
      <c r="K678">
        <v>4</v>
      </c>
      <c r="L678" t="s">
        <v>10</v>
      </c>
    </row>
    <row r="679" spans="5:12" x14ac:dyDescent="0.3">
      <c r="E679">
        <v>65</v>
      </c>
      <c r="F679">
        <v>50</v>
      </c>
      <c r="G679">
        <v>95</v>
      </c>
      <c r="H679">
        <v>89</v>
      </c>
      <c r="I679">
        <v>66</v>
      </c>
      <c r="J679">
        <v>30</v>
      </c>
      <c r="K679">
        <v>0</v>
      </c>
      <c r="L679" t="s">
        <v>144</v>
      </c>
    </row>
    <row r="680" spans="5:12" x14ac:dyDescent="0.3">
      <c r="E680">
        <v>70</v>
      </c>
      <c r="F680">
        <v>55</v>
      </c>
      <c r="G680">
        <v>30</v>
      </c>
      <c r="H680">
        <v>55</v>
      </c>
      <c r="I680">
        <v>168</v>
      </c>
      <c r="J680">
        <v>213</v>
      </c>
      <c r="K680">
        <v>230</v>
      </c>
      <c r="L680" t="s">
        <v>144</v>
      </c>
    </row>
    <row r="681" spans="5:12" x14ac:dyDescent="0.3">
      <c r="E681">
        <v>80</v>
      </c>
      <c r="F681">
        <v>71</v>
      </c>
      <c r="G681">
        <v>200</v>
      </c>
      <c r="H681">
        <v>114</v>
      </c>
      <c r="I681">
        <v>210</v>
      </c>
      <c r="J681">
        <v>116</v>
      </c>
      <c r="K681">
        <v>408</v>
      </c>
      <c r="L681" t="s">
        <v>10</v>
      </c>
    </row>
    <row r="682" spans="5:12" x14ac:dyDescent="0.3">
      <c r="E682">
        <v>85</v>
      </c>
      <c r="F682">
        <v>34</v>
      </c>
      <c r="G682">
        <v>33</v>
      </c>
      <c r="H682">
        <v>10</v>
      </c>
      <c r="I682">
        <v>0</v>
      </c>
      <c r="J682">
        <v>0</v>
      </c>
      <c r="K682">
        <v>0</v>
      </c>
      <c r="L682" t="s">
        <v>144</v>
      </c>
    </row>
    <row r="683" spans="5:12" x14ac:dyDescent="0.3">
      <c r="E683">
        <v>94</v>
      </c>
      <c r="F683">
        <v>138</v>
      </c>
      <c r="G683">
        <v>124</v>
      </c>
      <c r="H683">
        <v>72</v>
      </c>
      <c r="I683">
        <v>10</v>
      </c>
      <c r="J683">
        <v>0</v>
      </c>
      <c r="K683">
        <v>0</v>
      </c>
      <c r="L683" t="s">
        <v>10</v>
      </c>
    </row>
    <row r="684" spans="5:12" x14ac:dyDescent="0.3">
      <c r="E684">
        <v>112</v>
      </c>
      <c r="F684">
        <v>98</v>
      </c>
      <c r="G684">
        <v>92</v>
      </c>
      <c r="H684">
        <v>235</v>
      </c>
      <c r="I684">
        <v>176</v>
      </c>
      <c r="J684">
        <v>88</v>
      </c>
      <c r="K684">
        <v>28</v>
      </c>
      <c r="L684" t="s">
        <v>10</v>
      </c>
    </row>
    <row r="685" spans="5:12" x14ac:dyDescent="0.3">
      <c r="E685">
        <v>116</v>
      </c>
      <c r="F685">
        <v>164</v>
      </c>
      <c r="G685">
        <v>319</v>
      </c>
      <c r="H685">
        <v>251</v>
      </c>
      <c r="I685">
        <v>207</v>
      </c>
      <c r="J685">
        <v>182</v>
      </c>
      <c r="K685">
        <v>54</v>
      </c>
      <c r="L685" t="s">
        <v>10</v>
      </c>
    </row>
    <row r="686" spans="5:12" x14ac:dyDescent="0.3">
      <c r="E686">
        <v>124</v>
      </c>
      <c r="F686">
        <v>4</v>
      </c>
      <c r="G686">
        <v>127</v>
      </c>
      <c r="H686">
        <v>35</v>
      </c>
      <c r="I686">
        <v>38</v>
      </c>
      <c r="J686">
        <v>12</v>
      </c>
      <c r="K686">
        <v>0</v>
      </c>
      <c r="L686" t="s">
        <v>10</v>
      </c>
    </row>
    <row r="687" spans="5:12" x14ac:dyDescent="0.3">
      <c r="E687">
        <v>163</v>
      </c>
      <c r="F687">
        <v>33</v>
      </c>
      <c r="G687">
        <v>68</v>
      </c>
      <c r="H687">
        <v>32</v>
      </c>
      <c r="I687">
        <v>138</v>
      </c>
      <c r="J687">
        <v>386</v>
      </c>
      <c r="K687">
        <v>233</v>
      </c>
      <c r="L687" t="s">
        <v>10</v>
      </c>
    </row>
    <row r="688" spans="5:12" x14ac:dyDescent="0.3">
      <c r="E688">
        <v>200</v>
      </c>
      <c r="F688">
        <v>233</v>
      </c>
      <c r="G688">
        <v>150</v>
      </c>
      <c r="H688">
        <v>200</v>
      </c>
      <c r="I688">
        <v>148</v>
      </c>
      <c r="J688">
        <v>150</v>
      </c>
      <c r="K688">
        <v>170</v>
      </c>
      <c r="L688" t="s">
        <v>144</v>
      </c>
    </row>
    <row r="689" spans="5:12" x14ac:dyDescent="0.3">
      <c r="E689">
        <v>230</v>
      </c>
      <c r="F689">
        <v>215</v>
      </c>
      <c r="G689">
        <v>150</v>
      </c>
      <c r="H689">
        <v>20</v>
      </c>
      <c r="I689">
        <v>80</v>
      </c>
      <c r="J689">
        <v>40</v>
      </c>
      <c r="K689">
        <v>50</v>
      </c>
      <c r="L689" t="s">
        <v>144</v>
      </c>
    </row>
    <row r="690" spans="5:12" x14ac:dyDescent="0.3">
      <c r="E690">
        <v>268</v>
      </c>
      <c r="F690">
        <v>253</v>
      </c>
      <c r="G690">
        <v>178</v>
      </c>
      <c r="H690">
        <v>360</v>
      </c>
      <c r="I690">
        <v>816</v>
      </c>
      <c r="J690">
        <v>410</v>
      </c>
      <c r="K690">
        <v>301</v>
      </c>
      <c r="L690" t="s">
        <v>10</v>
      </c>
    </row>
    <row r="691" spans="5:12" x14ac:dyDescent="0.3">
      <c r="E691">
        <v>299</v>
      </c>
      <c r="F691">
        <v>83</v>
      </c>
      <c r="G691">
        <v>176</v>
      </c>
      <c r="H691">
        <v>400</v>
      </c>
      <c r="I691">
        <v>427</v>
      </c>
      <c r="J691">
        <v>459</v>
      </c>
      <c r="K691">
        <v>369</v>
      </c>
      <c r="L691" t="s">
        <v>10</v>
      </c>
    </row>
    <row r="692" spans="5:12" x14ac:dyDescent="0.3">
      <c r="E692">
        <v>315</v>
      </c>
      <c r="F692">
        <v>467</v>
      </c>
      <c r="G692">
        <v>580</v>
      </c>
      <c r="H692">
        <v>443</v>
      </c>
      <c r="I692">
        <v>521</v>
      </c>
      <c r="J692">
        <v>342</v>
      </c>
      <c r="K692">
        <v>155</v>
      </c>
      <c r="L692" t="s">
        <v>144</v>
      </c>
    </row>
    <row r="693" spans="5:12" x14ac:dyDescent="0.3">
      <c r="E693">
        <v>332</v>
      </c>
      <c r="F693">
        <v>280</v>
      </c>
      <c r="G693">
        <v>309</v>
      </c>
      <c r="H693">
        <v>280</v>
      </c>
      <c r="I693">
        <v>255</v>
      </c>
      <c r="J693">
        <v>244</v>
      </c>
      <c r="K693">
        <v>158</v>
      </c>
      <c r="L693" t="s">
        <v>144</v>
      </c>
    </row>
    <row r="694" spans="5:12" x14ac:dyDescent="0.3">
      <c r="E694">
        <v>382</v>
      </c>
      <c r="F694">
        <v>425</v>
      </c>
      <c r="G694">
        <v>323</v>
      </c>
      <c r="H694">
        <v>238</v>
      </c>
      <c r="I694">
        <v>484</v>
      </c>
      <c r="J694">
        <v>394</v>
      </c>
      <c r="K694">
        <v>213</v>
      </c>
      <c r="L694" t="s">
        <v>10</v>
      </c>
    </row>
    <row r="695" spans="5:12" x14ac:dyDescent="0.3">
      <c r="E695">
        <v>405</v>
      </c>
      <c r="F695">
        <v>534</v>
      </c>
      <c r="G695">
        <v>987</v>
      </c>
      <c r="H695">
        <v>1917</v>
      </c>
      <c r="I695">
        <v>1047</v>
      </c>
      <c r="J695">
        <v>326</v>
      </c>
      <c r="K695">
        <v>857</v>
      </c>
      <c r="L695" t="s">
        <v>10</v>
      </c>
    </row>
    <row r="696" spans="5:12" x14ac:dyDescent="0.3">
      <c r="E696">
        <v>487</v>
      </c>
      <c r="F696">
        <v>450</v>
      </c>
      <c r="G696">
        <v>954</v>
      </c>
      <c r="H696">
        <v>25</v>
      </c>
      <c r="I696">
        <v>0</v>
      </c>
      <c r="J696">
        <v>0</v>
      </c>
      <c r="K696">
        <v>0</v>
      </c>
      <c r="L696" t="s">
        <v>144</v>
      </c>
    </row>
    <row r="697" spans="5:12" x14ac:dyDescent="0.3">
      <c r="E697">
        <v>527</v>
      </c>
      <c r="F697">
        <v>203</v>
      </c>
      <c r="G697">
        <v>395</v>
      </c>
      <c r="H697">
        <v>499</v>
      </c>
      <c r="I697">
        <v>915</v>
      </c>
      <c r="J697">
        <v>230</v>
      </c>
      <c r="K697">
        <v>532</v>
      </c>
      <c r="L697" t="s">
        <v>10</v>
      </c>
    </row>
    <row r="698" spans="5:12" x14ac:dyDescent="0.3">
      <c r="E698">
        <v>604</v>
      </c>
      <c r="F698">
        <v>339</v>
      </c>
      <c r="G698">
        <v>853</v>
      </c>
      <c r="H698">
        <v>2331</v>
      </c>
      <c r="I698">
        <v>1049</v>
      </c>
      <c r="J698">
        <v>326</v>
      </c>
      <c r="K698">
        <v>708</v>
      </c>
      <c r="L698" t="s">
        <v>10</v>
      </c>
    </row>
    <row r="699" spans="5:12" x14ac:dyDescent="0.3">
      <c r="E699">
        <v>728</v>
      </c>
      <c r="F699">
        <v>871</v>
      </c>
      <c r="G699">
        <v>913</v>
      </c>
      <c r="H699">
        <v>1800</v>
      </c>
      <c r="I699">
        <v>1315</v>
      </c>
      <c r="J699">
        <v>577</v>
      </c>
      <c r="K699">
        <v>573</v>
      </c>
      <c r="L699" t="s">
        <v>10</v>
      </c>
    </row>
    <row r="700" spans="5:12" x14ac:dyDescent="0.3">
      <c r="E700">
        <v>787</v>
      </c>
      <c r="F700">
        <v>478</v>
      </c>
      <c r="G700">
        <v>1235</v>
      </c>
      <c r="H700">
        <v>1450</v>
      </c>
      <c r="I700">
        <v>1728</v>
      </c>
      <c r="J700">
        <v>1182</v>
      </c>
      <c r="K700">
        <v>999</v>
      </c>
      <c r="L700" t="s">
        <v>10</v>
      </c>
    </row>
    <row r="701" spans="5:12" x14ac:dyDescent="0.3">
      <c r="E701">
        <v>962</v>
      </c>
      <c r="F701">
        <v>1465</v>
      </c>
      <c r="G701">
        <v>1334</v>
      </c>
      <c r="H701">
        <v>2383</v>
      </c>
      <c r="I701">
        <v>1525</v>
      </c>
      <c r="J701">
        <v>1582</v>
      </c>
      <c r="K701">
        <v>1539</v>
      </c>
      <c r="L701" t="s">
        <v>10</v>
      </c>
    </row>
    <row r="702" spans="5:12" x14ac:dyDescent="0.3">
      <c r="E702">
        <v>1064</v>
      </c>
      <c r="F702">
        <v>1153</v>
      </c>
      <c r="G702">
        <v>1979</v>
      </c>
      <c r="H702">
        <v>2901</v>
      </c>
      <c r="I702">
        <v>2434</v>
      </c>
      <c r="J702">
        <v>1693</v>
      </c>
      <c r="K702">
        <v>1311</v>
      </c>
      <c r="L702" t="s">
        <v>10</v>
      </c>
    </row>
    <row r="703" spans="5:12" x14ac:dyDescent="0.3">
      <c r="E703">
        <v>2132</v>
      </c>
      <c r="F703">
        <v>2648</v>
      </c>
      <c r="G703">
        <v>2712</v>
      </c>
      <c r="H703">
        <v>1775</v>
      </c>
      <c r="I703">
        <v>2302</v>
      </c>
      <c r="J703">
        <v>2250</v>
      </c>
      <c r="K703">
        <v>2532</v>
      </c>
      <c r="L703" t="s">
        <v>10</v>
      </c>
    </row>
    <row r="704" spans="5:12" x14ac:dyDescent="0.3">
      <c r="E704">
        <v>496</v>
      </c>
      <c r="F704">
        <v>557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10</v>
      </c>
    </row>
    <row r="705" spans="5:12" x14ac:dyDescent="0.3">
      <c r="E705">
        <v>0</v>
      </c>
      <c r="F705">
        <v>5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10</v>
      </c>
    </row>
    <row r="706" spans="5:12" x14ac:dyDescent="0.3">
      <c r="E706">
        <v>0</v>
      </c>
      <c r="F706">
        <v>13</v>
      </c>
      <c r="G706">
        <v>0</v>
      </c>
      <c r="H706">
        <v>0</v>
      </c>
      <c r="I706">
        <v>0</v>
      </c>
      <c r="J706">
        <v>0</v>
      </c>
      <c r="K706">
        <v>0</v>
      </c>
      <c r="L706" t="s">
        <v>10</v>
      </c>
    </row>
    <row r="707" spans="5:12" x14ac:dyDescent="0.3">
      <c r="E707">
        <v>0</v>
      </c>
      <c r="F707">
        <v>5</v>
      </c>
      <c r="G707">
        <v>0</v>
      </c>
      <c r="H707">
        <v>0</v>
      </c>
      <c r="I707">
        <v>0</v>
      </c>
      <c r="J707">
        <v>0</v>
      </c>
      <c r="K707">
        <v>0</v>
      </c>
      <c r="L707" t="s">
        <v>10</v>
      </c>
    </row>
    <row r="708" spans="5:12" x14ac:dyDescent="0.3">
      <c r="E708">
        <v>0</v>
      </c>
      <c r="F708">
        <v>3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10</v>
      </c>
    </row>
    <row r="709" spans="5:12" x14ac:dyDescent="0.3">
      <c r="E709">
        <v>0</v>
      </c>
      <c r="F709">
        <v>3</v>
      </c>
      <c r="G709">
        <v>0</v>
      </c>
      <c r="H709">
        <v>0</v>
      </c>
      <c r="I709">
        <v>0</v>
      </c>
      <c r="J709">
        <v>0</v>
      </c>
      <c r="K709">
        <v>0</v>
      </c>
      <c r="L709" t="s">
        <v>10</v>
      </c>
    </row>
    <row r="710" spans="5:12" x14ac:dyDescent="0.3">
      <c r="E710">
        <v>0</v>
      </c>
      <c r="F710">
        <v>5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10</v>
      </c>
    </row>
    <row r="711" spans="5:12" x14ac:dyDescent="0.3"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s">
        <v>10</v>
      </c>
    </row>
    <row r="712" spans="5:12" x14ac:dyDescent="0.3">
      <c r="E712">
        <v>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10</v>
      </c>
    </row>
    <row r="713" spans="5:12" x14ac:dyDescent="0.3">
      <c r="E713">
        <v>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10</v>
      </c>
    </row>
    <row r="714" spans="5:12" x14ac:dyDescent="0.3">
      <c r="E714">
        <v>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10</v>
      </c>
    </row>
    <row r="715" spans="5:12" x14ac:dyDescent="0.3">
      <c r="E715">
        <v>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10</v>
      </c>
    </row>
    <row r="716" spans="5:12" x14ac:dyDescent="0.3">
      <c r="E716">
        <v>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 t="s">
        <v>10</v>
      </c>
    </row>
    <row r="717" spans="5:12" x14ac:dyDescent="0.3">
      <c r="E717">
        <v>28</v>
      </c>
      <c r="F717">
        <v>5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10</v>
      </c>
    </row>
    <row r="718" spans="5:12" x14ac:dyDescent="0.3">
      <c r="E718">
        <v>26</v>
      </c>
      <c r="F718">
        <v>13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10</v>
      </c>
    </row>
    <row r="719" spans="5:12" x14ac:dyDescent="0.3"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 t="s">
        <v>10</v>
      </c>
    </row>
    <row r="720" spans="5:12" x14ac:dyDescent="0.3">
      <c r="E720">
        <v>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t="s">
        <v>10</v>
      </c>
    </row>
    <row r="721" spans="5:12" x14ac:dyDescent="0.3">
      <c r="E721">
        <v>26</v>
      </c>
      <c r="F721">
        <v>25</v>
      </c>
      <c r="G721">
        <v>0</v>
      </c>
      <c r="H721">
        <v>0</v>
      </c>
      <c r="I721">
        <v>0</v>
      </c>
      <c r="J721">
        <v>0</v>
      </c>
      <c r="K721">
        <v>0</v>
      </c>
      <c r="L721" t="s">
        <v>10</v>
      </c>
    </row>
    <row r="722" spans="5:12" x14ac:dyDescent="0.3">
      <c r="E722">
        <v>30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10</v>
      </c>
    </row>
    <row r="723" spans="5:12" x14ac:dyDescent="0.3">
      <c r="E723">
        <v>53</v>
      </c>
      <c r="F723">
        <v>21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10</v>
      </c>
    </row>
    <row r="724" spans="5:12" x14ac:dyDescent="0.3">
      <c r="E724">
        <v>57</v>
      </c>
      <c r="F724">
        <v>35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10</v>
      </c>
    </row>
    <row r="725" spans="5:12" x14ac:dyDescent="0.3">
      <c r="E725">
        <v>135</v>
      </c>
      <c r="F725">
        <v>78</v>
      </c>
      <c r="G725">
        <v>0</v>
      </c>
      <c r="H725">
        <v>0</v>
      </c>
      <c r="I725">
        <v>0</v>
      </c>
      <c r="J725">
        <v>0</v>
      </c>
      <c r="K725">
        <v>0</v>
      </c>
      <c r="L725" t="s">
        <v>10</v>
      </c>
    </row>
    <row r="726" spans="5:12" x14ac:dyDescent="0.3">
      <c r="E726">
        <v>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 t="s">
        <v>10</v>
      </c>
    </row>
    <row r="727" spans="5:12" x14ac:dyDescent="0.3">
      <c r="E727">
        <v>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10</v>
      </c>
    </row>
    <row r="728" spans="5:12" x14ac:dyDescent="0.3">
      <c r="E728">
        <v>15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10</v>
      </c>
    </row>
    <row r="729" spans="5:12" x14ac:dyDescent="0.3">
      <c r="E729">
        <v>23</v>
      </c>
      <c r="F729">
        <v>15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10</v>
      </c>
    </row>
    <row r="730" spans="5:12" x14ac:dyDescent="0.3">
      <c r="E730">
        <v>0</v>
      </c>
      <c r="F730">
        <v>5</v>
      </c>
      <c r="G730">
        <v>0</v>
      </c>
      <c r="H730">
        <v>0</v>
      </c>
      <c r="I730">
        <v>0</v>
      </c>
      <c r="J730">
        <v>0</v>
      </c>
      <c r="K730">
        <v>0</v>
      </c>
      <c r="L730" t="s">
        <v>10</v>
      </c>
    </row>
    <row r="731" spans="5:12" x14ac:dyDescent="0.3"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10</v>
      </c>
    </row>
    <row r="732" spans="5:12" x14ac:dyDescent="0.3"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 t="s">
        <v>10</v>
      </c>
    </row>
    <row r="733" spans="5:12" x14ac:dyDescent="0.3"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10</v>
      </c>
    </row>
    <row r="734" spans="5:12" x14ac:dyDescent="0.3"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97</v>
      </c>
    </row>
    <row r="735" spans="5:12" x14ac:dyDescent="0.3"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97</v>
      </c>
    </row>
    <row r="736" spans="5:12" x14ac:dyDescent="0.3">
      <c r="E736">
        <v>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10</v>
      </c>
    </row>
    <row r="737" spans="5:12" x14ac:dyDescent="0.3">
      <c r="E737">
        <v>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t="s">
        <v>10</v>
      </c>
    </row>
    <row r="738" spans="5:12" x14ac:dyDescent="0.3">
      <c r="E738">
        <v>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10</v>
      </c>
    </row>
    <row r="739" spans="5:12" x14ac:dyDescent="0.3">
      <c r="E739">
        <v>23</v>
      </c>
      <c r="F739">
        <v>35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10</v>
      </c>
    </row>
    <row r="740" spans="5:12" x14ac:dyDescent="0.3">
      <c r="E740">
        <v>15</v>
      </c>
      <c r="F740">
        <v>8</v>
      </c>
      <c r="G740">
        <v>0</v>
      </c>
      <c r="H740">
        <v>0</v>
      </c>
      <c r="I740">
        <v>0</v>
      </c>
      <c r="J740">
        <v>0</v>
      </c>
      <c r="K740">
        <v>0</v>
      </c>
      <c r="L740" t="s">
        <v>10</v>
      </c>
    </row>
    <row r="741" spans="5:12" x14ac:dyDescent="0.3">
      <c r="E741">
        <v>0</v>
      </c>
      <c r="F741">
        <v>5</v>
      </c>
      <c r="G741">
        <v>0</v>
      </c>
      <c r="H741">
        <v>0</v>
      </c>
      <c r="I741">
        <v>0</v>
      </c>
      <c r="J741">
        <v>0</v>
      </c>
      <c r="K741">
        <v>0</v>
      </c>
      <c r="L741" t="s">
        <v>10</v>
      </c>
    </row>
    <row r="742" spans="5:12" x14ac:dyDescent="0.3">
      <c r="E742">
        <v>0</v>
      </c>
      <c r="F742">
        <v>5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10</v>
      </c>
    </row>
    <row r="743" spans="5:12" x14ac:dyDescent="0.3"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 t="s">
        <v>10</v>
      </c>
    </row>
    <row r="744" spans="5:12" x14ac:dyDescent="0.3">
      <c r="E744">
        <v>6</v>
      </c>
      <c r="F744">
        <v>15</v>
      </c>
      <c r="G744">
        <v>0</v>
      </c>
      <c r="H744">
        <v>0</v>
      </c>
      <c r="I744">
        <v>0</v>
      </c>
      <c r="J744">
        <v>0</v>
      </c>
      <c r="K744">
        <v>0</v>
      </c>
      <c r="L744" t="s">
        <v>10</v>
      </c>
    </row>
    <row r="745" spans="5:12" x14ac:dyDescent="0.3">
      <c r="E745">
        <v>0</v>
      </c>
      <c r="F745">
        <v>89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10</v>
      </c>
    </row>
    <row r="746" spans="5:12" x14ac:dyDescent="0.3">
      <c r="E746">
        <v>0</v>
      </c>
      <c r="F746">
        <v>5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10</v>
      </c>
    </row>
    <row r="747" spans="5:12" x14ac:dyDescent="0.3"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s">
        <v>10</v>
      </c>
    </row>
    <row r="748" spans="5:12" x14ac:dyDescent="0.3"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 t="s">
        <v>10</v>
      </c>
    </row>
    <row r="749" spans="5:12" x14ac:dyDescent="0.3">
      <c r="E749">
        <v>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10</v>
      </c>
    </row>
    <row r="750" spans="5:12" x14ac:dyDescent="0.3">
      <c r="E750">
        <v>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10</v>
      </c>
    </row>
    <row r="751" spans="5:12" x14ac:dyDescent="0.3">
      <c r="E751">
        <v>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s">
        <v>10</v>
      </c>
    </row>
    <row r="752" spans="5:12" x14ac:dyDescent="0.3">
      <c r="E752">
        <v>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 t="s">
        <v>10</v>
      </c>
    </row>
    <row r="753" spans="5:12" x14ac:dyDescent="0.3">
      <c r="E753">
        <v>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 t="s">
        <v>10</v>
      </c>
    </row>
    <row r="754" spans="5:12" x14ac:dyDescent="0.3">
      <c r="E754">
        <v>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10</v>
      </c>
    </row>
    <row r="755" spans="5:12" x14ac:dyDescent="0.3">
      <c r="E755">
        <v>13</v>
      </c>
      <c r="F755">
        <v>10</v>
      </c>
      <c r="G755">
        <v>0</v>
      </c>
      <c r="H755">
        <v>0</v>
      </c>
      <c r="I755">
        <v>0</v>
      </c>
      <c r="J755">
        <v>0</v>
      </c>
      <c r="K755">
        <v>0</v>
      </c>
      <c r="L755" t="s">
        <v>10</v>
      </c>
    </row>
    <row r="756" spans="5:12" x14ac:dyDescent="0.3">
      <c r="E756">
        <v>13</v>
      </c>
      <c r="F756">
        <v>10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10</v>
      </c>
    </row>
    <row r="757" spans="5:12" x14ac:dyDescent="0.3">
      <c r="E757">
        <v>25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10</v>
      </c>
    </row>
    <row r="758" spans="5:12" x14ac:dyDescent="0.3">
      <c r="E758">
        <v>33</v>
      </c>
      <c r="F758">
        <v>15</v>
      </c>
      <c r="G758">
        <v>0</v>
      </c>
      <c r="H758">
        <v>0</v>
      </c>
      <c r="I758">
        <v>0</v>
      </c>
      <c r="J758">
        <v>0</v>
      </c>
      <c r="K758">
        <v>0</v>
      </c>
      <c r="L758" t="s">
        <v>10</v>
      </c>
    </row>
    <row r="759" spans="5:12" x14ac:dyDescent="0.3">
      <c r="E759">
        <v>35</v>
      </c>
      <c r="F759">
        <v>14</v>
      </c>
      <c r="G759">
        <v>0</v>
      </c>
      <c r="H759">
        <v>0</v>
      </c>
      <c r="I759">
        <v>0</v>
      </c>
      <c r="J759">
        <v>0</v>
      </c>
      <c r="K759">
        <v>0</v>
      </c>
      <c r="L759" t="s">
        <v>10</v>
      </c>
    </row>
    <row r="760" spans="5:12" x14ac:dyDescent="0.3">
      <c r="E760">
        <v>35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 t="s">
        <v>10</v>
      </c>
    </row>
    <row r="761" spans="5:12" x14ac:dyDescent="0.3">
      <c r="E761">
        <v>35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t="s">
        <v>10</v>
      </c>
    </row>
    <row r="762" spans="5:12" x14ac:dyDescent="0.3">
      <c r="E762">
        <v>35</v>
      </c>
      <c r="F762">
        <v>23</v>
      </c>
      <c r="G762">
        <v>0</v>
      </c>
      <c r="H762">
        <v>0</v>
      </c>
      <c r="I762">
        <v>0</v>
      </c>
      <c r="J762">
        <v>0</v>
      </c>
      <c r="K762">
        <v>0</v>
      </c>
      <c r="L762" t="s">
        <v>10</v>
      </c>
    </row>
    <row r="763" spans="5:12" x14ac:dyDescent="0.3">
      <c r="E763">
        <v>42</v>
      </c>
      <c r="F763">
        <v>47</v>
      </c>
      <c r="G763">
        <v>12</v>
      </c>
      <c r="H763">
        <v>7</v>
      </c>
      <c r="I763">
        <v>71</v>
      </c>
      <c r="J763">
        <v>29</v>
      </c>
      <c r="K763">
        <v>31</v>
      </c>
      <c r="L763" t="s">
        <v>10</v>
      </c>
    </row>
    <row r="764" spans="5:12" x14ac:dyDescent="0.3">
      <c r="E764">
        <v>53</v>
      </c>
      <c r="F764">
        <v>28</v>
      </c>
      <c r="G764">
        <v>0</v>
      </c>
      <c r="H764">
        <v>0</v>
      </c>
      <c r="I764">
        <v>0</v>
      </c>
      <c r="J764">
        <v>0</v>
      </c>
      <c r="K764">
        <v>0</v>
      </c>
      <c r="L764" t="s">
        <v>10</v>
      </c>
    </row>
    <row r="765" spans="5:12" x14ac:dyDescent="0.3">
      <c r="E765">
        <v>55</v>
      </c>
      <c r="F765">
        <v>45</v>
      </c>
      <c r="G765">
        <v>0</v>
      </c>
      <c r="H765">
        <v>0</v>
      </c>
      <c r="I765">
        <v>0</v>
      </c>
      <c r="J765">
        <v>0</v>
      </c>
      <c r="K765">
        <v>0</v>
      </c>
      <c r="L765" t="s">
        <v>10</v>
      </c>
    </row>
    <row r="766" spans="5:12" x14ac:dyDescent="0.3">
      <c r="E766">
        <v>55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 t="s">
        <v>10</v>
      </c>
    </row>
    <row r="767" spans="5:12" x14ac:dyDescent="0.3">
      <c r="E767">
        <v>76</v>
      </c>
      <c r="F767">
        <v>55</v>
      </c>
      <c r="G767">
        <v>0</v>
      </c>
      <c r="H767">
        <v>0</v>
      </c>
      <c r="I767">
        <v>0</v>
      </c>
      <c r="J767">
        <v>0</v>
      </c>
      <c r="K767">
        <v>0</v>
      </c>
      <c r="L767" t="s">
        <v>10</v>
      </c>
    </row>
    <row r="768" spans="5:12" x14ac:dyDescent="0.3">
      <c r="E768">
        <v>530</v>
      </c>
      <c r="F768">
        <v>135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10</v>
      </c>
    </row>
    <row r="769" spans="5:12" x14ac:dyDescent="0.3">
      <c r="E769">
        <v>0</v>
      </c>
      <c r="F769">
        <v>5</v>
      </c>
      <c r="G769">
        <v>0</v>
      </c>
      <c r="H769">
        <v>0</v>
      </c>
      <c r="I769">
        <v>0</v>
      </c>
      <c r="J769">
        <v>0</v>
      </c>
      <c r="K769">
        <v>0</v>
      </c>
      <c r="L769" t="s">
        <v>10</v>
      </c>
    </row>
    <row r="770" spans="5:12" x14ac:dyDescent="0.3"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s">
        <v>10</v>
      </c>
    </row>
    <row r="771" spans="5:12" x14ac:dyDescent="0.3"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t="s">
        <v>10</v>
      </c>
    </row>
    <row r="772" spans="5:12" x14ac:dyDescent="0.3">
      <c r="E772">
        <v>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10</v>
      </c>
    </row>
    <row r="773" spans="5:12" x14ac:dyDescent="0.3">
      <c r="E773">
        <v>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10</v>
      </c>
    </row>
    <row r="774" spans="5:12" x14ac:dyDescent="0.3">
      <c r="E774">
        <v>23</v>
      </c>
      <c r="F774">
        <v>5</v>
      </c>
      <c r="G774">
        <v>0</v>
      </c>
      <c r="H774">
        <v>0</v>
      </c>
      <c r="I774">
        <v>0</v>
      </c>
      <c r="J774">
        <v>0</v>
      </c>
      <c r="K774">
        <v>0</v>
      </c>
      <c r="L774" t="s">
        <v>10</v>
      </c>
    </row>
    <row r="775" spans="5:12" x14ac:dyDescent="0.3">
      <c r="E775">
        <v>135</v>
      </c>
      <c r="F775">
        <v>46</v>
      </c>
      <c r="G775">
        <v>0</v>
      </c>
      <c r="H775">
        <v>0</v>
      </c>
      <c r="I775">
        <v>0</v>
      </c>
      <c r="J775">
        <v>0</v>
      </c>
      <c r="K775">
        <v>0</v>
      </c>
      <c r="L775" t="s">
        <v>10</v>
      </c>
    </row>
    <row r="776" spans="5:12" x14ac:dyDescent="0.3"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 t="s">
        <v>10</v>
      </c>
    </row>
    <row r="777" spans="5:12" x14ac:dyDescent="0.3"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10</v>
      </c>
    </row>
    <row r="778" spans="5:12" x14ac:dyDescent="0.3">
      <c r="E778">
        <v>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 t="s">
        <v>10</v>
      </c>
    </row>
    <row r="779" spans="5:12" x14ac:dyDescent="0.3">
      <c r="E779">
        <v>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 t="s">
        <v>10</v>
      </c>
    </row>
    <row r="780" spans="5:12" x14ac:dyDescent="0.3">
      <c r="E780">
        <v>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10</v>
      </c>
    </row>
    <row r="781" spans="5:12" x14ac:dyDescent="0.3">
      <c r="E781">
        <v>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10</v>
      </c>
    </row>
    <row r="782" spans="5:12" x14ac:dyDescent="0.3">
      <c r="E782">
        <v>10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10</v>
      </c>
    </row>
    <row r="783" spans="5:12" x14ac:dyDescent="0.3">
      <c r="E783">
        <v>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 t="s">
        <v>10</v>
      </c>
    </row>
    <row r="784" spans="5:12" x14ac:dyDescent="0.3">
      <c r="E784">
        <v>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 t="s">
        <v>10</v>
      </c>
    </row>
    <row r="785" spans="5:12" x14ac:dyDescent="0.3">
      <c r="E785">
        <v>24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 t="s">
        <v>10</v>
      </c>
    </row>
    <row r="786" spans="5:12" x14ac:dyDescent="0.3">
      <c r="E786">
        <v>25</v>
      </c>
      <c r="F786">
        <v>30</v>
      </c>
      <c r="G786">
        <v>23</v>
      </c>
      <c r="H786">
        <v>22</v>
      </c>
      <c r="I786">
        <v>35</v>
      </c>
      <c r="J786">
        <v>135</v>
      </c>
      <c r="K786">
        <v>142</v>
      </c>
      <c r="L786" t="s">
        <v>10</v>
      </c>
    </row>
    <row r="787" spans="5:12" x14ac:dyDescent="0.3">
      <c r="E787">
        <v>40</v>
      </c>
      <c r="F787">
        <v>33</v>
      </c>
      <c r="G787">
        <v>45</v>
      </c>
      <c r="H787">
        <v>20</v>
      </c>
      <c r="I787">
        <v>15</v>
      </c>
      <c r="J787">
        <v>55</v>
      </c>
      <c r="K787">
        <v>46</v>
      </c>
      <c r="L787" t="s">
        <v>10</v>
      </c>
    </row>
    <row r="788" spans="5:12" x14ac:dyDescent="0.3">
      <c r="E788">
        <v>40</v>
      </c>
      <c r="F788">
        <v>32</v>
      </c>
      <c r="G788">
        <v>45</v>
      </c>
      <c r="H788">
        <v>13</v>
      </c>
      <c r="I788">
        <v>25</v>
      </c>
      <c r="J788">
        <v>66</v>
      </c>
      <c r="K788">
        <v>45</v>
      </c>
      <c r="L788" t="s">
        <v>10</v>
      </c>
    </row>
    <row r="789" spans="5:12" x14ac:dyDescent="0.3">
      <c r="E789">
        <v>45</v>
      </c>
      <c r="F789">
        <v>35</v>
      </c>
      <c r="G789">
        <v>30</v>
      </c>
      <c r="H789">
        <v>20</v>
      </c>
      <c r="I789">
        <v>15</v>
      </c>
      <c r="J789">
        <v>50</v>
      </c>
      <c r="K789">
        <v>45</v>
      </c>
      <c r="L789" t="s">
        <v>10</v>
      </c>
    </row>
    <row r="790" spans="5:12" x14ac:dyDescent="0.3">
      <c r="E790">
        <v>66</v>
      </c>
      <c r="F790">
        <v>35</v>
      </c>
      <c r="G790">
        <v>12</v>
      </c>
      <c r="H790">
        <v>15</v>
      </c>
      <c r="I790">
        <v>33</v>
      </c>
      <c r="J790">
        <v>50</v>
      </c>
      <c r="K790">
        <v>45</v>
      </c>
      <c r="L790" t="s">
        <v>10</v>
      </c>
    </row>
    <row r="791" spans="5:12" x14ac:dyDescent="0.3">
      <c r="E791">
        <v>68</v>
      </c>
      <c r="F791">
        <v>55</v>
      </c>
      <c r="G791">
        <v>20</v>
      </c>
      <c r="H791">
        <v>25</v>
      </c>
      <c r="I791">
        <v>30</v>
      </c>
      <c r="J791">
        <v>44</v>
      </c>
      <c r="K791">
        <v>10</v>
      </c>
      <c r="L791" t="s">
        <v>10</v>
      </c>
    </row>
    <row r="792" spans="5:12" x14ac:dyDescent="0.3">
      <c r="E792">
        <v>87</v>
      </c>
      <c r="F792">
        <v>65</v>
      </c>
      <c r="G792">
        <v>50</v>
      </c>
      <c r="H792">
        <v>67</v>
      </c>
      <c r="I792">
        <v>50</v>
      </c>
      <c r="J792">
        <v>35</v>
      </c>
      <c r="K792">
        <v>55</v>
      </c>
      <c r="L792" t="s">
        <v>10</v>
      </c>
    </row>
    <row r="793" spans="5:12" x14ac:dyDescent="0.3">
      <c r="E793">
        <v>135</v>
      </c>
      <c r="F793">
        <v>100</v>
      </c>
      <c r="G793">
        <v>87</v>
      </c>
      <c r="H793">
        <v>15</v>
      </c>
      <c r="I793">
        <v>57</v>
      </c>
      <c r="J793">
        <v>180</v>
      </c>
      <c r="K793">
        <v>167</v>
      </c>
      <c r="L793" t="s">
        <v>10</v>
      </c>
    </row>
    <row r="794" spans="5:12" x14ac:dyDescent="0.3">
      <c r="E794">
        <v>158</v>
      </c>
      <c r="F794">
        <v>113</v>
      </c>
      <c r="G794">
        <v>250</v>
      </c>
      <c r="H794">
        <v>0</v>
      </c>
      <c r="I794">
        <v>0</v>
      </c>
      <c r="J794">
        <v>0</v>
      </c>
      <c r="K794">
        <v>0</v>
      </c>
      <c r="L794" t="s">
        <v>10</v>
      </c>
    </row>
    <row r="795" spans="5:12" x14ac:dyDescent="0.3">
      <c r="E795">
        <v>180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10</v>
      </c>
    </row>
    <row r="796" spans="5:12" x14ac:dyDescent="0.3">
      <c r="E796">
        <v>189</v>
      </c>
      <c r="F796">
        <v>144</v>
      </c>
      <c r="G796">
        <v>64</v>
      </c>
      <c r="H796">
        <v>0</v>
      </c>
      <c r="I796">
        <v>87</v>
      </c>
      <c r="J796">
        <v>153</v>
      </c>
      <c r="K796">
        <v>145</v>
      </c>
      <c r="L796" t="s">
        <v>10</v>
      </c>
    </row>
    <row r="797" spans="5:12" x14ac:dyDescent="0.3">
      <c r="E797">
        <v>200</v>
      </c>
      <c r="F797">
        <v>45</v>
      </c>
      <c r="G797">
        <v>5</v>
      </c>
      <c r="H797">
        <v>0</v>
      </c>
      <c r="I797">
        <v>0</v>
      </c>
      <c r="J797">
        <v>0</v>
      </c>
      <c r="K797">
        <v>0</v>
      </c>
      <c r="L797" t="s">
        <v>10</v>
      </c>
    </row>
    <row r="798" spans="5:12" x14ac:dyDescent="0.3">
      <c r="E798">
        <v>230</v>
      </c>
      <c r="F798">
        <v>187</v>
      </c>
      <c r="G798">
        <v>135</v>
      </c>
      <c r="H798">
        <v>87</v>
      </c>
      <c r="I798">
        <v>53</v>
      </c>
      <c r="J798">
        <v>235</v>
      </c>
      <c r="K798">
        <v>200</v>
      </c>
      <c r="L798" t="s">
        <v>10</v>
      </c>
    </row>
    <row r="799" spans="5:12" x14ac:dyDescent="0.3">
      <c r="E799">
        <v>230</v>
      </c>
      <c r="F799">
        <v>185</v>
      </c>
      <c r="G799">
        <v>74</v>
      </c>
      <c r="H799">
        <v>67</v>
      </c>
      <c r="I799">
        <v>55</v>
      </c>
      <c r="J799">
        <v>80</v>
      </c>
      <c r="K799">
        <v>250</v>
      </c>
      <c r="L799" t="s">
        <v>10</v>
      </c>
    </row>
    <row r="800" spans="5:12" x14ac:dyDescent="0.3">
      <c r="E800">
        <v>342</v>
      </c>
      <c r="F800">
        <v>280</v>
      </c>
      <c r="G800">
        <v>133</v>
      </c>
      <c r="H800">
        <v>200</v>
      </c>
      <c r="I800">
        <v>187</v>
      </c>
      <c r="J800">
        <v>850</v>
      </c>
      <c r="K800">
        <v>345</v>
      </c>
      <c r="L800" t="s">
        <v>10</v>
      </c>
    </row>
    <row r="801" spans="5:12" x14ac:dyDescent="0.3">
      <c r="E801">
        <v>360</v>
      </c>
      <c r="F801">
        <v>245</v>
      </c>
      <c r="G801">
        <v>133</v>
      </c>
      <c r="H801">
        <v>88</v>
      </c>
      <c r="I801">
        <v>10</v>
      </c>
      <c r="J801">
        <v>0</v>
      </c>
      <c r="K801">
        <v>0</v>
      </c>
      <c r="L801" t="s">
        <v>10</v>
      </c>
    </row>
    <row r="802" spans="5:12" x14ac:dyDescent="0.3">
      <c r="E802">
        <v>433</v>
      </c>
      <c r="F802">
        <v>350</v>
      </c>
      <c r="G802">
        <v>235</v>
      </c>
      <c r="H802">
        <v>170</v>
      </c>
      <c r="I802">
        <v>55</v>
      </c>
      <c r="J802">
        <v>135</v>
      </c>
      <c r="K802">
        <v>120</v>
      </c>
      <c r="L802" t="s">
        <v>10</v>
      </c>
    </row>
    <row r="803" spans="5:12" x14ac:dyDescent="0.3">
      <c r="E803">
        <v>444</v>
      </c>
      <c r="F803">
        <v>294</v>
      </c>
      <c r="G803">
        <v>180</v>
      </c>
      <c r="H803">
        <v>222</v>
      </c>
      <c r="I803">
        <v>493</v>
      </c>
      <c r="J803">
        <v>450</v>
      </c>
      <c r="K803">
        <v>0</v>
      </c>
      <c r="L803" t="s">
        <v>10</v>
      </c>
    </row>
    <row r="804" spans="5:12" x14ac:dyDescent="0.3">
      <c r="E804">
        <v>450</v>
      </c>
      <c r="F804">
        <v>300</v>
      </c>
      <c r="G804">
        <v>230</v>
      </c>
      <c r="H804">
        <v>200</v>
      </c>
      <c r="I804">
        <v>225</v>
      </c>
      <c r="J804">
        <v>705</v>
      </c>
      <c r="K804">
        <v>680</v>
      </c>
      <c r="L804" t="s">
        <v>10</v>
      </c>
    </row>
    <row r="805" spans="5:12" x14ac:dyDescent="0.3">
      <c r="E805">
        <v>530</v>
      </c>
      <c r="F805">
        <v>480</v>
      </c>
      <c r="G805">
        <v>257</v>
      </c>
      <c r="H805">
        <v>200</v>
      </c>
      <c r="I805">
        <v>230</v>
      </c>
      <c r="J805">
        <v>580</v>
      </c>
      <c r="K805">
        <v>578</v>
      </c>
      <c r="L805" t="s">
        <v>10</v>
      </c>
    </row>
    <row r="806" spans="5:12" x14ac:dyDescent="0.3">
      <c r="E806">
        <v>860</v>
      </c>
      <c r="F806">
        <v>744</v>
      </c>
      <c r="G806">
        <v>343</v>
      </c>
      <c r="H806">
        <v>320</v>
      </c>
      <c r="I806">
        <v>287</v>
      </c>
      <c r="J806">
        <v>680</v>
      </c>
      <c r="K806">
        <v>623</v>
      </c>
      <c r="L806" t="s">
        <v>10</v>
      </c>
    </row>
    <row r="807" spans="5:12" x14ac:dyDescent="0.3">
      <c r="E807">
        <v>890</v>
      </c>
      <c r="F807">
        <v>765</v>
      </c>
      <c r="G807">
        <v>521</v>
      </c>
      <c r="H807">
        <v>220</v>
      </c>
      <c r="I807">
        <v>349</v>
      </c>
      <c r="J807">
        <v>1385</v>
      </c>
      <c r="K807">
        <v>1290</v>
      </c>
      <c r="L807" t="s">
        <v>10</v>
      </c>
    </row>
    <row r="808" spans="5:12" x14ac:dyDescent="0.3">
      <c r="E808">
        <v>1300</v>
      </c>
      <c r="F808">
        <v>1250</v>
      </c>
      <c r="G808">
        <v>800</v>
      </c>
      <c r="H808">
        <v>750</v>
      </c>
      <c r="I808">
        <v>1200</v>
      </c>
      <c r="J808">
        <v>2050</v>
      </c>
      <c r="K808">
        <v>1980</v>
      </c>
      <c r="L808" t="s">
        <v>10</v>
      </c>
    </row>
    <row r="809" spans="5:12" x14ac:dyDescent="0.3">
      <c r="E809">
        <v>1350</v>
      </c>
      <c r="F809">
        <v>1200</v>
      </c>
      <c r="G809">
        <v>567</v>
      </c>
      <c r="H809">
        <v>200</v>
      </c>
      <c r="I809">
        <v>540</v>
      </c>
      <c r="J809">
        <v>1250</v>
      </c>
      <c r="K809">
        <v>890</v>
      </c>
      <c r="L809" t="s">
        <v>10</v>
      </c>
    </row>
    <row r="810" spans="5:12" x14ac:dyDescent="0.3">
      <c r="E810">
        <v>1450</v>
      </c>
      <c r="F810">
        <v>834</v>
      </c>
      <c r="G810">
        <v>620</v>
      </c>
      <c r="H810">
        <v>348</v>
      </c>
      <c r="I810">
        <v>930</v>
      </c>
      <c r="J810">
        <v>870</v>
      </c>
      <c r="K810">
        <v>850</v>
      </c>
      <c r="L810" t="s">
        <v>10</v>
      </c>
    </row>
    <row r="811" spans="5:12" x14ac:dyDescent="0.3">
      <c r="E811">
        <v>1578</v>
      </c>
      <c r="F811">
        <v>1450</v>
      </c>
      <c r="G811">
        <v>1135</v>
      </c>
      <c r="H811">
        <v>957</v>
      </c>
      <c r="I811">
        <v>2300</v>
      </c>
      <c r="J811">
        <v>2780</v>
      </c>
      <c r="K811">
        <v>2800</v>
      </c>
      <c r="L811" t="s">
        <v>10</v>
      </c>
    </row>
    <row r="812" spans="5:12" x14ac:dyDescent="0.3">
      <c r="E812">
        <v>7</v>
      </c>
      <c r="F812">
        <v>25</v>
      </c>
      <c r="G812">
        <v>25</v>
      </c>
      <c r="H812">
        <v>0</v>
      </c>
      <c r="I812">
        <v>0</v>
      </c>
      <c r="J812">
        <v>0</v>
      </c>
      <c r="K812">
        <v>0</v>
      </c>
      <c r="L812" t="s">
        <v>97</v>
      </c>
    </row>
    <row r="813" spans="5:12" x14ac:dyDescent="0.3">
      <c r="E813">
        <v>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97</v>
      </c>
    </row>
    <row r="814" spans="5:12" x14ac:dyDescent="0.3">
      <c r="E814">
        <v>18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97</v>
      </c>
    </row>
    <row r="815" spans="5:12" x14ac:dyDescent="0.3">
      <c r="E815">
        <v>24</v>
      </c>
      <c r="F815">
        <v>21</v>
      </c>
      <c r="G815">
        <v>3</v>
      </c>
      <c r="H815">
        <v>0</v>
      </c>
      <c r="I815">
        <v>0</v>
      </c>
      <c r="J815">
        <v>0</v>
      </c>
      <c r="K815">
        <v>0</v>
      </c>
      <c r="L815" t="s">
        <v>97</v>
      </c>
    </row>
    <row r="816" spans="5:12" x14ac:dyDescent="0.3">
      <c r="E816">
        <v>35</v>
      </c>
      <c r="F816">
        <v>85</v>
      </c>
      <c r="G816">
        <v>5</v>
      </c>
      <c r="H816">
        <v>0</v>
      </c>
      <c r="I816">
        <v>0</v>
      </c>
      <c r="J816">
        <v>0</v>
      </c>
      <c r="K816">
        <v>0</v>
      </c>
      <c r="L816" t="s">
        <v>97</v>
      </c>
    </row>
    <row r="817" spans="5:12" x14ac:dyDescent="0.3">
      <c r="E817">
        <v>35</v>
      </c>
      <c r="F817">
        <v>35</v>
      </c>
      <c r="G817">
        <v>5</v>
      </c>
      <c r="H817">
        <v>0</v>
      </c>
      <c r="I817">
        <v>0</v>
      </c>
      <c r="J817">
        <v>0</v>
      </c>
      <c r="K817">
        <v>0</v>
      </c>
      <c r="L817" t="s">
        <v>97</v>
      </c>
    </row>
    <row r="818" spans="5:12" x14ac:dyDescent="0.3">
      <c r="E818">
        <v>54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97</v>
      </c>
    </row>
    <row r="819" spans="5:12" x14ac:dyDescent="0.3">
      <c r="E819">
        <v>55</v>
      </c>
      <c r="F819">
        <v>35</v>
      </c>
      <c r="G819">
        <v>7</v>
      </c>
      <c r="H819">
        <v>0</v>
      </c>
      <c r="I819">
        <v>0</v>
      </c>
      <c r="J819">
        <v>0</v>
      </c>
      <c r="K819">
        <v>0</v>
      </c>
      <c r="L819" t="s">
        <v>97</v>
      </c>
    </row>
    <row r="820" spans="5:12" x14ac:dyDescent="0.3">
      <c r="E820">
        <v>60</v>
      </c>
      <c r="F820">
        <v>5</v>
      </c>
      <c r="G820">
        <v>1</v>
      </c>
      <c r="H820">
        <v>0</v>
      </c>
      <c r="I820">
        <v>0</v>
      </c>
      <c r="J820">
        <v>0</v>
      </c>
      <c r="K820">
        <v>0</v>
      </c>
      <c r="L820" t="s">
        <v>97</v>
      </c>
    </row>
    <row r="821" spans="5:12" x14ac:dyDescent="0.3">
      <c r="E821">
        <v>70</v>
      </c>
      <c r="F821">
        <v>7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97</v>
      </c>
    </row>
    <row r="822" spans="5:12" x14ac:dyDescent="0.3">
      <c r="E822">
        <v>79</v>
      </c>
      <c r="F822">
        <v>29</v>
      </c>
      <c r="G822">
        <v>0</v>
      </c>
      <c r="H822">
        <v>0</v>
      </c>
      <c r="I822">
        <v>0</v>
      </c>
      <c r="J822">
        <v>0</v>
      </c>
      <c r="K822">
        <v>0</v>
      </c>
      <c r="L822" t="s">
        <v>97</v>
      </c>
    </row>
    <row r="823" spans="5:12" x14ac:dyDescent="0.3">
      <c r="E823">
        <v>82</v>
      </c>
      <c r="F823">
        <v>33</v>
      </c>
      <c r="G823">
        <v>20</v>
      </c>
      <c r="H823">
        <v>0</v>
      </c>
      <c r="I823">
        <v>0</v>
      </c>
      <c r="J823">
        <v>0</v>
      </c>
      <c r="K823">
        <v>0</v>
      </c>
      <c r="L823" t="s">
        <v>97</v>
      </c>
    </row>
    <row r="824" spans="5:12" x14ac:dyDescent="0.3">
      <c r="E824">
        <v>90</v>
      </c>
      <c r="F824">
        <v>35</v>
      </c>
      <c r="G824">
        <v>15</v>
      </c>
      <c r="H824">
        <v>0</v>
      </c>
      <c r="I824">
        <v>0</v>
      </c>
      <c r="J824">
        <v>0</v>
      </c>
      <c r="K824">
        <v>0</v>
      </c>
      <c r="L824" t="s">
        <v>97</v>
      </c>
    </row>
    <row r="825" spans="5:12" x14ac:dyDescent="0.3">
      <c r="E825">
        <v>103</v>
      </c>
      <c r="F825">
        <v>77</v>
      </c>
      <c r="G825">
        <v>4</v>
      </c>
      <c r="H825">
        <v>0</v>
      </c>
      <c r="I825">
        <v>0</v>
      </c>
      <c r="J825">
        <v>0</v>
      </c>
      <c r="K825">
        <v>0</v>
      </c>
      <c r="L825" t="s">
        <v>97</v>
      </c>
    </row>
    <row r="826" spans="5:12" x14ac:dyDescent="0.3">
      <c r="E826">
        <v>109</v>
      </c>
      <c r="F826">
        <v>102</v>
      </c>
      <c r="G826">
        <v>32</v>
      </c>
      <c r="H826">
        <v>0</v>
      </c>
      <c r="I826">
        <v>0</v>
      </c>
      <c r="J826">
        <v>0</v>
      </c>
      <c r="K826">
        <v>0</v>
      </c>
      <c r="L826" t="s">
        <v>97</v>
      </c>
    </row>
    <row r="827" spans="5:12" x14ac:dyDescent="0.3">
      <c r="E827">
        <v>122</v>
      </c>
      <c r="F827">
        <v>91</v>
      </c>
      <c r="G827">
        <v>3</v>
      </c>
      <c r="H827">
        <v>0</v>
      </c>
      <c r="I827">
        <v>0</v>
      </c>
      <c r="J827">
        <v>0</v>
      </c>
      <c r="K827">
        <v>0</v>
      </c>
      <c r="L827" t="s">
        <v>97</v>
      </c>
    </row>
    <row r="828" spans="5:12" x14ac:dyDescent="0.3">
      <c r="E828">
        <v>130</v>
      </c>
      <c r="F828">
        <v>77</v>
      </c>
      <c r="G828">
        <v>12</v>
      </c>
      <c r="H828">
        <v>0</v>
      </c>
      <c r="I828">
        <v>0</v>
      </c>
      <c r="J828">
        <v>0</v>
      </c>
      <c r="K828">
        <v>0</v>
      </c>
      <c r="L828" t="s">
        <v>97</v>
      </c>
    </row>
    <row r="829" spans="5:12" x14ac:dyDescent="0.3">
      <c r="E829">
        <v>133</v>
      </c>
      <c r="F829">
        <v>93</v>
      </c>
      <c r="G829">
        <v>8</v>
      </c>
      <c r="H829">
        <v>0</v>
      </c>
      <c r="I829">
        <v>0</v>
      </c>
      <c r="J829">
        <v>0</v>
      </c>
      <c r="K829">
        <v>0</v>
      </c>
      <c r="L829" t="s">
        <v>97</v>
      </c>
    </row>
    <row r="830" spans="5:12" x14ac:dyDescent="0.3">
      <c r="E830">
        <v>134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 t="s">
        <v>97</v>
      </c>
    </row>
    <row r="831" spans="5:12" x14ac:dyDescent="0.3">
      <c r="E831">
        <v>135</v>
      </c>
      <c r="F831">
        <v>65</v>
      </c>
      <c r="G831">
        <v>7</v>
      </c>
      <c r="H831">
        <v>0</v>
      </c>
      <c r="I831">
        <v>0</v>
      </c>
      <c r="J831">
        <v>0</v>
      </c>
      <c r="K831">
        <v>0</v>
      </c>
      <c r="L831" t="s">
        <v>97</v>
      </c>
    </row>
    <row r="832" spans="5:12" x14ac:dyDescent="0.3">
      <c r="E832">
        <v>147</v>
      </c>
      <c r="F832">
        <v>110</v>
      </c>
      <c r="G832">
        <v>17</v>
      </c>
      <c r="H832">
        <v>0</v>
      </c>
      <c r="I832">
        <v>0</v>
      </c>
      <c r="J832">
        <v>0</v>
      </c>
      <c r="K832">
        <v>0</v>
      </c>
      <c r="L832" t="s">
        <v>97</v>
      </c>
    </row>
    <row r="833" spans="5:12" x14ac:dyDescent="0.3">
      <c r="E833">
        <v>150</v>
      </c>
      <c r="F833">
        <v>50</v>
      </c>
      <c r="G833">
        <v>4</v>
      </c>
      <c r="H833">
        <v>0</v>
      </c>
      <c r="I833">
        <v>0</v>
      </c>
      <c r="J833">
        <v>0</v>
      </c>
      <c r="K833">
        <v>0</v>
      </c>
      <c r="L833" t="s">
        <v>97</v>
      </c>
    </row>
    <row r="834" spans="5:12" x14ac:dyDescent="0.3">
      <c r="E834">
        <v>153</v>
      </c>
      <c r="F834">
        <v>93</v>
      </c>
      <c r="G834">
        <v>50</v>
      </c>
      <c r="H834">
        <v>0</v>
      </c>
      <c r="I834">
        <v>0</v>
      </c>
      <c r="J834">
        <v>0</v>
      </c>
      <c r="K834">
        <v>0</v>
      </c>
      <c r="L834" t="s">
        <v>97</v>
      </c>
    </row>
    <row r="835" spans="5:12" x14ac:dyDescent="0.3">
      <c r="E835">
        <v>173</v>
      </c>
      <c r="F835">
        <v>91</v>
      </c>
      <c r="G835">
        <v>75</v>
      </c>
      <c r="H835">
        <v>0</v>
      </c>
      <c r="I835">
        <v>0</v>
      </c>
      <c r="J835">
        <v>0</v>
      </c>
      <c r="K835">
        <v>0</v>
      </c>
      <c r="L835" t="s">
        <v>97</v>
      </c>
    </row>
    <row r="836" spans="5:12" x14ac:dyDescent="0.3">
      <c r="E836">
        <v>194</v>
      </c>
      <c r="F836">
        <v>102</v>
      </c>
      <c r="G836">
        <v>2</v>
      </c>
      <c r="H836">
        <v>0</v>
      </c>
      <c r="I836">
        <v>0</v>
      </c>
      <c r="J836">
        <v>0</v>
      </c>
      <c r="K836">
        <v>0</v>
      </c>
      <c r="L836" t="s">
        <v>97</v>
      </c>
    </row>
    <row r="837" spans="5:12" x14ac:dyDescent="0.3">
      <c r="E837">
        <v>208</v>
      </c>
      <c r="F837">
        <v>83</v>
      </c>
      <c r="G837">
        <v>20</v>
      </c>
      <c r="H837">
        <v>0</v>
      </c>
      <c r="I837">
        <v>0</v>
      </c>
      <c r="J837">
        <v>0</v>
      </c>
      <c r="K837">
        <v>0</v>
      </c>
      <c r="L837" t="s">
        <v>97</v>
      </c>
    </row>
    <row r="838" spans="5:12" x14ac:dyDescent="0.3">
      <c r="E838">
        <v>210</v>
      </c>
      <c r="F838">
        <v>172</v>
      </c>
      <c r="G838">
        <v>25</v>
      </c>
      <c r="H838">
        <v>0</v>
      </c>
      <c r="I838">
        <v>0</v>
      </c>
      <c r="J838">
        <v>0</v>
      </c>
      <c r="K838">
        <v>0</v>
      </c>
      <c r="L838" t="s">
        <v>97</v>
      </c>
    </row>
    <row r="839" spans="5:12" x14ac:dyDescent="0.3">
      <c r="E839">
        <v>235</v>
      </c>
      <c r="F839">
        <v>55</v>
      </c>
      <c r="G839">
        <v>39</v>
      </c>
      <c r="H839">
        <v>0</v>
      </c>
      <c r="I839">
        <v>0</v>
      </c>
      <c r="J839">
        <v>0</v>
      </c>
      <c r="K839">
        <v>0</v>
      </c>
      <c r="L839" t="s">
        <v>97</v>
      </c>
    </row>
    <row r="840" spans="5:12" x14ac:dyDescent="0.3">
      <c r="E840">
        <v>235</v>
      </c>
      <c r="F840">
        <v>160</v>
      </c>
      <c r="G840">
        <v>23</v>
      </c>
      <c r="H840">
        <v>0</v>
      </c>
      <c r="I840">
        <v>0</v>
      </c>
      <c r="J840">
        <v>0</v>
      </c>
      <c r="K840">
        <v>0</v>
      </c>
      <c r="L840" t="s">
        <v>97</v>
      </c>
    </row>
    <row r="841" spans="5:12" x14ac:dyDescent="0.3">
      <c r="E841">
        <v>240</v>
      </c>
      <c r="F841">
        <v>170</v>
      </c>
      <c r="G841">
        <v>15</v>
      </c>
      <c r="H841">
        <v>0</v>
      </c>
      <c r="I841">
        <v>0</v>
      </c>
      <c r="J841">
        <v>0</v>
      </c>
      <c r="K841">
        <v>0</v>
      </c>
      <c r="L841" t="s">
        <v>97</v>
      </c>
    </row>
    <row r="842" spans="5:12" x14ac:dyDescent="0.3">
      <c r="E842">
        <v>289</v>
      </c>
      <c r="F842">
        <v>193</v>
      </c>
      <c r="G842">
        <v>205</v>
      </c>
      <c r="H842">
        <v>0</v>
      </c>
      <c r="I842">
        <v>0</v>
      </c>
      <c r="J842">
        <v>0</v>
      </c>
      <c r="K842">
        <v>0</v>
      </c>
      <c r="L842" t="s">
        <v>97</v>
      </c>
    </row>
    <row r="843" spans="5:12" x14ac:dyDescent="0.3">
      <c r="E843">
        <v>312</v>
      </c>
      <c r="F843">
        <v>108</v>
      </c>
      <c r="G843">
        <v>30</v>
      </c>
      <c r="H843">
        <v>0</v>
      </c>
      <c r="I843">
        <v>0</v>
      </c>
      <c r="J843">
        <v>0</v>
      </c>
      <c r="K843">
        <v>0</v>
      </c>
      <c r="L843" t="s">
        <v>97</v>
      </c>
    </row>
    <row r="844" spans="5:12" x14ac:dyDescent="0.3">
      <c r="E844">
        <v>430</v>
      </c>
      <c r="F844">
        <v>223</v>
      </c>
      <c r="G844">
        <v>157</v>
      </c>
      <c r="H844">
        <v>0</v>
      </c>
      <c r="I844">
        <v>0</v>
      </c>
      <c r="J844">
        <v>0</v>
      </c>
      <c r="K844">
        <v>0</v>
      </c>
      <c r="L844" t="s">
        <v>97</v>
      </c>
    </row>
    <row r="845" spans="5:12" x14ac:dyDescent="0.3">
      <c r="E845">
        <v>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10</v>
      </c>
    </row>
  </sheetData>
  <sortState xmlns:xlrd2="http://schemas.microsoft.com/office/spreadsheetml/2017/richdata2" ref="A2:H203">
    <sortCondition ref="H1:H203"/>
  </sortState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DD22-23CE-4A9C-A610-B1D98818EEC1}">
  <dimension ref="A1:X207"/>
  <sheetViews>
    <sheetView zoomScale="55" zoomScaleNormal="55" workbookViewId="0">
      <selection activeCell="C43" sqref="C43"/>
    </sheetView>
  </sheetViews>
  <sheetFormatPr defaultRowHeight="14.4" x14ac:dyDescent="0.3"/>
  <cols>
    <col min="1" max="1" width="12.109375" customWidth="1"/>
    <col min="2" max="2" width="28.88671875" customWidth="1"/>
    <col min="3" max="3" width="21.33203125" customWidth="1"/>
    <col min="4" max="4" width="19.88671875" style="3" customWidth="1"/>
    <col min="5" max="5" width="15.6640625" style="3" customWidth="1"/>
    <col min="6" max="6" width="21.44140625" style="3" customWidth="1"/>
    <col min="7" max="7" width="14.109375" style="3" customWidth="1"/>
    <col min="8" max="8" width="14.77734375" style="8" customWidth="1"/>
    <col min="9" max="9" width="15.109375" style="8" customWidth="1"/>
    <col min="10" max="10" width="14.77734375" style="8" customWidth="1"/>
    <col min="11" max="11" width="15.5546875" style="8" customWidth="1"/>
    <col min="12" max="13" width="15.21875" style="8" customWidth="1"/>
    <col min="14" max="14" width="15" style="8" customWidth="1"/>
    <col min="15" max="15" width="15.109375" style="8" customWidth="1"/>
    <col min="16" max="16" width="14.77734375" style="8" customWidth="1"/>
    <col min="17" max="17" width="15.109375" style="8" customWidth="1"/>
    <col min="18" max="18" width="14.77734375" style="8" customWidth="1"/>
    <col min="19" max="19" width="15.109375" style="8" customWidth="1"/>
    <col min="20" max="20" width="15.6640625" style="8" customWidth="1"/>
    <col min="21" max="21" width="15.109375" style="8" customWidth="1"/>
    <col min="22" max="22" width="25.77734375" style="8" customWidth="1"/>
    <col min="23" max="23" width="17.88671875" style="3" customWidth="1"/>
    <col min="24" max="24" width="24.33203125" customWidth="1"/>
    <col min="25" max="25" width="31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288</v>
      </c>
      <c r="E1" t="s">
        <v>325</v>
      </c>
      <c r="F1" t="s">
        <v>287</v>
      </c>
      <c r="G1" t="s">
        <v>246</v>
      </c>
      <c r="H1" t="s">
        <v>311</v>
      </c>
      <c r="I1" t="s">
        <v>317</v>
      </c>
      <c r="J1" t="s">
        <v>312</v>
      </c>
      <c r="K1" t="s">
        <v>318</v>
      </c>
      <c r="L1" t="s">
        <v>313</v>
      </c>
      <c r="M1" t="s">
        <v>319</v>
      </c>
      <c r="N1" t="s">
        <v>314</v>
      </c>
      <c r="O1" t="s">
        <v>320</v>
      </c>
      <c r="P1" t="s">
        <v>315</v>
      </c>
      <c r="Q1" t="s">
        <v>321</v>
      </c>
      <c r="R1" t="s">
        <v>316</v>
      </c>
      <c r="S1" t="s">
        <v>322</v>
      </c>
      <c r="T1" t="s">
        <v>310</v>
      </c>
      <c r="U1" t="s">
        <v>323</v>
      </c>
      <c r="V1" t="s">
        <v>309</v>
      </c>
      <c r="W1" t="s">
        <v>5</v>
      </c>
      <c r="X1" t="s">
        <v>324</v>
      </c>
    </row>
    <row r="2" spans="1:24" x14ac:dyDescent="0.3">
      <c r="A2" t="s">
        <v>82</v>
      </c>
      <c r="B2" t="s">
        <v>83</v>
      </c>
      <c r="C2" t="s">
        <v>9</v>
      </c>
      <c r="D2">
        <v>40</v>
      </c>
      <c r="E2">
        <v>112</v>
      </c>
      <c r="F2">
        <v>220</v>
      </c>
      <c r="G2">
        <v>108</v>
      </c>
      <c r="H2">
        <v>0</v>
      </c>
      <c r="I2">
        <v>0</v>
      </c>
      <c r="J2">
        <v>1</v>
      </c>
      <c r="K2">
        <v>220</v>
      </c>
      <c r="L2">
        <v>0</v>
      </c>
      <c r="M2">
        <v>0</v>
      </c>
      <c r="N2">
        <v>1</v>
      </c>
      <c r="O2">
        <v>108</v>
      </c>
      <c r="P2">
        <v>38</v>
      </c>
      <c r="Q2">
        <v>4104</v>
      </c>
      <c r="R2">
        <v>0</v>
      </c>
      <c r="S2">
        <v>0</v>
      </c>
      <c r="T2">
        <v>0</v>
      </c>
      <c r="U2">
        <v>0</v>
      </c>
      <c r="V2">
        <v>40</v>
      </c>
      <c r="W2" t="s">
        <v>10</v>
      </c>
      <c r="X2">
        <v>98</v>
      </c>
    </row>
    <row r="3" spans="1:24" x14ac:dyDescent="0.3">
      <c r="A3" t="s">
        <v>86</v>
      </c>
      <c r="B3" t="s">
        <v>87</v>
      </c>
      <c r="C3" t="s">
        <v>9</v>
      </c>
      <c r="D3">
        <v>60</v>
      </c>
      <c r="E3">
        <v>168</v>
      </c>
      <c r="F3">
        <v>579</v>
      </c>
      <c r="G3">
        <v>411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</v>
      </c>
      <c r="Q3">
        <v>4932</v>
      </c>
      <c r="R3">
        <v>0</v>
      </c>
      <c r="S3">
        <v>0</v>
      </c>
      <c r="T3">
        <v>0</v>
      </c>
      <c r="U3">
        <v>0</v>
      </c>
      <c r="V3">
        <v>12</v>
      </c>
      <c r="W3" t="s">
        <v>10</v>
      </c>
      <c r="X3">
        <v>96</v>
      </c>
    </row>
    <row r="4" spans="1:24" x14ac:dyDescent="0.3">
      <c r="A4" t="s">
        <v>90</v>
      </c>
      <c r="B4" t="s">
        <v>91</v>
      </c>
      <c r="C4" t="s">
        <v>9</v>
      </c>
      <c r="D4">
        <v>47</v>
      </c>
      <c r="E4">
        <v>131.6</v>
      </c>
      <c r="F4">
        <v>315</v>
      </c>
      <c r="G4">
        <v>183.4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183.4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 t="s">
        <v>10</v>
      </c>
      <c r="X4">
        <v>93</v>
      </c>
    </row>
    <row r="5" spans="1:24" x14ac:dyDescent="0.3">
      <c r="A5" t="s">
        <v>98</v>
      </c>
      <c r="B5" t="s">
        <v>95</v>
      </c>
      <c r="C5" t="s">
        <v>9</v>
      </c>
      <c r="D5">
        <v>14</v>
      </c>
      <c r="E5">
        <v>39.199999999999996</v>
      </c>
      <c r="F5">
        <v>30</v>
      </c>
      <c r="G5">
        <v>-9.1999999999999957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97</v>
      </c>
      <c r="X5">
        <v>93</v>
      </c>
    </row>
    <row r="6" spans="1:24" x14ac:dyDescent="0.3">
      <c r="A6" t="s">
        <v>100</v>
      </c>
      <c r="B6" t="s">
        <v>95</v>
      </c>
      <c r="C6" t="s">
        <v>9</v>
      </c>
      <c r="D6">
        <v>17</v>
      </c>
      <c r="E6">
        <v>47.599999999999994</v>
      </c>
      <c r="F6">
        <v>38</v>
      </c>
      <c r="G6">
        <v>-9.5999999999999943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97</v>
      </c>
      <c r="X6">
        <v>99</v>
      </c>
    </row>
    <row r="7" spans="1:24" x14ac:dyDescent="0.3">
      <c r="A7" t="s">
        <v>84</v>
      </c>
      <c r="B7" t="s">
        <v>85</v>
      </c>
      <c r="C7" t="s">
        <v>9</v>
      </c>
      <c r="D7">
        <v>47</v>
      </c>
      <c r="E7">
        <v>131.6</v>
      </c>
      <c r="F7">
        <v>340</v>
      </c>
      <c r="G7">
        <v>208.4</v>
      </c>
      <c r="H7">
        <v>2</v>
      </c>
      <c r="I7">
        <v>416.8</v>
      </c>
      <c r="J7">
        <v>34</v>
      </c>
      <c r="K7">
        <v>11296.8</v>
      </c>
      <c r="L7">
        <v>36</v>
      </c>
      <c r="M7">
        <v>7502.4000000000005</v>
      </c>
      <c r="N7">
        <v>2</v>
      </c>
      <c r="O7">
        <v>416.8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74</v>
      </c>
      <c r="W7" t="s">
        <v>10</v>
      </c>
      <c r="X7">
        <v>92</v>
      </c>
    </row>
    <row r="8" spans="1:24" x14ac:dyDescent="0.3">
      <c r="A8" t="s">
        <v>88</v>
      </c>
      <c r="B8" t="s">
        <v>89</v>
      </c>
      <c r="C8" t="s">
        <v>9</v>
      </c>
      <c r="D8">
        <v>40</v>
      </c>
      <c r="E8">
        <v>112</v>
      </c>
      <c r="F8">
        <v>250</v>
      </c>
      <c r="G8">
        <v>138</v>
      </c>
      <c r="H8">
        <v>5</v>
      </c>
      <c r="I8">
        <v>690</v>
      </c>
      <c r="J8">
        <v>0</v>
      </c>
      <c r="K8">
        <v>-560</v>
      </c>
      <c r="L8">
        <v>0</v>
      </c>
      <c r="M8">
        <v>0</v>
      </c>
      <c r="N8">
        <v>2</v>
      </c>
      <c r="O8">
        <v>276</v>
      </c>
      <c r="P8">
        <v>52</v>
      </c>
      <c r="Q8">
        <v>7176</v>
      </c>
      <c r="R8">
        <v>0</v>
      </c>
      <c r="S8">
        <v>0</v>
      </c>
      <c r="T8">
        <v>0</v>
      </c>
      <c r="U8">
        <v>0</v>
      </c>
      <c r="V8">
        <v>59</v>
      </c>
      <c r="W8" t="s">
        <v>10</v>
      </c>
      <c r="X8">
        <v>95</v>
      </c>
    </row>
    <row r="9" spans="1:24" x14ac:dyDescent="0.3">
      <c r="A9" t="s">
        <v>181</v>
      </c>
      <c r="B9" t="s">
        <v>170</v>
      </c>
      <c r="C9" t="s">
        <v>9</v>
      </c>
      <c r="D9">
        <v>5</v>
      </c>
      <c r="E9">
        <v>14</v>
      </c>
      <c r="F9">
        <v>100</v>
      </c>
      <c r="G9">
        <v>86</v>
      </c>
      <c r="H9">
        <v>5</v>
      </c>
      <c r="I9">
        <v>430</v>
      </c>
      <c r="J9">
        <v>7</v>
      </c>
      <c r="K9">
        <v>630</v>
      </c>
      <c r="L9">
        <v>3</v>
      </c>
      <c r="M9">
        <v>258</v>
      </c>
      <c r="N9">
        <v>8</v>
      </c>
      <c r="O9">
        <v>688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23</v>
      </c>
      <c r="W9" t="s">
        <v>144</v>
      </c>
      <c r="X9">
        <v>91</v>
      </c>
    </row>
    <row r="10" spans="1:24" x14ac:dyDescent="0.3">
      <c r="A10" t="s">
        <v>92</v>
      </c>
      <c r="B10" t="s">
        <v>93</v>
      </c>
      <c r="C10" t="s">
        <v>9</v>
      </c>
      <c r="D10">
        <v>55</v>
      </c>
      <c r="E10">
        <v>154</v>
      </c>
      <c r="F10">
        <v>450</v>
      </c>
      <c r="G10">
        <v>296</v>
      </c>
      <c r="H10">
        <v>7</v>
      </c>
      <c r="I10">
        <v>2072</v>
      </c>
      <c r="J10">
        <v>2</v>
      </c>
      <c r="K10">
        <v>-178</v>
      </c>
      <c r="L10">
        <v>3</v>
      </c>
      <c r="M10">
        <v>888</v>
      </c>
      <c r="N10">
        <v>1</v>
      </c>
      <c r="O10">
        <v>296</v>
      </c>
      <c r="P10">
        <v>8</v>
      </c>
      <c r="Q10">
        <v>2368</v>
      </c>
      <c r="R10">
        <v>0</v>
      </c>
      <c r="S10">
        <v>0</v>
      </c>
      <c r="T10">
        <v>0</v>
      </c>
      <c r="U10">
        <v>0</v>
      </c>
      <c r="V10">
        <v>21</v>
      </c>
      <c r="W10" t="s">
        <v>10</v>
      </c>
      <c r="X10">
        <v>95</v>
      </c>
    </row>
    <row r="11" spans="1:24" x14ac:dyDescent="0.3">
      <c r="A11" t="s">
        <v>76</v>
      </c>
      <c r="B11" t="s">
        <v>59</v>
      </c>
      <c r="C11" t="s">
        <v>9</v>
      </c>
      <c r="D11">
        <v>6</v>
      </c>
      <c r="E11">
        <v>16.799999999999997</v>
      </c>
      <c r="F11">
        <v>60</v>
      </c>
      <c r="G11">
        <v>43.2</v>
      </c>
      <c r="H11">
        <v>10</v>
      </c>
      <c r="I11">
        <v>432</v>
      </c>
      <c r="J11">
        <v>10</v>
      </c>
      <c r="K11">
        <v>432</v>
      </c>
      <c r="L11">
        <v>12</v>
      </c>
      <c r="M11">
        <v>518.40000000000009</v>
      </c>
      <c r="N11">
        <v>13</v>
      </c>
      <c r="O11">
        <v>561.6</v>
      </c>
      <c r="P11">
        <v>36</v>
      </c>
      <c r="Q11">
        <v>1555.2</v>
      </c>
      <c r="R11">
        <v>34</v>
      </c>
      <c r="S11">
        <v>1468.8000000000002</v>
      </c>
      <c r="T11">
        <v>0</v>
      </c>
      <c r="U11">
        <v>0</v>
      </c>
      <c r="V11">
        <v>115</v>
      </c>
      <c r="W11" t="s">
        <v>10</v>
      </c>
      <c r="X11">
        <v>98</v>
      </c>
    </row>
    <row r="12" spans="1:24" x14ac:dyDescent="0.3">
      <c r="A12" t="s">
        <v>179</v>
      </c>
      <c r="B12" t="s">
        <v>180</v>
      </c>
      <c r="C12" t="s">
        <v>9</v>
      </c>
      <c r="D12">
        <v>7</v>
      </c>
      <c r="E12">
        <v>19.599999999999998</v>
      </c>
      <c r="F12">
        <v>120</v>
      </c>
      <c r="G12">
        <v>100.4</v>
      </c>
      <c r="H12">
        <v>10</v>
      </c>
      <c r="I12">
        <v>1004</v>
      </c>
      <c r="J12">
        <v>0</v>
      </c>
      <c r="K12">
        <v>-195.99999999999997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 t="s">
        <v>144</v>
      </c>
      <c r="X12">
        <v>98</v>
      </c>
    </row>
    <row r="13" spans="1:24" x14ac:dyDescent="0.3">
      <c r="A13" t="s">
        <v>165</v>
      </c>
      <c r="B13" t="s">
        <v>166</v>
      </c>
      <c r="C13" t="s">
        <v>9</v>
      </c>
      <c r="D13">
        <v>30</v>
      </c>
      <c r="E13">
        <v>84</v>
      </c>
      <c r="F13">
        <v>280</v>
      </c>
      <c r="G13">
        <v>196</v>
      </c>
      <c r="H13">
        <v>12</v>
      </c>
      <c r="I13">
        <v>2352</v>
      </c>
      <c r="J13">
        <v>12</v>
      </c>
      <c r="K13">
        <v>2352</v>
      </c>
      <c r="L13">
        <v>9</v>
      </c>
      <c r="M13">
        <v>1764</v>
      </c>
      <c r="N13">
        <v>10</v>
      </c>
      <c r="O13">
        <v>1960</v>
      </c>
      <c r="P13">
        <v>13</v>
      </c>
      <c r="Q13">
        <v>2548</v>
      </c>
      <c r="R13">
        <v>13</v>
      </c>
      <c r="S13">
        <v>2548</v>
      </c>
      <c r="T13">
        <v>15</v>
      </c>
      <c r="U13">
        <v>2940</v>
      </c>
      <c r="V13">
        <v>69</v>
      </c>
      <c r="W13" t="s">
        <v>144</v>
      </c>
      <c r="X13">
        <v>93</v>
      </c>
    </row>
    <row r="14" spans="1:24" x14ac:dyDescent="0.3">
      <c r="A14" t="s">
        <v>77</v>
      </c>
      <c r="B14" t="s">
        <v>55</v>
      </c>
      <c r="C14" t="s">
        <v>9</v>
      </c>
      <c r="D14">
        <v>10</v>
      </c>
      <c r="E14">
        <v>28</v>
      </c>
      <c r="F14">
        <v>130</v>
      </c>
      <c r="G14">
        <v>102</v>
      </c>
      <c r="H14">
        <v>15</v>
      </c>
      <c r="I14">
        <v>1530</v>
      </c>
      <c r="J14">
        <v>15</v>
      </c>
      <c r="K14">
        <v>1530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30</v>
      </c>
      <c r="W14" t="s">
        <v>10</v>
      </c>
      <c r="X14">
        <v>94</v>
      </c>
    </row>
    <row r="15" spans="1:24" x14ac:dyDescent="0.3">
      <c r="A15" t="s">
        <v>78</v>
      </c>
      <c r="B15" t="s">
        <v>79</v>
      </c>
      <c r="C15" t="s">
        <v>9</v>
      </c>
      <c r="D15">
        <v>5.5</v>
      </c>
      <c r="E15">
        <v>15.399999999999999</v>
      </c>
      <c r="F15">
        <v>75</v>
      </c>
      <c r="G15">
        <v>59.6</v>
      </c>
      <c r="H15">
        <v>15</v>
      </c>
      <c r="I15">
        <v>894</v>
      </c>
      <c r="J15">
        <v>15</v>
      </c>
      <c r="K15">
        <v>894</v>
      </c>
      <c r="L15">
        <v>7</v>
      </c>
      <c r="M15">
        <v>417.20000000000005</v>
      </c>
      <c r="N15">
        <v>8</v>
      </c>
      <c r="O15">
        <v>476.8</v>
      </c>
      <c r="P15">
        <v>27</v>
      </c>
      <c r="Q15">
        <v>1609.2</v>
      </c>
      <c r="R15">
        <v>12</v>
      </c>
      <c r="S15">
        <v>715.2</v>
      </c>
      <c r="T15">
        <v>177</v>
      </c>
      <c r="U15">
        <v>10549.2</v>
      </c>
      <c r="V15">
        <v>84</v>
      </c>
      <c r="W15" t="s">
        <v>10</v>
      </c>
      <c r="X15">
        <v>97</v>
      </c>
    </row>
    <row r="16" spans="1:24" x14ac:dyDescent="0.3">
      <c r="A16" t="s">
        <v>159</v>
      </c>
      <c r="B16" t="s">
        <v>160</v>
      </c>
      <c r="C16" t="s">
        <v>9</v>
      </c>
      <c r="D16">
        <v>30</v>
      </c>
      <c r="E16">
        <v>84</v>
      </c>
      <c r="F16">
        <v>250</v>
      </c>
      <c r="G16">
        <v>166</v>
      </c>
      <c r="H16">
        <v>15</v>
      </c>
      <c r="I16">
        <v>2490</v>
      </c>
      <c r="J16">
        <v>10</v>
      </c>
      <c r="K16">
        <v>1240</v>
      </c>
      <c r="L16">
        <v>8</v>
      </c>
      <c r="M16">
        <v>1328</v>
      </c>
      <c r="N16">
        <v>10</v>
      </c>
      <c r="O16">
        <v>1660</v>
      </c>
      <c r="P16">
        <v>25</v>
      </c>
      <c r="Q16">
        <v>4150</v>
      </c>
      <c r="R16">
        <v>10</v>
      </c>
      <c r="S16">
        <v>1660</v>
      </c>
      <c r="T16">
        <v>3</v>
      </c>
      <c r="U16">
        <v>498</v>
      </c>
      <c r="V16">
        <v>78</v>
      </c>
      <c r="W16" t="s">
        <v>144</v>
      </c>
      <c r="X16">
        <v>96</v>
      </c>
    </row>
    <row r="17" spans="1:24" x14ac:dyDescent="0.3">
      <c r="A17" t="s">
        <v>173</v>
      </c>
      <c r="B17" t="s">
        <v>174</v>
      </c>
      <c r="C17" t="s">
        <v>9</v>
      </c>
      <c r="D17">
        <v>30</v>
      </c>
      <c r="E17">
        <v>84</v>
      </c>
      <c r="F17">
        <v>250</v>
      </c>
      <c r="G17">
        <v>166</v>
      </c>
      <c r="H17">
        <v>15</v>
      </c>
      <c r="I17">
        <v>2490</v>
      </c>
      <c r="J17">
        <v>17</v>
      </c>
      <c r="K17">
        <v>2990</v>
      </c>
      <c r="L17">
        <v>15</v>
      </c>
      <c r="M17">
        <v>2490</v>
      </c>
      <c r="N17">
        <v>20</v>
      </c>
      <c r="O17">
        <v>3320</v>
      </c>
      <c r="P17">
        <v>35</v>
      </c>
      <c r="Q17">
        <v>5810</v>
      </c>
      <c r="R17">
        <v>24</v>
      </c>
      <c r="S17">
        <v>3984</v>
      </c>
      <c r="T17">
        <v>15</v>
      </c>
      <c r="U17">
        <v>2490</v>
      </c>
      <c r="V17">
        <v>126</v>
      </c>
      <c r="W17" t="s">
        <v>144</v>
      </c>
      <c r="X17">
        <v>90</v>
      </c>
    </row>
    <row r="18" spans="1:24" x14ac:dyDescent="0.3">
      <c r="A18" t="s">
        <v>157</v>
      </c>
      <c r="B18" t="s">
        <v>158</v>
      </c>
      <c r="C18" t="s">
        <v>9</v>
      </c>
      <c r="D18">
        <v>35</v>
      </c>
      <c r="E18">
        <v>98</v>
      </c>
      <c r="F18">
        <v>300</v>
      </c>
      <c r="G18">
        <v>202</v>
      </c>
      <c r="H18">
        <v>19</v>
      </c>
      <c r="I18">
        <v>3838</v>
      </c>
      <c r="J18">
        <v>41</v>
      </c>
      <c r="K18">
        <v>10438</v>
      </c>
      <c r="L18">
        <v>40</v>
      </c>
      <c r="M18">
        <v>8080</v>
      </c>
      <c r="N18">
        <v>23</v>
      </c>
      <c r="O18">
        <v>4646</v>
      </c>
      <c r="P18">
        <v>70</v>
      </c>
      <c r="Q18">
        <v>14140</v>
      </c>
      <c r="R18">
        <v>22</v>
      </c>
      <c r="S18">
        <v>4444</v>
      </c>
      <c r="T18">
        <v>25</v>
      </c>
      <c r="U18">
        <v>5050</v>
      </c>
      <c r="V18">
        <v>215</v>
      </c>
      <c r="W18" t="s">
        <v>144</v>
      </c>
      <c r="X18">
        <v>97</v>
      </c>
    </row>
    <row r="19" spans="1:24" x14ac:dyDescent="0.3">
      <c r="A19" t="s">
        <v>163</v>
      </c>
      <c r="B19" t="s">
        <v>164</v>
      </c>
      <c r="C19" t="s">
        <v>9</v>
      </c>
      <c r="D19">
        <v>30</v>
      </c>
      <c r="E19">
        <v>84</v>
      </c>
      <c r="F19">
        <v>200</v>
      </c>
      <c r="G19">
        <v>116</v>
      </c>
      <c r="H19">
        <v>20</v>
      </c>
      <c r="I19">
        <v>2320</v>
      </c>
      <c r="J19">
        <v>25</v>
      </c>
      <c r="K19">
        <v>3320</v>
      </c>
      <c r="L19">
        <v>60</v>
      </c>
      <c r="M19">
        <v>6960</v>
      </c>
      <c r="N19">
        <v>45</v>
      </c>
      <c r="O19">
        <v>5220</v>
      </c>
      <c r="P19">
        <v>55</v>
      </c>
      <c r="Q19">
        <v>6380</v>
      </c>
      <c r="R19">
        <v>130</v>
      </c>
      <c r="S19">
        <v>15080</v>
      </c>
      <c r="T19">
        <v>0</v>
      </c>
      <c r="U19">
        <v>0</v>
      </c>
      <c r="V19">
        <v>335</v>
      </c>
      <c r="W19" t="s">
        <v>144</v>
      </c>
      <c r="X19">
        <v>91</v>
      </c>
    </row>
    <row r="20" spans="1:24" x14ac:dyDescent="0.3">
      <c r="A20" t="s">
        <v>167</v>
      </c>
      <c r="B20" t="s">
        <v>168</v>
      </c>
      <c r="C20" t="s">
        <v>9</v>
      </c>
      <c r="D20">
        <v>45</v>
      </c>
      <c r="E20">
        <v>125.99999999999999</v>
      </c>
      <c r="F20">
        <v>300</v>
      </c>
      <c r="G20">
        <v>174</v>
      </c>
      <c r="H20">
        <v>23</v>
      </c>
      <c r="I20">
        <v>4002.0000000000005</v>
      </c>
      <c r="J20">
        <v>20</v>
      </c>
      <c r="K20">
        <v>3102.0000000000005</v>
      </c>
      <c r="L20">
        <v>15</v>
      </c>
      <c r="M20">
        <v>2610</v>
      </c>
      <c r="N20">
        <v>10</v>
      </c>
      <c r="O20">
        <v>1740.0000000000002</v>
      </c>
      <c r="P20">
        <v>13</v>
      </c>
      <c r="Q20">
        <v>2262</v>
      </c>
      <c r="R20">
        <v>20</v>
      </c>
      <c r="S20">
        <v>3480.0000000000005</v>
      </c>
      <c r="T20">
        <v>15</v>
      </c>
      <c r="U20">
        <v>2610</v>
      </c>
      <c r="V20">
        <v>101</v>
      </c>
      <c r="W20" t="s">
        <v>144</v>
      </c>
      <c r="X20">
        <v>98</v>
      </c>
    </row>
    <row r="21" spans="1:24" x14ac:dyDescent="0.3">
      <c r="A21" t="s">
        <v>175</v>
      </c>
      <c r="B21" t="s">
        <v>176</v>
      </c>
      <c r="C21" t="s">
        <v>9</v>
      </c>
      <c r="D21">
        <v>30</v>
      </c>
      <c r="E21">
        <v>84</v>
      </c>
      <c r="F21">
        <v>300</v>
      </c>
      <c r="G21">
        <v>216</v>
      </c>
      <c r="H21">
        <v>25</v>
      </c>
      <c r="I21">
        <v>5400</v>
      </c>
      <c r="J21">
        <v>30</v>
      </c>
      <c r="K21">
        <v>6900</v>
      </c>
      <c r="L21">
        <v>10</v>
      </c>
      <c r="M21">
        <v>2160</v>
      </c>
      <c r="N21">
        <v>20</v>
      </c>
      <c r="O21">
        <v>4320</v>
      </c>
      <c r="P21">
        <v>43</v>
      </c>
      <c r="Q21">
        <v>9288</v>
      </c>
      <c r="R21">
        <v>55</v>
      </c>
      <c r="S21">
        <v>11880</v>
      </c>
      <c r="T21">
        <v>10</v>
      </c>
      <c r="U21">
        <v>2160</v>
      </c>
      <c r="V21">
        <v>183</v>
      </c>
      <c r="W21" t="s">
        <v>144</v>
      </c>
      <c r="X21">
        <v>98</v>
      </c>
    </row>
    <row r="22" spans="1:24" x14ac:dyDescent="0.3">
      <c r="A22" t="s">
        <v>72</v>
      </c>
      <c r="B22" t="s">
        <v>73</v>
      </c>
      <c r="C22" t="s">
        <v>9</v>
      </c>
      <c r="D22">
        <v>7</v>
      </c>
      <c r="E22">
        <v>19.599999999999998</v>
      </c>
      <c r="F22">
        <v>69</v>
      </c>
      <c r="G22">
        <v>49.400000000000006</v>
      </c>
      <c r="H22">
        <v>32</v>
      </c>
      <c r="I22">
        <v>1580.8000000000002</v>
      </c>
      <c r="J22">
        <v>20</v>
      </c>
      <c r="K22">
        <v>752.80000000000007</v>
      </c>
      <c r="L22">
        <v>24</v>
      </c>
      <c r="M22">
        <v>1185.5999999999999</v>
      </c>
      <c r="N22">
        <v>49</v>
      </c>
      <c r="O22">
        <v>2420.6000000000004</v>
      </c>
      <c r="P22">
        <v>40</v>
      </c>
      <c r="Q22">
        <v>1976</v>
      </c>
      <c r="R22">
        <v>69</v>
      </c>
      <c r="S22">
        <v>3408.6000000000004</v>
      </c>
      <c r="T22">
        <v>59</v>
      </c>
      <c r="U22">
        <v>2914.6000000000004</v>
      </c>
      <c r="V22">
        <v>234</v>
      </c>
      <c r="W22" t="s">
        <v>10</v>
      </c>
      <c r="X22">
        <v>94</v>
      </c>
    </row>
    <row r="23" spans="1:24" x14ac:dyDescent="0.3">
      <c r="A23" t="s">
        <v>177</v>
      </c>
      <c r="B23" t="s">
        <v>178</v>
      </c>
      <c r="C23" t="s">
        <v>9</v>
      </c>
      <c r="D23">
        <v>30</v>
      </c>
      <c r="E23">
        <v>84</v>
      </c>
      <c r="F23">
        <v>280</v>
      </c>
      <c r="G23">
        <v>196</v>
      </c>
      <c r="H23">
        <v>35</v>
      </c>
      <c r="I23">
        <v>6860</v>
      </c>
      <c r="J23">
        <v>55</v>
      </c>
      <c r="K23">
        <v>12460</v>
      </c>
      <c r="L23">
        <v>2</v>
      </c>
      <c r="M23">
        <v>392</v>
      </c>
      <c r="N23">
        <v>10</v>
      </c>
      <c r="O23">
        <v>1960</v>
      </c>
      <c r="P23">
        <v>62</v>
      </c>
      <c r="Q23">
        <v>12152</v>
      </c>
      <c r="R23">
        <v>57</v>
      </c>
      <c r="S23">
        <v>11172</v>
      </c>
      <c r="T23">
        <v>315</v>
      </c>
      <c r="U23">
        <v>61740</v>
      </c>
      <c r="V23">
        <v>221</v>
      </c>
      <c r="W23" t="s">
        <v>144</v>
      </c>
      <c r="X23">
        <v>92</v>
      </c>
    </row>
    <row r="24" spans="1:24" x14ac:dyDescent="0.3">
      <c r="A24" t="s">
        <v>48</v>
      </c>
      <c r="B24" t="s">
        <v>49</v>
      </c>
      <c r="C24" t="s">
        <v>9</v>
      </c>
      <c r="D24">
        <v>55</v>
      </c>
      <c r="E24">
        <v>154</v>
      </c>
      <c r="F24">
        <v>375</v>
      </c>
      <c r="G24">
        <v>221</v>
      </c>
      <c r="H24">
        <v>36</v>
      </c>
      <c r="I24">
        <v>7956</v>
      </c>
      <c r="J24">
        <v>40</v>
      </c>
      <c r="K24">
        <v>9456</v>
      </c>
      <c r="L24">
        <v>45</v>
      </c>
      <c r="M24">
        <v>9945</v>
      </c>
      <c r="N24">
        <v>141</v>
      </c>
      <c r="O24">
        <v>31161</v>
      </c>
      <c r="P24">
        <v>156</v>
      </c>
      <c r="Q24">
        <v>34476</v>
      </c>
      <c r="R24">
        <v>73</v>
      </c>
      <c r="S24">
        <v>16133</v>
      </c>
      <c r="T24">
        <v>39</v>
      </c>
      <c r="U24">
        <v>8619</v>
      </c>
      <c r="V24">
        <v>491</v>
      </c>
      <c r="W24" t="s">
        <v>10</v>
      </c>
      <c r="X24">
        <v>92</v>
      </c>
    </row>
    <row r="25" spans="1:24" x14ac:dyDescent="0.3">
      <c r="A25" t="s">
        <v>74</v>
      </c>
      <c r="B25" t="s">
        <v>75</v>
      </c>
      <c r="C25" t="s">
        <v>9</v>
      </c>
      <c r="D25">
        <v>5</v>
      </c>
      <c r="E25">
        <v>14</v>
      </c>
      <c r="F25">
        <v>39</v>
      </c>
      <c r="G25">
        <v>25</v>
      </c>
      <c r="H25">
        <v>36</v>
      </c>
      <c r="I25">
        <v>900</v>
      </c>
      <c r="J25">
        <v>49</v>
      </c>
      <c r="K25">
        <v>1407</v>
      </c>
      <c r="L25">
        <v>38</v>
      </c>
      <c r="M25">
        <v>950</v>
      </c>
      <c r="N25">
        <v>69</v>
      </c>
      <c r="O25">
        <v>1725</v>
      </c>
      <c r="P25">
        <v>39</v>
      </c>
      <c r="Q25">
        <v>975</v>
      </c>
      <c r="R25">
        <v>46</v>
      </c>
      <c r="S25">
        <v>1150</v>
      </c>
      <c r="T25">
        <v>8</v>
      </c>
      <c r="U25">
        <v>200</v>
      </c>
      <c r="V25">
        <v>277</v>
      </c>
      <c r="W25" t="s">
        <v>10</v>
      </c>
      <c r="X25">
        <v>94</v>
      </c>
    </row>
    <row r="26" spans="1:24" x14ac:dyDescent="0.3">
      <c r="A26" t="s">
        <v>65</v>
      </c>
      <c r="B26" t="s">
        <v>59</v>
      </c>
      <c r="C26" t="s">
        <v>9</v>
      </c>
      <c r="D26">
        <v>10</v>
      </c>
      <c r="E26">
        <v>28</v>
      </c>
      <c r="F26">
        <v>130</v>
      </c>
      <c r="G26">
        <v>102</v>
      </c>
      <c r="H26">
        <v>38</v>
      </c>
      <c r="I26">
        <v>3876</v>
      </c>
      <c r="J26">
        <v>16</v>
      </c>
      <c r="K26">
        <v>1016</v>
      </c>
      <c r="L26">
        <v>36</v>
      </c>
      <c r="M26">
        <v>3672</v>
      </c>
      <c r="N26">
        <v>79</v>
      </c>
      <c r="O26">
        <v>8058</v>
      </c>
      <c r="P26">
        <v>23</v>
      </c>
      <c r="Q26">
        <v>2346</v>
      </c>
      <c r="R26">
        <v>78</v>
      </c>
      <c r="S26">
        <v>7956</v>
      </c>
      <c r="T26">
        <v>124</v>
      </c>
      <c r="U26">
        <v>12648</v>
      </c>
      <c r="V26">
        <v>270</v>
      </c>
      <c r="W26" t="s">
        <v>10</v>
      </c>
      <c r="X26">
        <v>97</v>
      </c>
    </row>
    <row r="27" spans="1:24" x14ac:dyDescent="0.3">
      <c r="A27" t="s">
        <v>153</v>
      </c>
      <c r="B27" t="s">
        <v>154</v>
      </c>
      <c r="C27" t="s">
        <v>9</v>
      </c>
      <c r="D27">
        <v>25</v>
      </c>
      <c r="E27">
        <v>70</v>
      </c>
      <c r="F27">
        <v>180</v>
      </c>
      <c r="G27">
        <v>110</v>
      </c>
      <c r="H27">
        <v>40</v>
      </c>
      <c r="I27">
        <v>4400</v>
      </c>
      <c r="J27">
        <v>30</v>
      </c>
      <c r="K27">
        <v>2600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70</v>
      </c>
      <c r="W27" t="s">
        <v>144</v>
      </c>
      <c r="X27">
        <v>91</v>
      </c>
    </row>
    <row r="28" spans="1:24" x14ac:dyDescent="0.3">
      <c r="A28" t="s">
        <v>50</v>
      </c>
      <c r="B28" t="s">
        <v>51</v>
      </c>
      <c r="C28" t="s">
        <v>9</v>
      </c>
      <c r="D28">
        <v>40</v>
      </c>
      <c r="E28">
        <v>112</v>
      </c>
      <c r="F28">
        <v>359</v>
      </c>
      <c r="G28">
        <v>247</v>
      </c>
      <c r="H28">
        <v>41</v>
      </c>
      <c r="I28">
        <v>10127</v>
      </c>
      <c r="J28">
        <v>106</v>
      </c>
      <c r="K28">
        <v>33462</v>
      </c>
      <c r="L28">
        <v>81</v>
      </c>
      <c r="M28">
        <v>20007</v>
      </c>
      <c r="N28">
        <v>215</v>
      </c>
      <c r="O28">
        <v>53105</v>
      </c>
      <c r="P28">
        <v>255</v>
      </c>
      <c r="Q28">
        <v>62985</v>
      </c>
      <c r="R28">
        <v>72</v>
      </c>
      <c r="S28">
        <v>17784</v>
      </c>
      <c r="T28">
        <v>21</v>
      </c>
      <c r="U28">
        <v>5187</v>
      </c>
      <c r="V28">
        <v>770</v>
      </c>
      <c r="W28" t="s">
        <v>10</v>
      </c>
      <c r="X28">
        <v>93</v>
      </c>
    </row>
    <row r="29" spans="1:24" x14ac:dyDescent="0.3">
      <c r="A29" t="s">
        <v>66</v>
      </c>
      <c r="B29" t="s">
        <v>55</v>
      </c>
      <c r="C29" t="s">
        <v>9</v>
      </c>
      <c r="D29">
        <v>4.5</v>
      </c>
      <c r="E29">
        <v>12.6</v>
      </c>
      <c r="F29">
        <v>40</v>
      </c>
      <c r="G29">
        <v>27.4</v>
      </c>
      <c r="H29">
        <v>41</v>
      </c>
      <c r="I29">
        <v>1123.4000000000001</v>
      </c>
      <c r="J29">
        <v>68</v>
      </c>
      <c r="K29">
        <v>2203.4</v>
      </c>
      <c r="L29">
        <v>183</v>
      </c>
      <c r="M29">
        <v>5014.2000000000007</v>
      </c>
      <c r="N29">
        <v>73</v>
      </c>
      <c r="O29">
        <v>2000.2</v>
      </c>
      <c r="P29">
        <v>79</v>
      </c>
      <c r="Q29">
        <v>2164.6</v>
      </c>
      <c r="R29">
        <v>314</v>
      </c>
      <c r="S29">
        <v>8603.6</v>
      </c>
      <c r="T29">
        <v>156</v>
      </c>
      <c r="U29">
        <v>4274.3999999999996</v>
      </c>
      <c r="V29">
        <v>758</v>
      </c>
      <c r="W29" t="s">
        <v>10</v>
      </c>
      <c r="X29">
        <v>97</v>
      </c>
    </row>
    <row r="30" spans="1:24" x14ac:dyDescent="0.3">
      <c r="A30" t="s">
        <v>60</v>
      </c>
      <c r="B30" t="s">
        <v>59</v>
      </c>
      <c r="C30" t="s">
        <v>9</v>
      </c>
      <c r="D30">
        <v>5.5</v>
      </c>
      <c r="E30">
        <v>15.399999999999999</v>
      </c>
      <c r="F30">
        <v>75</v>
      </c>
      <c r="G30">
        <v>59.6</v>
      </c>
      <c r="H30">
        <v>45</v>
      </c>
      <c r="I30">
        <v>2682</v>
      </c>
      <c r="J30">
        <v>3</v>
      </c>
      <c r="K30">
        <v>-467.99999999999989</v>
      </c>
      <c r="L30">
        <v>10</v>
      </c>
      <c r="M30">
        <v>596</v>
      </c>
      <c r="N30">
        <v>21</v>
      </c>
      <c r="O30">
        <v>1251.5999999999999</v>
      </c>
      <c r="P30">
        <v>1</v>
      </c>
      <c r="Q30">
        <v>59.6</v>
      </c>
      <c r="R30">
        <v>40</v>
      </c>
      <c r="S30">
        <v>2384</v>
      </c>
      <c r="T30">
        <v>41</v>
      </c>
      <c r="U30">
        <v>2443.6</v>
      </c>
      <c r="V30">
        <v>120</v>
      </c>
      <c r="W30" t="s">
        <v>10</v>
      </c>
      <c r="X30">
        <v>91</v>
      </c>
    </row>
    <row r="31" spans="1:24" x14ac:dyDescent="0.3">
      <c r="A31" t="s">
        <v>161</v>
      </c>
      <c r="B31" t="s">
        <v>162</v>
      </c>
      <c r="C31" t="s">
        <v>9</v>
      </c>
      <c r="D31">
        <v>8</v>
      </c>
      <c r="E31">
        <v>22.4</v>
      </c>
      <c r="F31">
        <v>125</v>
      </c>
      <c r="G31">
        <v>102.6</v>
      </c>
      <c r="H31">
        <v>45</v>
      </c>
      <c r="I31">
        <v>4617</v>
      </c>
      <c r="J31">
        <v>50</v>
      </c>
      <c r="K31">
        <v>5242</v>
      </c>
      <c r="L31">
        <v>80</v>
      </c>
      <c r="M31">
        <v>8208</v>
      </c>
      <c r="N31">
        <v>50</v>
      </c>
      <c r="O31">
        <v>5130</v>
      </c>
      <c r="P31">
        <v>120</v>
      </c>
      <c r="Q31">
        <v>12312</v>
      </c>
      <c r="R31">
        <v>103</v>
      </c>
      <c r="S31">
        <v>10567.8</v>
      </c>
      <c r="T31">
        <v>69</v>
      </c>
      <c r="U31">
        <v>7079.4</v>
      </c>
      <c r="V31">
        <v>448</v>
      </c>
      <c r="W31" t="s">
        <v>144</v>
      </c>
      <c r="X31">
        <v>100</v>
      </c>
    </row>
    <row r="32" spans="1:24" x14ac:dyDescent="0.3">
      <c r="A32" t="s">
        <v>31</v>
      </c>
      <c r="B32" t="s">
        <v>32</v>
      </c>
      <c r="C32" t="s">
        <v>9</v>
      </c>
      <c r="D32">
        <v>65</v>
      </c>
      <c r="E32">
        <v>182</v>
      </c>
      <c r="F32">
        <v>584</v>
      </c>
      <c r="G32">
        <v>402</v>
      </c>
      <c r="H32">
        <v>51</v>
      </c>
      <c r="I32">
        <v>20502</v>
      </c>
      <c r="J32">
        <v>78</v>
      </c>
      <c r="K32">
        <v>36270</v>
      </c>
      <c r="L32">
        <v>193</v>
      </c>
      <c r="M32">
        <v>77586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322</v>
      </c>
      <c r="W32" t="s">
        <v>10</v>
      </c>
      <c r="X32">
        <v>94</v>
      </c>
    </row>
    <row r="33" spans="1:24" x14ac:dyDescent="0.3">
      <c r="A33" t="s">
        <v>29</v>
      </c>
      <c r="B33" t="s">
        <v>30</v>
      </c>
      <c r="C33" t="s">
        <v>9</v>
      </c>
      <c r="D33">
        <v>55</v>
      </c>
      <c r="E33">
        <v>154</v>
      </c>
      <c r="F33">
        <v>530</v>
      </c>
      <c r="G33">
        <v>376</v>
      </c>
      <c r="H33">
        <v>58</v>
      </c>
      <c r="I33">
        <v>21808</v>
      </c>
      <c r="J33">
        <v>75</v>
      </c>
      <c r="K33">
        <v>30818</v>
      </c>
      <c r="L33">
        <v>39</v>
      </c>
      <c r="M33">
        <v>14664</v>
      </c>
      <c r="N33">
        <v>16</v>
      </c>
      <c r="O33">
        <v>6016</v>
      </c>
      <c r="P33">
        <v>21</v>
      </c>
      <c r="Q33">
        <v>7896</v>
      </c>
      <c r="R33">
        <v>60</v>
      </c>
      <c r="S33">
        <v>22560</v>
      </c>
      <c r="T33">
        <v>64</v>
      </c>
      <c r="U33">
        <v>24064</v>
      </c>
      <c r="V33">
        <v>269</v>
      </c>
      <c r="W33" t="s">
        <v>10</v>
      </c>
      <c r="X33">
        <v>100</v>
      </c>
    </row>
    <row r="34" spans="1:24" x14ac:dyDescent="0.3">
      <c r="A34" t="s">
        <v>71</v>
      </c>
      <c r="B34" t="s">
        <v>55</v>
      </c>
      <c r="C34" t="s">
        <v>9</v>
      </c>
      <c r="D34">
        <v>8</v>
      </c>
      <c r="E34">
        <v>22.4</v>
      </c>
      <c r="F34">
        <v>65</v>
      </c>
      <c r="G34">
        <v>42.6</v>
      </c>
      <c r="H34">
        <v>60</v>
      </c>
      <c r="I34">
        <v>2556</v>
      </c>
      <c r="J34">
        <v>68</v>
      </c>
      <c r="K34">
        <v>3076</v>
      </c>
      <c r="L34">
        <v>315</v>
      </c>
      <c r="M34">
        <v>13419</v>
      </c>
      <c r="N34">
        <v>56</v>
      </c>
      <c r="O34">
        <v>2385.6000000000004</v>
      </c>
      <c r="P34">
        <v>132</v>
      </c>
      <c r="Q34">
        <v>5623.2000000000007</v>
      </c>
      <c r="R34">
        <v>160</v>
      </c>
      <c r="S34">
        <v>6816</v>
      </c>
      <c r="T34">
        <v>168</v>
      </c>
      <c r="U34">
        <v>7156.8</v>
      </c>
      <c r="V34">
        <v>791</v>
      </c>
      <c r="W34" t="s">
        <v>10</v>
      </c>
      <c r="X34">
        <v>99</v>
      </c>
    </row>
    <row r="35" spans="1:24" x14ac:dyDescent="0.3">
      <c r="A35" t="s">
        <v>70</v>
      </c>
      <c r="B35" t="s">
        <v>47</v>
      </c>
      <c r="C35" t="s">
        <v>9</v>
      </c>
      <c r="D35">
        <v>5</v>
      </c>
      <c r="E35">
        <v>14</v>
      </c>
      <c r="F35">
        <v>56</v>
      </c>
      <c r="G35">
        <v>42</v>
      </c>
      <c r="H35">
        <v>61</v>
      </c>
      <c r="I35">
        <v>2562</v>
      </c>
      <c r="J35">
        <v>97</v>
      </c>
      <c r="K35">
        <v>4578</v>
      </c>
      <c r="L35">
        <v>29</v>
      </c>
      <c r="M35">
        <v>1218</v>
      </c>
      <c r="N35">
        <v>91</v>
      </c>
      <c r="O35">
        <v>3822</v>
      </c>
      <c r="P35">
        <v>62</v>
      </c>
      <c r="Q35">
        <v>2604</v>
      </c>
      <c r="R35">
        <v>419</v>
      </c>
      <c r="S35">
        <v>17598</v>
      </c>
      <c r="T35">
        <v>37</v>
      </c>
      <c r="U35">
        <v>1554</v>
      </c>
      <c r="V35">
        <v>759</v>
      </c>
      <c r="W35" t="s">
        <v>10</v>
      </c>
      <c r="X35">
        <v>96</v>
      </c>
    </row>
    <row r="36" spans="1:24" x14ac:dyDescent="0.3">
      <c r="A36" t="s">
        <v>58</v>
      </c>
      <c r="B36" t="s">
        <v>59</v>
      </c>
      <c r="C36" t="s">
        <v>9</v>
      </c>
      <c r="D36">
        <v>3.5</v>
      </c>
      <c r="E36">
        <v>9.7999999999999989</v>
      </c>
      <c r="F36">
        <v>35</v>
      </c>
      <c r="G36">
        <v>25.200000000000003</v>
      </c>
      <c r="H36">
        <v>62</v>
      </c>
      <c r="I36">
        <v>1562.4</v>
      </c>
      <c r="J36">
        <v>36</v>
      </c>
      <c r="K36">
        <v>652.40000000000009</v>
      </c>
      <c r="L36">
        <v>46</v>
      </c>
      <c r="M36">
        <v>1159.2</v>
      </c>
      <c r="N36">
        <v>34</v>
      </c>
      <c r="O36">
        <v>856.8</v>
      </c>
      <c r="P36">
        <v>1</v>
      </c>
      <c r="Q36">
        <v>25.200000000000003</v>
      </c>
      <c r="R36">
        <v>1</v>
      </c>
      <c r="S36">
        <v>25.200000000000003</v>
      </c>
      <c r="T36">
        <v>4</v>
      </c>
      <c r="U36">
        <v>100.80000000000001</v>
      </c>
      <c r="V36">
        <v>180</v>
      </c>
      <c r="W36" t="s">
        <v>10</v>
      </c>
      <c r="X36">
        <v>100</v>
      </c>
    </row>
    <row r="37" spans="1:24" x14ac:dyDescent="0.3">
      <c r="A37" t="s">
        <v>171</v>
      </c>
      <c r="B37" t="s">
        <v>172</v>
      </c>
      <c r="C37" t="s">
        <v>9</v>
      </c>
      <c r="D37">
        <v>25</v>
      </c>
      <c r="E37">
        <v>70</v>
      </c>
      <c r="F37">
        <v>99</v>
      </c>
      <c r="G37">
        <v>29</v>
      </c>
      <c r="H37">
        <v>65</v>
      </c>
      <c r="I37">
        <v>1885</v>
      </c>
      <c r="J37">
        <v>50</v>
      </c>
      <c r="K37">
        <v>400</v>
      </c>
      <c r="L37">
        <v>95</v>
      </c>
      <c r="M37">
        <v>2755</v>
      </c>
      <c r="N37">
        <v>89</v>
      </c>
      <c r="O37">
        <v>2581</v>
      </c>
      <c r="P37">
        <v>66</v>
      </c>
      <c r="Q37">
        <v>1914</v>
      </c>
      <c r="R37">
        <v>30</v>
      </c>
      <c r="S37">
        <v>870</v>
      </c>
      <c r="T37">
        <v>0</v>
      </c>
      <c r="U37">
        <v>0</v>
      </c>
      <c r="V37">
        <v>395</v>
      </c>
      <c r="W37" t="s">
        <v>144</v>
      </c>
      <c r="X37">
        <v>93</v>
      </c>
    </row>
    <row r="38" spans="1:24" x14ac:dyDescent="0.3">
      <c r="A38" t="s">
        <v>151</v>
      </c>
      <c r="B38" t="s">
        <v>152</v>
      </c>
      <c r="C38" t="s">
        <v>9</v>
      </c>
      <c r="D38">
        <v>30</v>
      </c>
      <c r="E38">
        <v>84</v>
      </c>
      <c r="F38">
        <v>250</v>
      </c>
      <c r="G38">
        <v>166</v>
      </c>
      <c r="H38">
        <v>70</v>
      </c>
      <c r="I38">
        <v>11620</v>
      </c>
      <c r="J38">
        <v>55</v>
      </c>
      <c r="K38">
        <v>7870</v>
      </c>
      <c r="L38">
        <v>30</v>
      </c>
      <c r="M38">
        <v>4980</v>
      </c>
      <c r="N38">
        <v>55</v>
      </c>
      <c r="O38">
        <v>9130</v>
      </c>
      <c r="P38">
        <v>168</v>
      </c>
      <c r="Q38">
        <v>27888</v>
      </c>
      <c r="R38">
        <v>213</v>
      </c>
      <c r="S38">
        <v>35358</v>
      </c>
      <c r="T38">
        <v>230</v>
      </c>
      <c r="U38">
        <v>38180</v>
      </c>
      <c r="V38">
        <v>591</v>
      </c>
      <c r="W38" t="s">
        <v>144</v>
      </c>
      <c r="X38">
        <v>90</v>
      </c>
    </row>
    <row r="39" spans="1:24" x14ac:dyDescent="0.3">
      <c r="A39" t="s">
        <v>54</v>
      </c>
      <c r="B39" t="s">
        <v>55</v>
      </c>
      <c r="C39" t="s">
        <v>9</v>
      </c>
      <c r="D39">
        <v>9</v>
      </c>
      <c r="E39">
        <v>25.2</v>
      </c>
      <c r="F39">
        <v>45</v>
      </c>
      <c r="G39">
        <v>19.8</v>
      </c>
      <c r="H39">
        <v>80</v>
      </c>
      <c r="I39">
        <v>1584</v>
      </c>
      <c r="J39">
        <v>71</v>
      </c>
      <c r="K39">
        <v>1179</v>
      </c>
      <c r="L39">
        <v>200</v>
      </c>
      <c r="M39">
        <v>3960</v>
      </c>
      <c r="N39">
        <v>114</v>
      </c>
      <c r="O39">
        <v>2257.2000000000003</v>
      </c>
      <c r="P39">
        <v>210</v>
      </c>
      <c r="Q39">
        <v>4158</v>
      </c>
      <c r="R39">
        <v>116</v>
      </c>
      <c r="S39">
        <v>2296.8000000000002</v>
      </c>
      <c r="T39">
        <v>408</v>
      </c>
      <c r="U39">
        <v>8078.4</v>
      </c>
      <c r="V39">
        <v>791</v>
      </c>
      <c r="W39" t="s">
        <v>10</v>
      </c>
      <c r="X39">
        <v>97</v>
      </c>
    </row>
    <row r="40" spans="1:24" x14ac:dyDescent="0.3">
      <c r="A40" t="s">
        <v>169</v>
      </c>
      <c r="B40" t="s">
        <v>170</v>
      </c>
      <c r="C40" t="s">
        <v>9</v>
      </c>
      <c r="D40">
        <v>6</v>
      </c>
      <c r="E40">
        <v>16.799999999999997</v>
      </c>
      <c r="F40">
        <v>130</v>
      </c>
      <c r="G40">
        <v>113.2</v>
      </c>
      <c r="H40">
        <v>85</v>
      </c>
      <c r="I40">
        <v>9622</v>
      </c>
      <c r="J40">
        <v>34</v>
      </c>
      <c r="K40">
        <v>2992</v>
      </c>
      <c r="L40">
        <v>33</v>
      </c>
      <c r="M40">
        <v>3735.6000000000004</v>
      </c>
      <c r="N40">
        <v>10</v>
      </c>
      <c r="O40">
        <v>1132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162</v>
      </c>
      <c r="W40" t="s">
        <v>144</v>
      </c>
      <c r="X40">
        <v>92</v>
      </c>
    </row>
    <row r="41" spans="1:24" x14ac:dyDescent="0.3">
      <c r="A41" t="s">
        <v>56</v>
      </c>
      <c r="B41" t="s">
        <v>57</v>
      </c>
      <c r="C41" t="s">
        <v>9</v>
      </c>
      <c r="D41">
        <v>7.5</v>
      </c>
      <c r="E41">
        <v>21</v>
      </c>
      <c r="F41">
        <v>58</v>
      </c>
      <c r="G41">
        <v>37</v>
      </c>
      <c r="H41">
        <v>94</v>
      </c>
      <c r="I41">
        <v>3478</v>
      </c>
      <c r="J41">
        <v>138</v>
      </c>
      <c r="K41">
        <v>6030</v>
      </c>
      <c r="L41">
        <v>124</v>
      </c>
      <c r="M41">
        <v>4588</v>
      </c>
      <c r="N41">
        <v>72</v>
      </c>
      <c r="O41">
        <v>2664</v>
      </c>
      <c r="P41">
        <v>10</v>
      </c>
      <c r="Q41">
        <v>370</v>
      </c>
      <c r="R41">
        <v>0</v>
      </c>
      <c r="S41">
        <v>0</v>
      </c>
      <c r="T41">
        <v>0</v>
      </c>
      <c r="U41">
        <v>0</v>
      </c>
      <c r="V41">
        <v>438</v>
      </c>
      <c r="W41" t="s">
        <v>10</v>
      </c>
      <c r="X41">
        <v>99</v>
      </c>
    </row>
    <row r="42" spans="1:24" x14ac:dyDescent="0.3">
      <c r="A42" t="s">
        <v>18</v>
      </c>
      <c r="B42" t="s">
        <v>19</v>
      </c>
      <c r="C42" t="s">
        <v>9</v>
      </c>
      <c r="D42">
        <v>35</v>
      </c>
      <c r="E42">
        <v>98</v>
      </c>
      <c r="F42">
        <v>185</v>
      </c>
      <c r="G42">
        <v>87</v>
      </c>
      <c r="H42">
        <v>112</v>
      </c>
      <c r="I42">
        <v>9744</v>
      </c>
      <c r="J42">
        <v>98</v>
      </c>
      <c r="K42">
        <v>7154</v>
      </c>
      <c r="L42">
        <v>92</v>
      </c>
      <c r="M42">
        <v>8004</v>
      </c>
      <c r="N42">
        <v>235</v>
      </c>
      <c r="O42">
        <v>20445</v>
      </c>
      <c r="P42">
        <v>176</v>
      </c>
      <c r="Q42">
        <v>15312</v>
      </c>
      <c r="R42">
        <v>88</v>
      </c>
      <c r="S42">
        <v>7656</v>
      </c>
      <c r="T42">
        <v>28</v>
      </c>
      <c r="U42">
        <v>2436</v>
      </c>
      <c r="V42">
        <v>801</v>
      </c>
      <c r="W42" t="s">
        <v>10</v>
      </c>
      <c r="X42">
        <v>97</v>
      </c>
    </row>
    <row r="43" spans="1:24" x14ac:dyDescent="0.3">
      <c r="A43" t="s">
        <v>39</v>
      </c>
      <c r="B43" t="s">
        <v>40</v>
      </c>
      <c r="C43" t="s">
        <v>9</v>
      </c>
      <c r="D43">
        <v>35</v>
      </c>
      <c r="E43">
        <v>98</v>
      </c>
      <c r="F43">
        <v>135</v>
      </c>
      <c r="G43">
        <v>37</v>
      </c>
      <c r="H43">
        <v>116</v>
      </c>
      <c r="I43">
        <v>4292</v>
      </c>
      <c r="J43">
        <v>164</v>
      </c>
      <c r="K43">
        <v>10772</v>
      </c>
      <c r="L43">
        <v>319</v>
      </c>
      <c r="M43">
        <v>11803</v>
      </c>
      <c r="N43">
        <v>251</v>
      </c>
      <c r="O43">
        <v>9287</v>
      </c>
      <c r="P43">
        <v>207</v>
      </c>
      <c r="Q43">
        <v>7659</v>
      </c>
      <c r="R43">
        <v>182</v>
      </c>
      <c r="S43">
        <v>6734</v>
      </c>
      <c r="T43">
        <v>54</v>
      </c>
      <c r="U43">
        <v>1998</v>
      </c>
      <c r="V43">
        <v>1239</v>
      </c>
      <c r="W43" t="s">
        <v>10</v>
      </c>
      <c r="X43">
        <v>96</v>
      </c>
    </row>
    <row r="44" spans="1:24" x14ac:dyDescent="0.3">
      <c r="A44" t="s">
        <v>69</v>
      </c>
      <c r="B44" t="s">
        <v>55</v>
      </c>
      <c r="C44" t="s">
        <v>9</v>
      </c>
      <c r="D44">
        <v>3.5</v>
      </c>
      <c r="E44">
        <v>9.7999999999999989</v>
      </c>
      <c r="F44">
        <v>35</v>
      </c>
      <c r="G44">
        <v>25.200000000000003</v>
      </c>
      <c r="H44">
        <v>124</v>
      </c>
      <c r="I44">
        <v>3124.8</v>
      </c>
      <c r="J44">
        <v>4</v>
      </c>
      <c r="K44">
        <v>-1075.1999999999998</v>
      </c>
      <c r="L44">
        <v>127</v>
      </c>
      <c r="M44">
        <v>3200.4</v>
      </c>
      <c r="N44">
        <v>35</v>
      </c>
      <c r="O44">
        <v>882</v>
      </c>
      <c r="P44">
        <v>38</v>
      </c>
      <c r="Q44">
        <v>957.6</v>
      </c>
      <c r="R44">
        <v>12</v>
      </c>
      <c r="S44">
        <v>302.39999999999998</v>
      </c>
      <c r="T44">
        <v>0</v>
      </c>
      <c r="U44">
        <v>0</v>
      </c>
      <c r="V44">
        <v>340</v>
      </c>
      <c r="W44" t="s">
        <v>10</v>
      </c>
      <c r="X44">
        <v>97</v>
      </c>
    </row>
    <row r="45" spans="1:24" x14ac:dyDescent="0.3">
      <c r="A45" t="s">
        <v>63</v>
      </c>
      <c r="B45" t="s">
        <v>59</v>
      </c>
      <c r="C45" t="s">
        <v>9</v>
      </c>
      <c r="D45">
        <v>8</v>
      </c>
      <c r="E45">
        <v>22.4</v>
      </c>
      <c r="F45">
        <v>65</v>
      </c>
      <c r="G45">
        <v>42.6</v>
      </c>
      <c r="H45">
        <v>163</v>
      </c>
      <c r="I45">
        <v>6943.8</v>
      </c>
      <c r="J45">
        <v>33</v>
      </c>
      <c r="K45">
        <v>-1506.1999999999998</v>
      </c>
      <c r="L45">
        <v>68</v>
      </c>
      <c r="M45">
        <v>2896.8</v>
      </c>
      <c r="N45">
        <v>32</v>
      </c>
      <c r="O45">
        <v>1363.2</v>
      </c>
      <c r="P45">
        <v>138</v>
      </c>
      <c r="Q45">
        <v>5878.8</v>
      </c>
      <c r="R45">
        <v>386</v>
      </c>
      <c r="S45">
        <v>16443.599999999999</v>
      </c>
      <c r="T45">
        <v>233</v>
      </c>
      <c r="U45">
        <v>9925.7999999999993</v>
      </c>
      <c r="V45">
        <v>820</v>
      </c>
      <c r="W45" t="s">
        <v>10</v>
      </c>
      <c r="X45">
        <v>91</v>
      </c>
    </row>
    <row r="46" spans="1:24" x14ac:dyDescent="0.3">
      <c r="A46" t="s">
        <v>147</v>
      </c>
      <c r="B46" t="s">
        <v>148</v>
      </c>
      <c r="C46" t="s">
        <v>9</v>
      </c>
      <c r="D46">
        <v>10</v>
      </c>
      <c r="E46">
        <v>28</v>
      </c>
      <c r="F46">
        <v>55</v>
      </c>
      <c r="G46">
        <v>27</v>
      </c>
      <c r="H46">
        <v>200</v>
      </c>
      <c r="I46">
        <v>5400</v>
      </c>
      <c r="J46">
        <v>233</v>
      </c>
      <c r="K46">
        <v>7215</v>
      </c>
      <c r="L46">
        <v>150</v>
      </c>
      <c r="M46">
        <v>4050</v>
      </c>
      <c r="N46">
        <v>200</v>
      </c>
      <c r="O46">
        <v>5400</v>
      </c>
      <c r="P46">
        <v>148</v>
      </c>
      <c r="Q46">
        <v>3996</v>
      </c>
      <c r="R46">
        <v>150</v>
      </c>
      <c r="S46">
        <v>4050</v>
      </c>
      <c r="T46">
        <v>170</v>
      </c>
      <c r="U46">
        <v>4590</v>
      </c>
      <c r="V46">
        <v>1081</v>
      </c>
      <c r="W46" t="s">
        <v>144</v>
      </c>
      <c r="X46">
        <v>96</v>
      </c>
    </row>
    <row r="47" spans="1:24" x14ac:dyDescent="0.3">
      <c r="A47" t="s">
        <v>145</v>
      </c>
      <c r="B47" t="s">
        <v>146</v>
      </c>
      <c r="C47" t="s">
        <v>9</v>
      </c>
      <c r="D47">
        <v>20</v>
      </c>
      <c r="E47">
        <v>56</v>
      </c>
      <c r="F47">
        <v>150</v>
      </c>
      <c r="G47">
        <v>94</v>
      </c>
      <c r="H47">
        <v>230</v>
      </c>
      <c r="I47">
        <v>21620</v>
      </c>
      <c r="J47">
        <v>215</v>
      </c>
      <c r="K47">
        <v>19370</v>
      </c>
      <c r="L47">
        <v>150</v>
      </c>
      <c r="M47">
        <v>14100</v>
      </c>
      <c r="N47">
        <v>20</v>
      </c>
      <c r="O47">
        <v>1880</v>
      </c>
      <c r="P47">
        <v>80</v>
      </c>
      <c r="Q47">
        <v>7520</v>
      </c>
      <c r="R47">
        <v>40</v>
      </c>
      <c r="S47">
        <v>3760</v>
      </c>
      <c r="T47">
        <v>50</v>
      </c>
      <c r="U47">
        <v>4700</v>
      </c>
      <c r="V47">
        <v>735</v>
      </c>
      <c r="W47" t="s">
        <v>144</v>
      </c>
      <c r="X47">
        <v>97</v>
      </c>
    </row>
    <row r="48" spans="1:24" x14ac:dyDescent="0.3">
      <c r="A48" t="s">
        <v>67</v>
      </c>
      <c r="B48" t="s">
        <v>68</v>
      </c>
      <c r="C48" t="s">
        <v>9</v>
      </c>
      <c r="D48">
        <v>5</v>
      </c>
      <c r="E48">
        <v>14</v>
      </c>
      <c r="F48">
        <v>85</v>
      </c>
      <c r="G48">
        <v>71</v>
      </c>
      <c r="H48">
        <v>268</v>
      </c>
      <c r="I48">
        <v>19028</v>
      </c>
      <c r="J48">
        <v>253</v>
      </c>
      <c r="K48">
        <v>17753</v>
      </c>
      <c r="L48">
        <v>178</v>
      </c>
      <c r="M48">
        <v>12638</v>
      </c>
      <c r="N48">
        <v>360</v>
      </c>
      <c r="O48">
        <v>25560</v>
      </c>
      <c r="P48">
        <v>816</v>
      </c>
      <c r="Q48">
        <v>57936</v>
      </c>
      <c r="R48">
        <v>410</v>
      </c>
      <c r="S48">
        <v>29110</v>
      </c>
      <c r="T48">
        <v>301</v>
      </c>
      <c r="U48">
        <v>21371</v>
      </c>
      <c r="V48">
        <v>2285</v>
      </c>
      <c r="W48" t="s">
        <v>10</v>
      </c>
      <c r="X48">
        <v>93</v>
      </c>
    </row>
    <row r="49" spans="1:24" x14ac:dyDescent="0.3">
      <c r="A49" t="s">
        <v>61</v>
      </c>
      <c r="B49" t="s">
        <v>62</v>
      </c>
      <c r="C49" t="s">
        <v>9</v>
      </c>
      <c r="D49">
        <v>3.5</v>
      </c>
      <c r="E49">
        <v>9.7999999999999989</v>
      </c>
      <c r="F49">
        <v>28</v>
      </c>
      <c r="G49">
        <v>18.200000000000003</v>
      </c>
      <c r="H49">
        <v>299</v>
      </c>
      <c r="I49">
        <v>5441.8</v>
      </c>
      <c r="J49">
        <v>83</v>
      </c>
      <c r="K49">
        <v>-606.19999999999982</v>
      </c>
      <c r="L49">
        <v>176</v>
      </c>
      <c r="M49">
        <v>3203.2000000000003</v>
      </c>
      <c r="N49">
        <v>400</v>
      </c>
      <c r="O49">
        <v>7280</v>
      </c>
      <c r="P49">
        <v>427</v>
      </c>
      <c r="Q49">
        <v>7771.4000000000005</v>
      </c>
      <c r="R49">
        <v>459</v>
      </c>
      <c r="S49">
        <v>8353.7999999999993</v>
      </c>
      <c r="T49">
        <v>369</v>
      </c>
      <c r="U49">
        <v>6715.8</v>
      </c>
      <c r="V49">
        <v>1844</v>
      </c>
      <c r="W49" t="s">
        <v>10</v>
      </c>
      <c r="X49">
        <v>99</v>
      </c>
    </row>
    <row r="50" spans="1:24" x14ac:dyDescent="0.3">
      <c r="A50" t="s">
        <v>149</v>
      </c>
      <c r="B50" t="s">
        <v>150</v>
      </c>
      <c r="C50" t="s">
        <v>9</v>
      </c>
      <c r="D50">
        <v>12</v>
      </c>
      <c r="E50">
        <v>33.599999999999994</v>
      </c>
      <c r="F50">
        <v>75</v>
      </c>
      <c r="G50">
        <v>41.400000000000006</v>
      </c>
      <c r="H50">
        <v>315</v>
      </c>
      <c r="I50">
        <v>13041.000000000002</v>
      </c>
      <c r="J50">
        <v>467</v>
      </c>
      <c r="K50">
        <v>24441</v>
      </c>
      <c r="L50">
        <v>580</v>
      </c>
      <c r="M50">
        <v>24012.000000000004</v>
      </c>
      <c r="N50">
        <v>443</v>
      </c>
      <c r="O50">
        <v>18340.200000000004</v>
      </c>
      <c r="P50">
        <v>521</v>
      </c>
      <c r="Q50">
        <v>21569.4</v>
      </c>
      <c r="R50">
        <v>342</v>
      </c>
      <c r="S50">
        <v>14158.800000000001</v>
      </c>
      <c r="T50">
        <v>155</v>
      </c>
      <c r="U50">
        <v>6417.0000000000009</v>
      </c>
      <c r="V50">
        <v>2668</v>
      </c>
      <c r="W50" t="s">
        <v>144</v>
      </c>
      <c r="X50">
        <v>96</v>
      </c>
    </row>
    <row r="51" spans="1:24" x14ac:dyDescent="0.3">
      <c r="A51" t="s">
        <v>155</v>
      </c>
      <c r="B51" t="s">
        <v>156</v>
      </c>
      <c r="C51" t="s">
        <v>9</v>
      </c>
      <c r="D51">
        <v>4</v>
      </c>
      <c r="E51">
        <v>11.2</v>
      </c>
      <c r="F51">
        <v>50</v>
      </c>
      <c r="G51">
        <v>38.799999999999997</v>
      </c>
      <c r="H51">
        <v>332</v>
      </c>
      <c r="I51">
        <v>12881.6</v>
      </c>
      <c r="J51">
        <v>280</v>
      </c>
      <c r="K51">
        <v>10281.6</v>
      </c>
      <c r="L51">
        <v>309</v>
      </c>
      <c r="M51">
        <v>11989.2</v>
      </c>
      <c r="N51">
        <v>280</v>
      </c>
      <c r="O51">
        <v>10864</v>
      </c>
      <c r="P51">
        <v>255</v>
      </c>
      <c r="Q51">
        <v>9894</v>
      </c>
      <c r="R51">
        <v>244</v>
      </c>
      <c r="S51">
        <v>9467.2000000000007</v>
      </c>
      <c r="T51">
        <v>158</v>
      </c>
      <c r="U51">
        <v>6130.4</v>
      </c>
      <c r="V51">
        <v>1700</v>
      </c>
      <c r="W51" t="s">
        <v>144</v>
      </c>
      <c r="X51">
        <v>94</v>
      </c>
    </row>
    <row r="52" spans="1:24" x14ac:dyDescent="0.3">
      <c r="A52" t="s">
        <v>64</v>
      </c>
      <c r="B52" t="s">
        <v>62</v>
      </c>
      <c r="C52" t="s">
        <v>9</v>
      </c>
      <c r="D52">
        <v>3.5</v>
      </c>
      <c r="E52">
        <v>9.7999999999999989</v>
      </c>
      <c r="F52">
        <v>25</v>
      </c>
      <c r="G52">
        <v>15.200000000000001</v>
      </c>
      <c r="H52">
        <v>382</v>
      </c>
      <c r="I52">
        <v>5806.4000000000005</v>
      </c>
      <c r="J52">
        <v>425</v>
      </c>
      <c r="K52">
        <v>6881.4000000000005</v>
      </c>
      <c r="L52">
        <v>323</v>
      </c>
      <c r="M52">
        <v>4909.6000000000004</v>
      </c>
      <c r="N52">
        <v>238</v>
      </c>
      <c r="O52">
        <v>3617.6000000000004</v>
      </c>
      <c r="P52">
        <v>484</v>
      </c>
      <c r="Q52">
        <v>7356.8</v>
      </c>
      <c r="R52">
        <v>394</v>
      </c>
      <c r="S52">
        <v>5988.8000000000011</v>
      </c>
      <c r="T52">
        <v>213</v>
      </c>
      <c r="U52">
        <v>3237.6000000000004</v>
      </c>
      <c r="V52">
        <v>2246</v>
      </c>
      <c r="W52" t="s">
        <v>10</v>
      </c>
      <c r="X52">
        <v>97</v>
      </c>
    </row>
    <row r="53" spans="1:24" x14ac:dyDescent="0.3">
      <c r="A53" t="s">
        <v>15</v>
      </c>
      <c r="B53" t="s">
        <v>16</v>
      </c>
      <c r="C53" t="s">
        <v>9</v>
      </c>
      <c r="D53">
        <v>6</v>
      </c>
      <c r="E53">
        <v>16.799999999999997</v>
      </c>
      <c r="F53">
        <v>40</v>
      </c>
      <c r="G53">
        <v>23.200000000000003</v>
      </c>
      <c r="H53">
        <v>405</v>
      </c>
      <c r="I53">
        <v>9396</v>
      </c>
      <c r="J53">
        <v>534</v>
      </c>
      <c r="K53">
        <v>14556</v>
      </c>
      <c r="L53">
        <v>987</v>
      </c>
      <c r="M53">
        <v>22898.400000000001</v>
      </c>
      <c r="N53">
        <v>1917</v>
      </c>
      <c r="O53">
        <v>44474.400000000009</v>
      </c>
      <c r="P53">
        <v>1047</v>
      </c>
      <c r="Q53">
        <v>24290.400000000001</v>
      </c>
      <c r="R53">
        <v>326</v>
      </c>
      <c r="S53">
        <v>7563.2000000000007</v>
      </c>
      <c r="T53">
        <v>857</v>
      </c>
      <c r="U53">
        <v>19882.400000000001</v>
      </c>
      <c r="V53">
        <v>5216</v>
      </c>
      <c r="W53" t="s">
        <v>10</v>
      </c>
      <c r="X53">
        <v>92</v>
      </c>
    </row>
    <row r="54" spans="1:24" x14ac:dyDescent="0.3">
      <c r="A54" t="s">
        <v>142</v>
      </c>
      <c r="B54" t="s">
        <v>143</v>
      </c>
      <c r="C54" t="s">
        <v>9</v>
      </c>
      <c r="D54">
        <v>40</v>
      </c>
      <c r="E54">
        <v>112</v>
      </c>
      <c r="F54">
        <v>450</v>
      </c>
      <c r="G54">
        <v>338</v>
      </c>
      <c r="H54">
        <v>487</v>
      </c>
      <c r="I54">
        <v>164606</v>
      </c>
      <c r="J54">
        <v>450</v>
      </c>
      <c r="K54">
        <v>147956</v>
      </c>
      <c r="L54">
        <v>954</v>
      </c>
      <c r="M54">
        <v>322452</v>
      </c>
      <c r="N54">
        <v>25</v>
      </c>
      <c r="O54">
        <v>8450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1916</v>
      </c>
      <c r="W54" t="s">
        <v>144</v>
      </c>
      <c r="X54">
        <v>90</v>
      </c>
    </row>
    <row r="55" spans="1:24" x14ac:dyDescent="0.3">
      <c r="A55" t="s">
        <v>46</v>
      </c>
      <c r="B55" t="s">
        <v>47</v>
      </c>
      <c r="C55" t="s">
        <v>9</v>
      </c>
      <c r="D55">
        <v>5</v>
      </c>
      <c r="E55">
        <v>14</v>
      </c>
      <c r="F55">
        <v>35</v>
      </c>
      <c r="G55">
        <v>21</v>
      </c>
      <c r="H55">
        <v>527</v>
      </c>
      <c r="I55">
        <v>11067</v>
      </c>
      <c r="J55">
        <v>203</v>
      </c>
      <c r="K55">
        <v>-273</v>
      </c>
      <c r="L55">
        <v>395</v>
      </c>
      <c r="M55">
        <v>8295</v>
      </c>
      <c r="N55">
        <v>499</v>
      </c>
      <c r="O55">
        <v>10479</v>
      </c>
      <c r="P55">
        <v>915</v>
      </c>
      <c r="Q55">
        <v>19215</v>
      </c>
      <c r="R55">
        <v>230</v>
      </c>
      <c r="S55">
        <v>4830</v>
      </c>
      <c r="T55">
        <v>532</v>
      </c>
      <c r="U55">
        <v>11172</v>
      </c>
      <c r="V55">
        <v>2769</v>
      </c>
      <c r="W55" t="s">
        <v>10</v>
      </c>
      <c r="X55">
        <v>91</v>
      </c>
    </row>
    <row r="56" spans="1:24" x14ac:dyDescent="0.3">
      <c r="A56" t="s">
        <v>44</v>
      </c>
      <c r="B56" t="s">
        <v>45</v>
      </c>
      <c r="C56" t="s">
        <v>9</v>
      </c>
      <c r="D56">
        <v>3.5</v>
      </c>
      <c r="E56">
        <v>9.7999999999999989</v>
      </c>
      <c r="F56">
        <v>25</v>
      </c>
      <c r="G56">
        <v>15.200000000000001</v>
      </c>
      <c r="H56">
        <v>604</v>
      </c>
      <c r="I56">
        <v>9180.8000000000011</v>
      </c>
      <c r="J56">
        <v>339</v>
      </c>
      <c r="K56">
        <v>2555.8000000000011</v>
      </c>
      <c r="L56">
        <v>853</v>
      </c>
      <c r="M56">
        <v>12965.6</v>
      </c>
      <c r="N56">
        <v>2331</v>
      </c>
      <c r="O56">
        <v>35431.199999999997</v>
      </c>
      <c r="P56">
        <v>1049</v>
      </c>
      <c r="Q56">
        <v>15944.800000000001</v>
      </c>
      <c r="R56">
        <v>326</v>
      </c>
      <c r="S56">
        <v>4955.2000000000007</v>
      </c>
      <c r="T56">
        <v>708</v>
      </c>
      <c r="U56">
        <v>10761.6</v>
      </c>
      <c r="V56">
        <v>5502</v>
      </c>
      <c r="W56" t="s">
        <v>10</v>
      </c>
      <c r="X56">
        <v>99</v>
      </c>
    </row>
    <row r="57" spans="1:24" x14ac:dyDescent="0.3">
      <c r="A57" t="s">
        <v>34</v>
      </c>
      <c r="B57" t="s">
        <v>35</v>
      </c>
      <c r="C57" t="s">
        <v>9</v>
      </c>
      <c r="D57">
        <v>5</v>
      </c>
      <c r="E57">
        <v>14</v>
      </c>
      <c r="F57">
        <v>65</v>
      </c>
      <c r="G57">
        <v>51</v>
      </c>
      <c r="H57">
        <v>728</v>
      </c>
      <c r="I57">
        <v>37128</v>
      </c>
      <c r="J57">
        <v>871</v>
      </c>
      <c r="K57">
        <v>46423</v>
      </c>
      <c r="L57">
        <v>913</v>
      </c>
      <c r="M57">
        <v>46563</v>
      </c>
      <c r="N57">
        <v>1800</v>
      </c>
      <c r="O57">
        <v>91800</v>
      </c>
      <c r="P57">
        <v>1315</v>
      </c>
      <c r="Q57">
        <v>67065</v>
      </c>
      <c r="R57">
        <v>577</v>
      </c>
      <c r="S57">
        <v>29427</v>
      </c>
      <c r="T57">
        <v>573</v>
      </c>
      <c r="U57">
        <v>29223</v>
      </c>
      <c r="V57">
        <v>6204</v>
      </c>
      <c r="W57" t="s">
        <v>10</v>
      </c>
      <c r="X57">
        <v>93</v>
      </c>
    </row>
    <row r="58" spans="1:24" x14ac:dyDescent="0.3">
      <c r="A58" t="s">
        <v>36</v>
      </c>
      <c r="B58" t="s">
        <v>37</v>
      </c>
      <c r="C58" t="s">
        <v>9</v>
      </c>
      <c r="D58">
        <v>5</v>
      </c>
      <c r="E58">
        <v>14</v>
      </c>
      <c r="F58">
        <v>45</v>
      </c>
      <c r="G58">
        <v>31</v>
      </c>
      <c r="H58">
        <v>787</v>
      </c>
      <c r="I58">
        <v>24397</v>
      </c>
      <c r="J58">
        <v>478</v>
      </c>
      <c r="K58">
        <v>10492</v>
      </c>
      <c r="L58">
        <v>1235</v>
      </c>
      <c r="M58">
        <v>38285</v>
      </c>
      <c r="N58">
        <v>1450</v>
      </c>
      <c r="O58">
        <v>44950</v>
      </c>
      <c r="P58">
        <v>1728</v>
      </c>
      <c r="Q58">
        <v>53568</v>
      </c>
      <c r="R58">
        <v>1182</v>
      </c>
      <c r="S58">
        <v>36642</v>
      </c>
      <c r="T58">
        <v>999</v>
      </c>
      <c r="U58">
        <v>30969</v>
      </c>
      <c r="V58">
        <v>6860</v>
      </c>
      <c r="W58" t="s">
        <v>10</v>
      </c>
      <c r="X58">
        <v>97</v>
      </c>
    </row>
    <row r="59" spans="1:24" x14ac:dyDescent="0.3">
      <c r="A59" t="s">
        <v>42</v>
      </c>
      <c r="B59" t="s">
        <v>35</v>
      </c>
      <c r="C59" t="s">
        <v>9</v>
      </c>
      <c r="D59">
        <v>4</v>
      </c>
      <c r="E59">
        <v>11.2</v>
      </c>
      <c r="F59">
        <v>45</v>
      </c>
      <c r="G59">
        <v>33.799999999999997</v>
      </c>
      <c r="H59">
        <v>962</v>
      </c>
      <c r="I59">
        <v>32515.599999999999</v>
      </c>
      <c r="J59">
        <v>1465</v>
      </c>
      <c r="K59">
        <v>55150.6</v>
      </c>
      <c r="L59">
        <v>1334</v>
      </c>
      <c r="M59">
        <v>45089.2</v>
      </c>
      <c r="N59">
        <v>2383</v>
      </c>
      <c r="O59">
        <v>80545.399999999994</v>
      </c>
      <c r="P59">
        <v>1525</v>
      </c>
      <c r="Q59">
        <v>51545</v>
      </c>
      <c r="R59">
        <v>1582</v>
      </c>
      <c r="S59">
        <v>53471.600000000006</v>
      </c>
      <c r="T59">
        <v>1539</v>
      </c>
      <c r="U59">
        <v>52018.2</v>
      </c>
      <c r="V59">
        <v>9251</v>
      </c>
      <c r="W59" t="s">
        <v>10</v>
      </c>
      <c r="X59">
        <v>100</v>
      </c>
    </row>
    <row r="60" spans="1:24" x14ac:dyDescent="0.3">
      <c r="A60" t="s">
        <v>23</v>
      </c>
      <c r="B60" t="s">
        <v>24</v>
      </c>
      <c r="C60" t="s">
        <v>9</v>
      </c>
      <c r="D60">
        <v>7</v>
      </c>
      <c r="E60">
        <v>19.599999999999998</v>
      </c>
      <c r="F60">
        <v>45</v>
      </c>
      <c r="G60">
        <v>25.400000000000002</v>
      </c>
      <c r="H60">
        <v>1064</v>
      </c>
      <c r="I60">
        <v>27025.600000000002</v>
      </c>
      <c r="J60">
        <v>1153</v>
      </c>
      <c r="K60">
        <v>31030.600000000002</v>
      </c>
      <c r="L60">
        <v>1979</v>
      </c>
      <c r="M60">
        <v>50266.600000000006</v>
      </c>
      <c r="N60">
        <v>2901</v>
      </c>
      <c r="O60">
        <v>73685.400000000009</v>
      </c>
      <c r="P60">
        <v>2434</v>
      </c>
      <c r="Q60">
        <v>61823.600000000006</v>
      </c>
      <c r="R60">
        <v>1693</v>
      </c>
      <c r="S60">
        <v>43002.200000000004</v>
      </c>
      <c r="T60">
        <v>1311</v>
      </c>
      <c r="U60">
        <v>33299.4</v>
      </c>
      <c r="V60">
        <v>11224</v>
      </c>
      <c r="W60" t="s">
        <v>10</v>
      </c>
      <c r="X60">
        <v>94</v>
      </c>
    </row>
    <row r="61" spans="1:24" x14ac:dyDescent="0.3">
      <c r="A61" t="s">
        <v>7</v>
      </c>
      <c r="B61" t="s">
        <v>8</v>
      </c>
      <c r="C61" t="s">
        <v>9</v>
      </c>
      <c r="D61">
        <v>7</v>
      </c>
      <c r="E61">
        <v>19.599999999999998</v>
      </c>
      <c r="F61">
        <v>30</v>
      </c>
      <c r="G61">
        <v>10.400000000000002</v>
      </c>
      <c r="H61">
        <v>2132</v>
      </c>
      <c r="I61">
        <v>22172.800000000003</v>
      </c>
      <c r="J61">
        <v>2648</v>
      </c>
      <c r="K61">
        <v>37652.800000000003</v>
      </c>
      <c r="L61">
        <v>2712</v>
      </c>
      <c r="M61">
        <v>28204.800000000003</v>
      </c>
      <c r="N61">
        <v>1775</v>
      </c>
      <c r="O61">
        <v>18460.000000000007</v>
      </c>
      <c r="P61">
        <v>2302</v>
      </c>
      <c r="Q61">
        <v>23940.800000000003</v>
      </c>
      <c r="R61">
        <v>2250</v>
      </c>
      <c r="S61">
        <v>23400.000000000007</v>
      </c>
      <c r="T61">
        <v>2532</v>
      </c>
      <c r="U61">
        <v>26332.800000000003</v>
      </c>
      <c r="V61">
        <v>13819</v>
      </c>
      <c r="W61" t="s">
        <v>10</v>
      </c>
      <c r="X61">
        <v>91</v>
      </c>
    </row>
    <row r="62" spans="1:24" x14ac:dyDescent="0.3">
      <c r="A62" t="s">
        <v>82</v>
      </c>
      <c r="B62" t="s">
        <v>83</v>
      </c>
      <c r="C62" t="s">
        <v>12</v>
      </c>
      <c r="D62">
        <v>40</v>
      </c>
      <c r="E62">
        <v>120</v>
      </c>
      <c r="F62">
        <v>250</v>
      </c>
      <c r="G62">
        <v>130</v>
      </c>
      <c r="H62">
        <v>1</v>
      </c>
      <c r="I62">
        <v>130</v>
      </c>
      <c r="J62">
        <v>0</v>
      </c>
      <c r="K62">
        <v>-120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 t="s">
        <v>10</v>
      </c>
      <c r="X62">
        <v>100</v>
      </c>
    </row>
    <row r="63" spans="1:24" x14ac:dyDescent="0.3">
      <c r="A63" t="s">
        <v>90</v>
      </c>
      <c r="B63" t="s">
        <v>91</v>
      </c>
      <c r="C63" t="s">
        <v>12</v>
      </c>
      <c r="D63">
        <v>47</v>
      </c>
      <c r="E63">
        <v>141</v>
      </c>
      <c r="F63">
        <v>340</v>
      </c>
      <c r="G63">
        <v>199</v>
      </c>
      <c r="H63">
        <v>1</v>
      </c>
      <c r="I63">
        <v>199</v>
      </c>
      <c r="J63">
        <v>0</v>
      </c>
      <c r="K63">
        <v>-141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 t="s">
        <v>10</v>
      </c>
      <c r="X63">
        <v>91</v>
      </c>
    </row>
    <row r="64" spans="1:24" x14ac:dyDescent="0.3">
      <c r="A64" t="s">
        <v>92</v>
      </c>
      <c r="B64" t="s">
        <v>93</v>
      </c>
      <c r="C64" t="s">
        <v>12</v>
      </c>
      <c r="D64">
        <v>55</v>
      </c>
      <c r="E64">
        <v>165</v>
      </c>
      <c r="F64">
        <v>470</v>
      </c>
      <c r="G64">
        <v>305</v>
      </c>
      <c r="H64">
        <v>2</v>
      </c>
      <c r="I64">
        <v>610</v>
      </c>
      <c r="J64">
        <v>0</v>
      </c>
      <c r="K64">
        <v>-330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  <c r="W64" t="s">
        <v>10</v>
      </c>
      <c r="X64">
        <v>96</v>
      </c>
    </row>
    <row r="65" spans="1:24" x14ac:dyDescent="0.3">
      <c r="A65" t="s">
        <v>76</v>
      </c>
      <c r="B65" t="s">
        <v>59</v>
      </c>
      <c r="C65" t="s">
        <v>12</v>
      </c>
      <c r="D65">
        <v>6</v>
      </c>
      <c r="E65">
        <v>18</v>
      </c>
      <c r="F65">
        <v>70</v>
      </c>
      <c r="G65">
        <v>52</v>
      </c>
      <c r="H65">
        <v>3</v>
      </c>
      <c r="I65">
        <v>156</v>
      </c>
      <c r="J65">
        <v>0</v>
      </c>
      <c r="K65">
        <v>-54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 t="s">
        <v>10</v>
      </c>
      <c r="X65">
        <v>94</v>
      </c>
    </row>
    <row r="66" spans="1:24" x14ac:dyDescent="0.3">
      <c r="A66" t="s">
        <v>84</v>
      </c>
      <c r="B66" t="s">
        <v>85</v>
      </c>
      <c r="C66" t="s">
        <v>12</v>
      </c>
      <c r="D66">
        <v>47</v>
      </c>
      <c r="E66">
        <v>141</v>
      </c>
      <c r="F66">
        <v>370</v>
      </c>
      <c r="G66">
        <v>229</v>
      </c>
      <c r="H66">
        <v>3</v>
      </c>
      <c r="I66">
        <v>687</v>
      </c>
      <c r="J66">
        <v>0</v>
      </c>
      <c r="K66">
        <v>-423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 t="s">
        <v>10</v>
      </c>
      <c r="X66">
        <v>97</v>
      </c>
    </row>
    <row r="67" spans="1:24" x14ac:dyDescent="0.3">
      <c r="A67" t="s">
        <v>58</v>
      </c>
      <c r="B67" t="s">
        <v>59</v>
      </c>
      <c r="C67" t="s">
        <v>12</v>
      </c>
      <c r="D67">
        <v>3.5</v>
      </c>
      <c r="E67">
        <v>10.5</v>
      </c>
      <c r="F67">
        <v>50</v>
      </c>
      <c r="G67">
        <v>39.5</v>
      </c>
      <c r="H67">
        <v>5</v>
      </c>
      <c r="I67">
        <v>197.5</v>
      </c>
      <c r="J67">
        <v>0</v>
      </c>
      <c r="K67">
        <v>-52.5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 t="s">
        <v>10</v>
      </c>
      <c r="X67">
        <v>92</v>
      </c>
    </row>
    <row r="68" spans="1:24" x14ac:dyDescent="0.3">
      <c r="A68" t="s">
        <v>77</v>
      </c>
      <c r="B68" t="s">
        <v>55</v>
      </c>
      <c r="C68" t="s">
        <v>12</v>
      </c>
      <c r="D68">
        <v>10</v>
      </c>
      <c r="E68">
        <v>30</v>
      </c>
      <c r="F68">
        <v>145</v>
      </c>
      <c r="G68">
        <v>115</v>
      </c>
      <c r="H68">
        <v>10</v>
      </c>
      <c r="I68">
        <v>1150</v>
      </c>
      <c r="J68">
        <v>0</v>
      </c>
      <c r="K68">
        <v>-300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</v>
      </c>
      <c r="W68" t="s">
        <v>10</v>
      </c>
      <c r="X68">
        <v>94</v>
      </c>
    </row>
    <row r="69" spans="1:24" x14ac:dyDescent="0.3">
      <c r="A69" t="s">
        <v>78</v>
      </c>
      <c r="B69" t="s">
        <v>79</v>
      </c>
      <c r="C69" t="s">
        <v>12</v>
      </c>
      <c r="D69">
        <v>5.5</v>
      </c>
      <c r="E69">
        <v>16.5</v>
      </c>
      <c r="F69">
        <v>85</v>
      </c>
      <c r="G69">
        <v>68.5</v>
      </c>
      <c r="H69">
        <v>10</v>
      </c>
      <c r="I69">
        <v>685</v>
      </c>
      <c r="J69">
        <v>0</v>
      </c>
      <c r="K69">
        <v>-165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  <c r="W69" t="s">
        <v>10</v>
      </c>
      <c r="X69">
        <v>100</v>
      </c>
    </row>
    <row r="70" spans="1:24" x14ac:dyDescent="0.3">
      <c r="A70" t="s">
        <v>86</v>
      </c>
      <c r="B70" t="s">
        <v>87</v>
      </c>
      <c r="C70" t="s">
        <v>12</v>
      </c>
      <c r="D70">
        <v>60</v>
      </c>
      <c r="E70">
        <v>180</v>
      </c>
      <c r="F70">
        <v>589</v>
      </c>
      <c r="G70">
        <v>409</v>
      </c>
      <c r="H70">
        <v>10</v>
      </c>
      <c r="I70">
        <v>4090</v>
      </c>
      <c r="J70">
        <v>0</v>
      </c>
      <c r="K70">
        <v>-1800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</v>
      </c>
      <c r="W70" t="s">
        <v>10</v>
      </c>
      <c r="X70">
        <v>90</v>
      </c>
    </row>
    <row r="71" spans="1:24" x14ac:dyDescent="0.3">
      <c r="A71" t="s">
        <v>69</v>
      </c>
      <c r="B71" t="s">
        <v>55</v>
      </c>
      <c r="C71" t="s">
        <v>12</v>
      </c>
      <c r="D71">
        <v>3.5</v>
      </c>
      <c r="E71">
        <v>10.5</v>
      </c>
      <c r="F71">
        <v>45</v>
      </c>
      <c r="G71">
        <v>34.5</v>
      </c>
      <c r="H71">
        <v>24</v>
      </c>
      <c r="I71">
        <v>828</v>
      </c>
      <c r="J71">
        <v>0</v>
      </c>
      <c r="K71">
        <v>-252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24</v>
      </c>
      <c r="W71" t="s">
        <v>10</v>
      </c>
      <c r="X71">
        <v>91</v>
      </c>
    </row>
    <row r="72" spans="1:24" x14ac:dyDescent="0.3">
      <c r="A72" t="s">
        <v>48</v>
      </c>
      <c r="B72" t="s">
        <v>49</v>
      </c>
      <c r="C72" t="s">
        <v>12</v>
      </c>
      <c r="D72">
        <v>55</v>
      </c>
      <c r="E72">
        <v>165</v>
      </c>
      <c r="F72">
        <v>400</v>
      </c>
      <c r="G72">
        <v>235</v>
      </c>
      <c r="H72">
        <v>25</v>
      </c>
      <c r="I72">
        <v>5875</v>
      </c>
      <c r="J72">
        <v>30</v>
      </c>
      <c r="K72">
        <v>7875</v>
      </c>
      <c r="L72">
        <v>23</v>
      </c>
      <c r="M72">
        <v>5405</v>
      </c>
      <c r="N72">
        <v>22</v>
      </c>
      <c r="O72">
        <v>5170</v>
      </c>
      <c r="P72">
        <v>35</v>
      </c>
      <c r="Q72">
        <v>8225</v>
      </c>
      <c r="R72">
        <v>135</v>
      </c>
      <c r="S72">
        <v>31725</v>
      </c>
      <c r="T72">
        <v>142</v>
      </c>
      <c r="U72">
        <v>33370</v>
      </c>
      <c r="V72">
        <v>270</v>
      </c>
      <c r="W72" t="s">
        <v>10</v>
      </c>
      <c r="X72">
        <v>95</v>
      </c>
    </row>
    <row r="73" spans="1:24" x14ac:dyDescent="0.3">
      <c r="A73" t="s">
        <v>66</v>
      </c>
      <c r="B73" t="s">
        <v>55</v>
      </c>
      <c r="C73" t="s">
        <v>12</v>
      </c>
      <c r="D73">
        <v>4.5</v>
      </c>
      <c r="E73">
        <v>13.5</v>
      </c>
      <c r="F73">
        <v>50</v>
      </c>
      <c r="G73">
        <v>36.5</v>
      </c>
      <c r="H73">
        <v>40</v>
      </c>
      <c r="I73">
        <v>1460</v>
      </c>
      <c r="J73">
        <v>33</v>
      </c>
      <c r="K73">
        <v>1110</v>
      </c>
      <c r="L73">
        <v>45</v>
      </c>
      <c r="M73">
        <v>1642.5</v>
      </c>
      <c r="N73">
        <v>20</v>
      </c>
      <c r="O73">
        <v>730</v>
      </c>
      <c r="P73">
        <v>15</v>
      </c>
      <c r="Q73">
        <v>547.5</v>
      </c>
      <c r="R73">
        <v>55</v>
      </c>
      <c r="S73">
        <v>2007.5</v>
      </c>
      <c r="T73">
        <v>46</v>
      </c>
      <c r="U73">
        <v>1679</v>
      </c>
      <c r="V73">
        <v>208</v>
      </c>
      <c r="W73" t="s">
        <v>10</v>
      </c>
      <c r="X73">
        <v>100</v>
      </c>
    </row>
    <row r="74" spans="1:24" x14ac:dyDescent="0.3">
      <c r="A74" t="s">
        <v>72</v>
      </c>
      <c r="B74" t="s">
        <v>73</v>
      </c>
      <c r="C74" t="s">
        <v>12</v>
      </c>
      <c r="D74">
        <v>7</v>
      </c>
      <c r="E74">
        <v>21</v>
      </c>
      <c r="F74">
        <v>79</v>
      </c>
      <c r="G74">
        <v>58</v>
      </c>
      <c r="H74">
        <v>40</v>
      </c>
      <c r="I74">
        <v>2320</v>
      </c>
      <c r="J74">
        <v>32</v>
      </c>
      <c r="K74">
        <v>1688</v>
      </c>
      <c r="L74">
        <v>45</v>
      </c>
      <c r="M74">
        <v>2610</v>
      </c>
      <c r="N74">
        <v>13</v>
      </c>
      <c r="O74">
        <v>754</v>
      </c>
      <c r="P74">
        <v>25</v>
      </c>
      <c r="Q74">
        <v>1450</v>
      </c>
      <c r="R74">
        <v>66</v>
      </c>
      <c r="S74">
        <v>3828</v>
      </c>
      <c r="T74">
        <v>45</v>
      </c>
      <c r="U74">
        <v>2610</v>
      </c>
      <c r="V74">
        <v>221</v>
      </c>
      <c r="W74" t="s">
        <v>10</v>
      </c>
      <c r="X74">
        <v>92</v>
      </c>
    </row>
    <row r="75" spans="1:24" x14ac:dyDescent="0.3">
      <c r="A75" t="s">
        <v>65</v>
      </c>
      <c r="B75" t="s">
        <v>59</v>
      </c>
      <c r="C75" t="s">
        <v>12</v>
      </c>
      <c r="D75">
        <v>10</v>
      </c>
      <c r="E75">
        <v>30</v>
      </c>
      <c r="F75">
        <v>145</v>
      </c>
      <c r="G75">
        <v>115</v>
      </c>
      <c r="H75">
        <v>45</v>
      </c>
      <c r="I75">
        <v>5175</v>
      </c>
      <c r="J75">
        <v>35</v>
      </c>
      <c r="K75">
        <v>3725</v>
      </c>
      <c r="L75">
        <v>30</v>
      </c>
      <c r="M75">
        <v>3450</v>
      </c>
      <c r="N75">
        <v>20</v>
      </c>
      <c r="O75">
        <v>2300</v>
      </c>
      <c r="P75">
        <v>15</v>
      </c>
      <c r="Q75">
        <v>1725</v>
      </c>
      <c r="R75">
        <v>50</v>
      </c>
      <c r="S75">
        <v>5750</v>
      </c>
      <c r="T75">
        <v>45</v>
      </c>
      <c r="U75">
        <v>5175</v>
      </c>
      <c r="V75">
        <v>195</v>
      </c>
      <c r="W75" t="s">
        <v>10</v>
      </c>
      <c r="X75">
        <v>100</v>
      </c>
    </row>
    <row r="76" spans="1:24" x14ac:dyDescent="0.3">
      <c r="A76" t="s">
        <v>29</v>
      </c>
      <c r="B76" t="s">
        <v>30</v>
      </c>
      <c r="C76" t="s">
        <v>12</v>
      </c>
      <c r="D76">
        <v>55</v>
      </c>
      <c r="E76">
        <v>165</v>
      </c>
      <c r="F76">
        <v>600</v>
      </c>
      <c r="G76">
        <v>435</v>
      </c>
      <c r="H76">
        <v>66</v>
      </c>
      <c r="I76">
        <v>28710</v>
      </c>
      <c r="J76">
        <v>35</v>
      </c>
      <c r="K76">
        <v>10110</v>
      </c>
      <c r="L76">
        <v>12</v>
      </c>
      <c r="M76">
        <v>5220</v>
      </c>
      <c r="N76">
        <v>15</v>
      </c>
      <c r="O76">
        <v>6525</v>
      </c>
      <c r="P76">
        <v>33</v>
      </c>
      <c r="Q76">
        <v>14355</v>
      </c>
      <c r="R76">
        <v>50</v>
      </c>
      <c r="S76">
        <v>21750</v>
      </c>
      <c r="T76">
        <v>45</v>
      </c>
      <c r="U76">
        <v>19575</v>
      </c>
      <c r="V76">
        <v>211</v>
      </c>
      <c r="W76" t="s">
        <v>10</v>
      </c>
      <c r="X76">
        <v>94</v>
      </c>
    </row>
    <row r="77" spans="1:24" x14ac:dyDescent="0.3">
      <c r="A77" t="s">
        <v>74</v>
      </c>
      <c r="B77" t="s">
        <v>75</v>
      </c>
      <c r="C77" t="s">
        <v>12</v>
      </c>
      <c r="D77">
        <v>5</v>
      </c>
      <c r="E77">
        <v>15</v>
      </c>
      <c r="F77">
        <v>49</v>
      </c>
      <c r="G77">
        <v>34</v>
      </c>
      <c r="H77">
        <v>68</v>
      </c>
      <c r="I77">
        <v>2312</v>
      </c>
      <c r="J77">
        <v>55</v>
      </c>
      <c r="K77">
        <v>1675</v>
      </c>
      <c r="L77">
        <v>20</v>
      </c>
      <c r="M77">
        <v>680</v>
      </c>
      <c r="N77">
        <v>25</v>
      </c>
      <c r="O77">
        <v>850</v>
      </c>
      <c r="P77">
        <v>30</v>
      </c>
      <c r="Q77">
        <v>1020</v>
      </c>
      <c r="R77">
        <v>44</v>
      </c>
      <c r="S77">
        <v>1496</v>
      </c>
      <c r="T77">
        <v>10</v>
      </c>
      <c r="U77">
        <v>340</v>
      </c>
      <c r="V77">
        <v>242</v>
      </c>
      <c r="W77" t="s">
        <v>10</v>
      </c>
      <c r="X77">
        <v>93</v>
      </c>
    </row>
    <row r="78" spans="1:24" x14ac:dyDescent="0.3">
      <c r="A78" t="s">
        <v>70</v>
      </c>
      <c r="B78" t="s">
        <v>47</v>
      </c>
      <c r="C78" t="s">
        <v>12</v>
      </c>
      <c r="D78">
        <v>5</v>
      </c>
      <c r="E78">
        <v>15</v>
      </c>
      <c r="F78">
        <v>66</v>
      </c>
      <c r="G78">
        <v>51</v>
      </c>
      <c r="H78">
        <v>87</v>
      </c>
      <c r="I78">
        <v>4437</v>
      </c>
      <c r="J78">
        <v>65</v>
      </c>
      <c r="K78">
        <v>2985</v>
      </c>
      <c r="L78">
        <v>50</v>
      </c>
      <c r="M78">
        <v>2550</v>
      </c>
      <c r="N78">
        <v>67</v>
      </c>
      <c r="O78">
        <v>3417</v>
      </c>
      <c r="P78">
        <v>50</v>
      </c>
      <c r="Q78">
        <v>2550</v>
      </c>
      <c r="R78">
        <v>35</v>
      </c>
      <c r="S78">
        <v>1785</v>
      </c>
      <c r="T78">
        <v>55</v>
      </c>
      <c r="U78">
        <v>2805</v>
      </c>
      <c r="V78">
        <v>354</v>
      </c>
      <c r="W78" t="s">
        <v>10</v>
      </c>
      <c r="X78">
        <v>91</v>
      </c>
    </row>
    <row r="79" spans="1:24" x14ac:dyDescent="0.3">
      <c r="A79" t="s">
        <v>71</v>
      </c>
      <c r="B79" t="s">
        <v>55</v>
      </c>
      <c r="C79" t="s">
        <v>12</v>
      </c>
      <c r="D79">
        <v>8</v>
      </c>
      <c r="E79">
        <v>24</v>
      </c>
      <c r="F79">
        <v>75</v>
      </c>
      <c r="G79">
        <v>51</v>
      </c>
      <c r="H79">
        <v>135</v>
      </c>
      <c r="I79">
        <v>6885</v>
      </c>
      <c r="J79">
        <v>100</v>
      </c>
      <c r="K79">
        <v>4260</v>
      </c>
      <c r="L79">
        <v>87</v>
      </c>
      <c r="M79">
        <v>4437</v>
      </c>
      <c r="N79">
        <v>15</v>
      </c>
      <c r="O79">
        <v>765</v>
      </c>
      <c r="P79">
        <v>57</v>
      </c>
      <c r="Q79">
        <v>2907</v>
      </c>
      <c r="R79">
        <v>180</v>
      </c>
      <c r="S79">
        <v>9180</v>
      </c>
      <c r="T79">
        <v>167</v>
      </c>
      <c r="U79">
        <v>8517</v>
      </c>
      <c r="V79">
        <v>574</v>
      </c>
      <c r="W79" t="s">
        <v>10</v>
      </c>
      <c r="X79">
        <v>100</v>
      </c>
    </row>
    <row r="80" spans="1:24" x14ac:dyDescent="0.3">
      <c r="A80" t="s">
        <v>31</v>
      </c>
      <c r="B80" t="s">
        <v>32</v>
      </c>
      <c r="C80" t="s">
        <v>12</v>
      </c>
      <c r="D80">
        <v>65</v>
      </c>
      <c r="E80">
        <v>195</v>
      </c>
      <c r="F80">
        <v>650</v>
      </c>
      <c r="G80">
        <v>455</v>
      </c>
      <c r="H80">
        <v>158</v>
      </c>
      <c r="I80">
        <v>71890</v>
      </c>
      <c r="J80">
        <v>113</v>
      </c>
      <c r="K80">
        <v>42640</v>
      </c>
      <c r="L80">
        <v>250</v>
      </c>
      <c r="M80">
        <v>113750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521</v>
      </c>
      <c r="W80" t="s">
        <v>10</v>
      </c>
      <c r="X80">
        <v>97</v>
      </c>
    </row>
    <row r="81" spans="1:24" x14ac:dyDescent="0.3">
      <c r="A81" t="s">
        <v>67</v>
      </c>
      <c r="B81" t="s">
        <v>68</v>
      </c>
      <c r="C81" t="s">
        <v>12</v>
      </c>
      <c r="D81">
        <v>5</v>
      </c>
      <c r="E81">
        <v>15</v>
      </c>
      <c r="F81">
        <v>85</v>
      </c>
      <c r="G81">
        <v>70</v>
      </c>
      <c r="H81">
        <v>180</v>
      </c>
      <c r="I81">
        <v>12600</v>
      </c>
      <c r="J81">
        <v>0</v>
      </c>
      <c r="K81">
        <v>-2700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180</v>
      </c>
      <c r="W81" t="s">
        <v>10</v>
      </c>
      <c r="X81">
        <v>98</v>
      </c>
    </row>
    <row r="82" spans="1:24" x14ac:dyDescent="0.3">
      <c r="A82" t="s">
        <v>63</v>
      </c>
      <c r="B82" t="s">
        <v>59</v>
      </c>
      <c r="C82" t="s">
        <v>12</v>
      </c>
      <c r="D82">
        <v>8</v>
      </c>
      <c r="E82">
        <v>24</v>
      </c>
      <c r="F82">
        <v>80</v>
      </c>
      <c r="G82">
        <v>56</v>
      </c>
      <c r="H82">
        <v>189</v>
      </c>
      <c r="I82">
        <v>10584</v>
      </c>
      <c r="J82">
        <v>144</v>
      </c>
      <c r="K82">
        <v>6984</v>
      </c>
      <c r="L82">
        <v>64</v>
      </c>
      <c r="M82">
        <v>3584</v>
      </c>
      <c r="N82">
        <v>0</v>
      </c>
      <c r="O82">
        <v>0</v>
      </c>
      <c r="P82">
        <v>87</v>
      </c>
      <c r="Q82">
        <v>4872</v>
      </c>
      <c r="R82">
        <v>153</v>
      </c>
      <c r="S82">
        <v>8568</v>
      </c>
      <c r="T82">
        <v>145</v>
      </c>
      <c r="U82">
        <v>8120</v>
      </c>
      <c r="V82">
        <v>637</v>
      </c>
      <c r="W82" t="s">
        <v>10</v>
      </c>
      <c r="X82">
        <v>98</v>
      </c>
    </row>
    <row r="83" spans="1:24" x14ac:dyDescent="0.3">
      <c r="A83" t="s">
        <v>60</v>
      </c>
      <c r="B83" t="s">
        <v>59</v>
      </c>
      <c r="C83" t="s">
        <v>12</v>
      </c>
      <c r="D83">
        <v>5.5</v>
      </c>
      <c r="E83">
        <v>16.5</v>
      </c>
      <c r="F83">
        <v>80</v>
      </c>
      <c r="G83">
        <v>63.5</v>
      </c>
      <c r="H83">
        <v>200</v>
      </c>
      <c r="I83">
        <v>12700</v>
      </c>
      <c r="J83">
        <v>45</v>
      </c>
      <c r="K83">
        <v>300</v>
      </c>
      <c r="L83">
        <v>5</v>
      </c>
      <c r="M83">
        <v>317.5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250</v>
      </c>
      <c r="W83" t="s">
        <v>10</v>
      </c>
      <c r="X83">
        <v>92</v>
      </c>
    </row>
    <row r="84" spans="1:24" x14ac:dyDescent="0.3">
      <c r="A84" t="s">
        <v>18</v>
      </c>
      <c r="B84" t="s">
        <v>19</v>
      </c>
      <c r="C84" t="s">
        <v>12</v>
      </c>
      <c r="D84">
        <v>35</v>
      </c>
      <c r="E84">
        <v>105</v>
      </c>
      <c r="F84">
        <v>250</v>
      </c>
      <c r="G84">
        <v>145</v>
      </c>
      <c r="H84">
        <v>230</v>
      </c>
      <c r="I84">
        <v>33350</v>
      </c>
      <c r="J84">
        <v>187</v>
      </c>
      <c r="K84">
        <v>22600</v>
      </c>
      <c r="L84">
        <v>135</v>
      </c>
      <c r="M84">
        <v>19575</v>
      </c>
      <c r="N84">
        <v>87</v>
      </c>
      <c r="O84">
        <v>12615</v>
      </c>
      <c r="P84">
        <v>53</v>
      </c>
      <c r="Q84">
        <v>7685</v>
      </c>
      <c r="R84">
        <v>235</v>
      </c>
      <c r="S84">
        <v>34075</v>
      </c>
      <c r="T84">
        <v>200</v>
      </c>
      <c r="U84">
        <v>29000</v>
      </c>
      <c r="V84">
        <v>927</v>
      </c>
      <c r="W84" t="s">
        <v>10</v>
      </c>
      <c r="X84">
        <v>96</v>
      </c>
    </row>
    <row r="85" spans="1:24" x14ac:dyDescent="0.3">
      <c r="A85" t="s">
        <v>54</v>
      </c>
      <c r="B85" t="s">
        <v>55</v>
      </c>
      <c r="C85" t="s">
        <v>12</v>
      </c>
      <c r="D85">
        <v>9</v>
      </c>
      <c r="E85">
        <v>27</v>
      </c>
      <c r="F85">
        <v>55</v>
      </c>
      <c r="G85">
        <v>28</v>
      </c>
      <c r="H85">
        <v>230</v>
      </c>
      <c r="I85">
        <v>6440</v>
      </c>
      <c r="J85">
        <v>185</v>
      </c>
      <c r="K85">
        <v>3965</v>
      </c>
      <c r="L85">
        <v>74</v>
      </c>
      <c r="M85">
        <v>2072</v>
      </c>
      <c r="N85">
        <v>67</v>
      </c>
      <c r="O85">
        <v>1876</v>
      </c>
      <c r="P85">
        <v>55</v>
      </c>
      <c r="Q85">
        <v>1540</v>
      </c>
      <c r="R85">
        <v>80</v>
      </c>
      <c r="S85">
        <v>2240</v>
      </c>
      <c r="T85">
        <v>250</v>
      </c>
      <c r="U85">
        <v>7000</v>
      </c>
      <c r="V85">
        <v>691</v>
      </c>
      <c r="W85" t="s">
        <v>10</v>
      </c>
      <c r="X85">
        <v>90</v>
      </c>
    </row>
    <row r="86" spans="1:24" x14ac:dyDescent="0.3">
      <c r="A86" t="s">
        <v>46</v>
      </c>
      <c r="B86" t="s">
        <v>47</v>
      </c>
      <c r="C86" t="s">
        <v>12</v>
      </c>
      <c r="D86">
        <v>5</v>
      </c>
      <c r="E86">
        <v>15</v>
      </c>
      <c r="F86">
        <v>45</v>
      </c>
      <c r="G86">
        <v>30</v>
      </c>
      <c r="H86">
        <v>342</v>
      </c>
      <c r="I86">
        <v>10260</v>
      </c>
      <c r="J86">
        <v>280</v>
      </c>
      <c r="K86">
        <v>7470</v>
      </c>
      <c r="L86">
        <v>133</v>
      </c>
      <c r="M86">
        <v>3990</v>
      </c>
      <c r="N86">
        <v>200</v>
      </c>
      <c r="O86">
        <v>6000</v>
      </c>
      <c r="P86">
        <v>187</v>
      </c>
      <c r="Q86">
        <v>5610</v>
      </c>
      <c r="R86">
        <v>850</v>
      </c>
      <c r="S86">
        <v>25500</v>
      </c>
      <c r="T86">
        <v>345</v>
      </c>
      <c r="U86">
        <v>10350</v>
      </c>
      <c r="V86">
        <v>1992</v>
      </c>
      <c r="W86" t="s">
        <v>10</v>
      </c>
      <c r="X86">
        <v>94</v>
      </c>
    </row>
    <row r="87" spans="1:24" x14ac:dyDescent="0.3">
      <c r="A87" t="s">
        <v>56</v>
      </c>
      <c r="B87" t="s">
        <v>57</v>
      </c>
      <c r="C87" t="s">
        <v>12</v>
      </c>
      <c r="D87">
        <v>7.5</v>
      </c>
      <c r="E87">
        <v>22.5</v>
      </c>
      <c r="F87">
        <v>70</v>
      </c>
      <c r="G87">
        <v>47.5</v>
      </c>
      <c r="H87">
        <v>360</v>
      </c>
      <c r="I87">
        <v>17100</v>
      </c>
      <c r="J87">
        <v>245</v>
      </c>
      <c r="K87">
        <v>9050</v>
      </c>
      <c r="L87">
        <v>133</v>
      </c>
      <c r="M87">
        <v>6317.5</v>
      </c>
      <c r="N87">
        <v>88</v>
      </c>
      <c r="O87">
        <v>4180</v>
      </c>
      <c r="P87">
        <v>10</v>
      </c>
      <c r="Q87">
        <v>475</v>
      </c>
      <c r="R87">
        <v>0</v>
      </c>
      <c r="S87">
        <v>0</v>
      </c>
      <c r="T87">
        <v>0</v>
      </c>
      <c r="U87">
        <v>0</v>
      </c>
      <c r="V87">
        <v>836</v>
      </c>
      <c r="W87" t="s">
        <v>10</v>
      </c>
      <c r="X87">
        <v>99</v>
      </c>
    </row>
    <row r="88" spans="1:24" x14ac:dyDescent="0.3">
      <c r="A88" t="s">
        <v>61</v>
      </c>
      <c r="B88" t="s">
        <v>62</v>
      </c>
      <c r="C88" t="s">
        <v>12</v>
      </c>
      <c r="D88">
        <v>3.5</v>
      </c>
      <c r="E88">
        <v>10.5</v>
      </c>
      <c r="F88">
        <v>35</v>
      </c>
      <c r="G88">
        <v>24.5</v>
      </c>
      <c r="H88">
        <v>433</v>
      </c>
      <c r="I88">
        <v>10608.5</v>
      </c>
      <c r="J88">
        <v>350</v>
      </c>
      <c r="K88">
        <v>7703.5</v>
      </c>
      <c r="L88">
        <v>235</v>
      </c>
      <c r="M88">
        <v>5757.5</v>
      </c>
      <c r="N88">
        <v>170</v>
      </c>
      <c r="O88">
        <v>4165</v>
      </c>
      <c r="P88">
        <v>55</v>
      </c>
      <c r="Q88">
        <v>1347.5</v>
      </c>
      <c r="R88">
        <v>135</v>
      </c>
      <c r="S88">
        <v>3307.5</v>
      </c>
      <c r="T88">
        <v>120</v>
      </c>
      <c r="U88">
        <v>2940</v>
      </c>
      <c r="V88">
        <v>1378</v>
      </c>
      <c r="W88" t="s">
        <v>10</v>
      </c>
      <c r="X88">
        <v>99</v>
      </c>
    </row>
    <row r="89" spans="1:24" x14ac:dyDescent="0.3">
      <c r="A89" t="s">
        <v>80</v>
      </c>
      <c r="B89" t="s">
        <v>81</v>
      </c>
      <c r="C89" t="s">
        <v>12</v>
      </c>
      <c r="D89">
        <v>6</v>
      </c>
      <c r="E89">
        <v>18</v>
      </c>
      <c r="F89">
        <v>60</v>
      </c>
      <c r="G89">
        <v>42</v>
      </c>
      <c r="H89">
        <v>444</v>
      </c>
      <c r="I89">
        <v>18648</v>
      </c>
      <c r="J89">
        <v>294</v>
      </c>
      <c r="K89">
        <v>9648</v>
      </c>
      <c r="L89">
        <v>180</v>
      </c>
      <c r="M89">
        <v>7560</v>
      </c>
      <c r="N89">
        <v>222</v>
      </c>
      <c r="O89">
        <v>9324</v>
      </c>
      <c r="P89">
        <v>493</v>
      </c>
      <c r="Q89">
        <v>20706</v>
      </c>
      <c r="R89">
        <v>450</v>
      </c>
      <c r="S89">
        <v>18900</v>
      </c>
      <c r="T89">
        <v>0</v>
      </c>
      <c r="U89">
        <v>0</v>
      </c>
      <c r="V89">
        <v>2083</v>
      </c>
      <c r="W89" t="s">
        <v>10</v>
      </c>
      <c r="X89">
        <v>96</v>
      </c>
    </row>
    <row r="90" spans="1:24" x14ac:dyDescent="0.3">
      <c r="A90" t="s">
        <v>15</v>
      </c>
      <c r="B90" t="s">
        <v>16</v>
      </c>
      <c r="C90" t="s">
        <v>12</v>
      </c>
      <c r="D90">
        <v>6</v>
      </c>
      <c r="E90">
        <v>18</v>
      </c>
      <c r="F90">
        <v>50</v>
      </c>
      <c r="G90">
        <v>32</v>
      </c>
      <c r="H90">
        <v>450</v>
      </c>
      <c r="I90">
        <v>14400</v>
      </c>
      <c r="J90">
        <v>300</v>
      </c>
      <c r="K90">
        <v>6900</v>
      </c>
      <c r="L90">
        <v>230</v>
      </c>
      <c r="M90">
        <v>7360</v>
      </c>
      <c r="N90">
        <v>200</v>
      </c>
      <c r="O90">
        <v>6400</v>
      </c>
      <c r="P90">
        <v>225</v>
      </c>
      <c r="Q90">
        <v>7200</v>
      </c>
      <c r="R90">
        <v>705</v>
      </c>
      <c r="S90">
        <v>22560</v>
      </c>
      <c r="T90">
        <v>680</v>
      </c>
      <c r="U90">
        <v>21760</v>
      </c>
      <c r="V90">
        <v>2110</v>
      </c>
      <c r="W90" t="s">
        <v>10</v>
      </c>
      <c r="X90">
        <v>92</v>
      </c>
    </row>
    <row r="91" spans="1:24" x14ac:dyDescent="0.3">
      <c r="A91" t="s">
        <v>64</v>
      </c>
      <c r="B91" t="s">
        <v>62</v>
      </c>
      <c r="C91" t="s">
        <v>12</v>
      </c>
      <c r="D91">
        <v>3.5</v>
      </c>
      <c r="E91">
        <v>10.5</v>
      </c>
      <c r="F91">
        <v>35</v>
      </c>
      <c r="G91">
        <v>24.5</v>
      </c>
      <c r="H91">
        <v>530</v>
      </c>
      <c r="I91">
        <v>12985</v>
      </c>
      <c r="J91">
        <v>480</v>
      </c>
      <c r="K91">
        <v>11235</v>
      </c>
      <c r="L91">
        <v>257</v>
      </c>
      <c r="M91">
        <v>6296.5</v>
      </c>
      <c r="N91">
        <v>200</v>
      </c>
      <c r="O91">
        <v>4900</v>
      </c>
      <c r="P91">
        <v>230</v>
      </c>
      <c r="Q91">
        <v>5635</v>
      </c>
      <c r="R91">
        <v>580</v>
      </c>
      <c r="S91">
        <v>14210</v>
      </c>
      <c r="T91">
        <v>578</v>
      </c>
      <c r="U91">
        <v>14161</v>
      </c>
      <c r="V91">
        <v>2277</v>
      </c>
      <c r="W91" t="s">
        <v>10</v>
      </c>
      <c r="X91">
        <v>95</v>
      </c>
    </row>
    <row r="92" spans="1:24" x14ac:dyDescent="0.3">
      <c r="A92" t="s">
        <v>36</v>
      </c>
      <c r="B92" t="s">
        <v>37</v>
      </c>
      <c r="C92" t="s">
        <v>12</v>
      </c>
      <c r="D92">
        <v>5</v>
      </c>
      <c r="E92">
        <v>15</v>
      </c>
      <c r="F92">
        <v>50</v>
      </c>
      <c r="G92">
        <v>35</v>
      </c>
      <c r="H92">
        <v>860</v>
      </c>
      <c r="I92">
        <v>30100</v>
      </c>
      <c r="J92">
        <v>744</v>
      </c>
      <c r="K92">
        <v>24300</v>
      </c>
      <c r="L92">
        <v>343</v>
      </c>
      <c r="M92">
        <v>12005</v>
      </c>
      <c r="N92">
        <v>320</v>
      </c>
      <c r="O92">
        <v>11200</v>
      </c>
      <c r="P92">
        <v>287</v>
      </c>
      <c r="Q92">
        <v>10045</v>
      </c>
      <c r="R92">
        <v>680</v>
      </c>
      <c r="S92">
        <v>23800</v>
      </c>
      <c r="T92">
        <v>623</v>
      </c>
      <c r="U92">
        <v>21805</v>
      </c>
      <c r="V92">
        <v>3234</v>
      </c>
      <c r="W92" t="s">
        <v>10</v>
      </c>
      <c r="X92">
        <v>96</v>
      </c>
    </row>
    <row r="93" spans="1:24" x14ac:dyDescent="0.3">
      <c r="A93" t="s">
        <v>34</v>
      </c>
      <c r="B93" t="s">
        <v>35</v>
      </c>
      <c r="C93" t="s">
        <v>12</v>
      </c>
      <c r="D93">
        <v>5</v>
      </c>
      <c r="E93">
        <v>15</v>
      </c>
      <c r="F93">
        <v>70</v>
      </c>
      <c r="G93">
        <v>55</v>
      </c>
      <c r="H93">
        <v>890</v>
      </c>
      <c r="I93">
        <v>48950</v>
      </c>
      <c r="J93">
        <v>765</v>
      </c>
      <c r="K93">
        <v>40200</v>
      </c>
      <c r="L93">
        <v>521</v>
      </c>
      <c r="M93">
        <v>28655</v>
      </c>
      <c r="N93">
        <v>220</v>
      </c>
      <c r="O93">
        <v>12100</v>
      </c>
      <c r="P93">
        <v>349</v>
      </c>
      <c r="Q93">
        <v>19195</v>
      </c>
      <c r="R93">
        <v>1385</v>
      </c>
      <c r="S93">
        <v>76175</v>
      </c>
      <c r="T93">
        <v>1290</v>
      </c>
      <c r="U93">
        <v>70950</v>
      </c>
      <c r="V93">
        <v>4130</v>
      </c>
      <c r="W93" t="s">
        <v>10</v>
      </c>
      <c r="X93">
        <v>93</v>
      </c>
    </row>
    <row r="94" spans="1:24" x14ac:dyDescent="0.3">
      <c r="A94" t="s">
        <v>7</v>
      </c>
      <c r="B94" t="s">
        <v>11</v>
      </c>
      <c r="C94" t="s">
        <v>12</v>
      </c>
      <c r="D94">
        <v>7</v>
      </c>
      <c r="E94">
        <v>21</v>
      </c>
      <c r="F94">
        <v>40</v>
      </c>
      <c r="G94">
        <v>19</v>
      </c>
      <c r="H94">
        <v>1300</v>
      </c>
      <c r="I94">
        <v>24700</v>
      </c>
      <c r="J94">
        <v>1250</v>
      </c>
      <c r="K94">
        <v>22700</v>
      </c>
      <c r="L94">
        <v>800</v>
      </c>
      <c r="M94">
        <v>15200</v>
      </c>
      <c r="N94">
        <v>750</v>
      </c>
      <c r="O94">
        <v>14250</v>
      </c>
      <c r="P94">
        <v>1200</v>
      </c>
      <c r="Q94">
        <v>22800</v>
      </c>
      <c r="R94">
        <v>2050</v>
      </c>
      <c r="S94">
        <v>38950</v>
      </c>
      <c r="T94">
        <v>1980</v>
      </c>
      <c r="U94">
        <v>37620</v>
      </c>
      <c r="V94">
        <v>7350</v>
      </c>
      <c r="W94" t="s">
        <v>10</v>
      </c>
      <c r="X94">
        <v>97</v>
      </c>
    </row>
    <row r="95" spans="1:24" x14ac:dyDescent="0.3">
      <c r="A95" t="s">
        <v>44</v>
      </c>
      <c r="B95" t="s">
        <v>45</v>
      </c>
      <c r="C95" t="s">
        <v>12</v>
      </c>
      <c r="D95">
        <v>3.5</v>
      </c>
      <c r="E95">
        <v>10.5</v>
      </c>
      <c r="F95">
        <v>35</v>
      </c>
      <c r="G95">
        <v>24.5</v>
      </c>
      <c r="H95">
        <v>1350</v>
      </c>
      <c r="I95">
        <v>33075</v>
      </c>
      <c r="J95">
        <v>1200</v>
      </c>
      <c r="K95">
        <v>27825</v>
      </c>
      <c r="L95">
        <v>567</v>
      </c>
      <c r="M95">
        <v>13891.5</v>
      </c>
      <c r="N95">
        <v>200</v>
      </c>
      <c r="O95">
        <v>4900</v>
      </c>
      <c r="P95">
        <v>540</v>
      </c>
      <c r="Q95">
        <v>13230</v>
      </c>
      <c r="R95">
        <v>1250</v>
      </c>
      <c r="S95">
        <v>30625</v>
      </c>
      <c r="T95">
        <v>890</v>
      </c>
      <c r="U95">
        <v>21805</v>
      </c>
      <c r="V95">
        <v>5107</v>
      </c>
      <c r="W95" t="s">
        <v>10</v>
      </c>
      <c r="X95">
        <v>91</v>
      </c>
    </row>
    <row r="96" spans="1:24" x14ac:dyDescent="0.3">
      <c r="A96" t="s">
        <v>42</v>
      </c>
      <c r="B96" t="s">
        <v>35</v>
      </c>
      <c r="C96" t="s">
        <v>12</v>
      </c>
      <c r="D96">
        <v>4</v>
      </c>
      <c r="E96">
        <v>12</v>
      </c>
      <c r="F96">
        <v>55</v>
      </c>
      <c r="G96">
        <v>43</v>
      </c>
      <c r="H96">
        <v>1450</v>
      </c>
      <c r="I96">
        <v>62350</v>
      </c>
      <c r="J96">
        <v>834</v>
      </c>
      <c r="K96">
        <v>28470</v>
      </c>
      <c r="L96">
        <v>620</v>
      </c>
      <c r="M96">
        <v>26660</v>
      </c>
      <c r="N96">
        <v>348</v>
      </c>
      <c r="O96">
        <v>14964</v>
      </c>
      <c r="P96">
        <v>930</v>
      </c>
      <c r="Q96">
        <v>39990</v>
      </c>
      <c r="R96">
        <v>870</v>
      </c>
      <c r="S96">
        <v>37410</v>
      </c>
      <c r="T96">
        <v>850</v>
      </c>
      <c r="U96">
        <v>36550</v>
      </c>
      <c r="V96">
        <v>5052</v>
      </c>
      <c r="W96" t="s">
        <v>10</v>
      </c>
      <c r="X96">
        <v>96</v>
      </c>
    </row>
    <row r="97" spans="1:24" x14ac:dyDescent="0.3">
      <c r="A97" t="s">
        <v>23</v>
      </c>
      <c r="B97" t="s">
        <v>24</v>
      </c>
      <c r="C97" t="s">
        <v>12</v>
      </c>
      <c r="D97">
        <v>7</v>
      </c>
      <c r="E97">
        <v>21</v>
      </c>
      <c r="F97">
        <v>55</v>
      </c>
      <c r="G97">
        <v>34</v>
      </c>
      <c r="H97">
        <v>1578</v>
      </c>
      <c r="I97">
        <v>53652</v>
      </c>
      <c r="J97">
        <v>1450</v>
      </c>
      <c r="K97">
        <v>46612</v>
      </c>
      <c r="L97">
        <v>1135</v>
      </c>
      <c r="M97">
        <v>38590</v>
      </c>
      <c r="N97">
        <v>957</v>
      </c>
      <c r="O97">
        <v>32538</v>
      </c>
      <c r="P97">
        <v>2300</v>
      </c>
      <c r="Q97">
        <v>78200</v>
      </c>
      <c r="R97">
        <v>2780</v>
      </c>
      <c r="S97">
        <v>94520</v>
      </c>
      <c r="T97">
        <v>2800</v>
      </c>
      <c r="U97">
        <v>95200</v>
      </c>
      <c r="V97">
        <v>10200</v>
      </c>
      <c r="W97" t="s">
        <v>10</v>
      </c>
      <c r="X97">
        <v>95</v>
      </c>
    </row>
    <row r="98" spans="1:24" x14ac:dyDescent="0.3"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4" x14ac:dyDescent="0.3"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1:24" x14ac:dyDescent="0.3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4" x14ac:dyDescent="0.3"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1:24" x14ac:dyDescent="0.3"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4" x14ac:dyDescent="0.3"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4" x14ac:dyDescent="0.3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4" x14ac:dyDescent="0.3"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1:24" x14ac:dyDescent="0.3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1:24" x14ac:dyDescent="0.3"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1:24" x14ac:dyDescent="0.3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1:24" x14ac:dyDescent="0.3"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1:24" x14ac:dyDescent="0.3"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4" x14ac:dyDescent="0.3"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4" x14ac:dyDescent="0.3"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spans="3:23" x14ac:dyDescent="0.3"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3:23" x14ac:dyDescent="0.3"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3:23" x14ac:dyDescent="0.3"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</row>
    <row r="196" spans="3:23" x14ac:dyDescent="0.3"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</row>
    <row r="197" spans="3:23" x14ac:dyDescent="0.3"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</row>
    <row r="198" spans="3:23" x14ac:dyDescent="0.3"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 spans="3:23" x14ac:dyDescent="0.3"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</row>
    <row r="200" spans="3:23" x14ac:dyDescent="0.3"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</row>
    <row r="201" spans="3:23" x14ac:dyDescent="0.3"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</row>
    <row r="202" spans="3:23" x14ac:dyDescent="0.3"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 spans="3:23" x14ac:dyDescent="0.3"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</row>
    <row r="204" spans="3:23" x14ac:dyDescent="0.3"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</row>
    <row r="205" spans="3:23" ht="15" thickBot="1" x14ac:dyDescent="0.35"/>
    <row r="206" spans="3:23" ht="15" thickTop="1" x14ac:dyDescent="0.3">
      <c r="C206" s="23"/>
      <c r="H206" s="41"/>
      <c r="N206" s="50"/>
      <c r="O206" s="50"/>
      <c r="P206" s="50"/>
      <c r="Q206" s="50"/>
      <c r="R206" s="50"/>
      <c r="S206" s="50"/>
      <c r="T206" s="50"/>
      <c r="U206" s="50"/>
      <c r="V206" s="50"/>
    </row>
    <row r="207" spans="3:23" x14ac:dyDescent="0.3">
      <c r="C207" s="8"/>
      <c r="L207" s="23"/>
      <c r="M207" s="23"/>
    </row>
  </sheetData>
  <mergeCells count="1">
    <mergeCell ref="N206:V20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2C94-6AED-469C-B46B-E8B73E4E8343}">
  <dimension ref="A1:Z207"/>
  <sheetViews>
    <sheetView zoomScale="70" zoomScaleNormal="70" workbookViewId="0">
      <selection activeCell="J12" sqref="J12"/>
    </sheetView>
  </sheetViews>
  <sheetFormatPr defaultRowHeight="14.4" x14ac:dyDescent="0.3"/>
  <cols>
    <col min="1" max="1" width="12.109375" customWidth="1"/>
    <col min="2" max="2" width="28.88671875" customWidth="1"/>
    <col min="3" max="3" width="21.33203125" customWidth="1"/>
    <col min="4" max="4" width="19.88671875" style="3" customWidth="1"/>
    <col min="5" max="5" width="15.6640625" style="3" customWidth="1"/>
    <col min="6" max="6" width="21.44140625" style="3" customWidth="1"/>
    <col min="7" max="8" width="14.109375" style="3" customWidth="1"/>
    <col min="9" max="9" width="13.6640625" style="8" customWidth="1"/>
    <col min="10" max="10" width="14.33203125" style="8" customWidth="1"/>
    <col min="11" max="11" width="13.6640625" style="8" customWidth="1"/>
    <col min="12" max="12" width="15.5546875" style="8" customWidth="1"/>
    <col min="13" max="14" width="15.21875" style="8" customWidth="1"/>
    <col min="15" max="16" width="15" style="8" customWidth="1"/>
    <col min="17" max="17" width="13.6640625" style="8" customWidth="1"/>
    <col min="18" max="18" width="14.109375" style="8" customWidth="1"/>
    <col min="19" max="19" width="13.6640625" style="8" customWidth="1"/>
    <col min="20" max="20" width="14.109375" style="8" customWidth="1"/>
    <col min="21" max="22" width="15" style="8" customWidth="1"/>
    <col min="23" max="23" width="25.77734375" style="8" customWidth="1"/>
    <col min="24" max="24" width="17.88671875" style="3" customWidth="1"/>
    <col min="25" max="25" width="24.33203125" customWidth="1"/>
    <col min="26" max="26" width="31.33203125" customWidth="1"/>
    <col min="29" max="29" width="20.77734375" customWidth="1"/>
    <col min="30" max="30" width="21.109375" customWidth="1"/>
  </cols>
  <sheetData>
    <row r="1" spans="1:26" x14ac:dyDescent="0.3">
      <c r="A1" s="81" t="s">
        <v>0</v>
      </c>
      <c r="B1" s="82" t="s">
        <v>1</v>
      </c>
      <c r="C1" s="82" t="s">
        <v>2</v>
      </c>
      <c r="D1" s="83" t="s">
        <v>288</v>
      </c>
      <c r="E1" s="83" t="s">
        <v>325</v>
      </c>
      <c r="F1" s="83" t="s">
        <v>287</v>
      </c>
      <c r="G1" s="83" t="s">
        <v>246</v>
      </c>
      <c r="H1" s="83" t="s">
        <v>384</v>
      </c>
      <c r="I1" s="84" t="s">
        <v>231</v>
      </c>
      <c r="J1" s="84" t="s">
        <v>245</v>
      </c>
      <c r="K1" s="84" t="s">
        <v>232</v>
      </c>
      <c r="L1" s="84" t="s">
        <v>247</v>
      </c>
      <c r="M1" s="84" t="s">
        <v>233</v>
      </c>
      <c r="N1" s="84" t="s">
        <v>248</v>
      </c>
      <c r="O1" s="84" t="s">
        <v>234</v>
      </c>
      <c r="P1" s="84" t="s">
        <v>249</v>
      </c>
      <c r="Q1" s="84" t="s">
        <v>235</v>
      </c>
      <c r="R1" s="84" t="s">
        <v>250</v>
      </c>
      <c r="S1" s="84" t="s">
        <v>236</v>
      </c>
      <c r="T1" s="84" t="s">
        <v>251</v>
      </c>
      <c r="U1" s="84" t="s">
        <v>237</v>
      </c>
      <c r="V1" s="84" t="s">
        <v>252</v>
      </c>
      <c r="W1" s="85" t="s">
        <v>238</v>
      </c>
      <c r="X1" s="86" t="s">
        <v>385</v>
      </c>
      <c r="Y1" s="87" t="s">
        <v>6</v>
      </c>
      <c r="Z1" t="s">
        <v>377</v>
      </c>
    </row>
    <row r="2" spans="1:26" x14ac:dyDescent="0.3">
      <c r="A2" s="93" t="s">
        <v>161</v>
      </c>
      <c r="B2" s="94" t="s">
        <v>162</v>
      </c>
      <c r="C2" s="98" t="s">
        <v>9</v>
      </c>
      <c r="D2" s="95">
        <v>8</v>
      </c>
      <c r="E2" s="95">
        <f>D2*2.8</f>
        <v>22.4</v>
      </c>
      <c r="F2" s="95">
        <v>125</v>
      </c>
      <c r="G2" s="95">
        <f>F2-E2</f>
        <v>102.6</v>
      </c>
      <c r="H2" s="95">
        <f>(CleanedDataset!$F31-CleanedDataset!$E31)/CleanedDataset!$F31</f>
        <v>0.66666666666666663</v>
      </c>
      <c r="I2" s="96">
        <v>45</v>
      </c>
      <c r="J2" s="96">
        <f>I2*F2-I2*E2</f>
        <v>4617</v>
      </c>
      <c r="K2" s="96">
        <v>50</v>
      </c>
      <c r="L2" s="96">
        <f>K2*F2-I2*E2</f>
        <v>5242</v>
      </c>
      <c r="M2" s="96">
        <v>80</v>
      </c>
      <c r="N2" s="96">
        <f>M2*F2-M2*E2</f>
        <v>8208</v>
      </c>
      <c r="O2" s="96">
        <v>50</v>
      </c>
      <c r="P2" s="96">
        <f>O2*F2-O2*E2</f>
        <v>5130</v>
      </c>
      <c r="Q2" s="96">
        <v>120</v>
      </c>
      <c r="R2" s="96">
        <f>Q2*F2-Q2*E2</f>
        <v>12312</v>
      </c>
      <c r="S2" s="96">
        <v>103</v>
      </c>
      <c r="T2" s="96">
        <f>S2*F2-S2*E2</f>
        <v>10567.8</v>
      </c>
      <c r="U2" s="96">
        <v>69</v>
      </c>
      <c r="V2" s="96">
        <f>U2*F2-U2*E2</f>
        <v>7079.4</v>
      </c>
      <c r="W2" s="96">
        <f>SUM(S2,Q2,O2,M2,K2,I2)</f>
        <v>448</v>
      </c>
      <c r="X2" s="95" t="s">
        <v>144</v>
      </c>
      <c r="Y2" s="97">
        <v>100</v>
      </c>
      <c r="Z2">
        <f>D2*I2</f>
        <v>360</v>
      </c>
    </row>
    <row r="3" spans="1:26" x14ac:dyDescent="0.3">
      <c r="A3" s="88" t="s">
        <v>167</v>
      </c>
      <c r="B3" s="89" t="s">
        <v>168</v>
      </c>
      <c r="C3" s="100" t="s">
        <v>9</v>
      </c>
      <c r="D3" s="90">
        <v>45</v>
      </c>
      <c r="E3" s="90">
        <f>D3*2.8</f>
        <v>125.99999999999999</v>
      </c>
      <c r="F3" s="90">
        <v>300</v>
      </c>
      <c r="G3" s="90">
        <f>F3-E3</f>
        <v>174</v>
      </c>
      <c r="H3" s="90">
        <f>(CleanedDataset!$F20-CleanedDataset!$E20)/CleanedDataset!$F20</f>
        <v>0.7</v>
      </c>
      <c r="I3" s="91">
        <v>23</v>
      </c>
      <c r="J3" s="91">
        <f>I3*F3-I3*E3</f>
        <v>4002.0000000000005</v>
      </c>
      <c r="K3" s="91">
        <v>20</v>
      </c>
      <c r="L3" s="91">
        <f>K3*F3-I3*E3</f>
        <v>3102.0000000000005</v>
      </c>
      <c r="M3" s="91">
        <v>15</v>
      </c>
      <c r="N3" s="91">
        <f>M3*F3-M3*E3</f>
        <v>2610</v>
      </c>
      <c r="O3" s="91">
        <v>10</v>
      </c>
      <c r="P3" s="91">
        <f>O3*F3-O3*E3</f>
        <v>1740.0000000000002</v>
      </c>
      <c r="Q3" s="91">
        <v>13</v>
      </c>
      <c r="R3" s="91">
        <f>Q3*F3-Q3*E3</f>
        <v>2262</v>
      </c>
      <c r="S3" s="91">
        <v>20</v>
      </c>
      <c r="T3" s="91">
        <f>S3*F3-S3*E3</f>
        <v>3480.0000000000005</v>
      </c>
      <c r="U3" s="91">
        <v>15</v>
      </c>
      <c r="V3" s="91">
        <f>U3*F3-U3*E3</f>
        <v>2610</v>
      </c>
      <c r="W3" s="91">
        <f>SUM(S3,Q3,O3,M3,K3,I3)</f>
        <v>101</v>
      </c>
      <c r="X3" s="90" t="s">
        <v>144</v>
      </c>
      <c r="Y3" s="92">
        <v>98</v>
      </c>
      <c r="Z3">
        <f>D3*I3</f>
        <v>1035</v>
      </c>
    </row>
    <row r="4" spans="1:26" x14ac:dyDescent="0.3">
      <c r="A4" s="93" t="s">
        <v>145</v>
      </c>
      <c r="B4" s="94" t="s">
        <v>146</v>
      </c>
      <c r="C4" s="98" t="s">
        <v>9</v>
      </c>
      <c r="D4" s="95">
        <v>20</v>
      </c>
      <c r="E4" s="95">
        <f>D4*2.8</f>
        <v>56</v>
      </c>
      <c r="F4" s="95">
        <v>150</v>
      </c>
      <c r="G4" s="95">
        <f>F4-E4</f>
        <v>94</v>
      </c>
      <c r="H4" s="95">
        <f>(CleanedDataset!$F47-CleanedDataset!$E47)/CleanedDataset!$F47</f>
        <v>0.64102564102564108</v>
      </c>
      <c r="I4" s="96">
        <v>230</v>
      </c>
      <c r="J4" s="96">
        <f>I4*F4-I4*E4</f>
        <v>21620</v>
      </c>
      <c r="K4" s="96">
        <v>215</v>
      </c>
      <c r="L4" s="96">
        <f>K4*F4-I4*E4</f>
        <v>19370</v>
      </c>
      <c r="M4" s="96">
        <v>150</v>
      </c>
      <c r="N4" s="96">
        <f>M4*F4-M4*E4</f>
        <v>14100</v>
      </c>
      <c r="O4" s="96">
        <v>20</v>
      </c>
      <c r="P4" s="96">
        <f>O4*F4-O4*E4</f>
        <v>1880</v>
      </c>
      <c r="Q4" s="96">
        <v>80</v>
      </c>
      <c r="R4" s="96">
        <f>Q4*F4-Q4*E4</f>
        <v>7520</v>
      </c>
      <c r="S4" s="96">
        <v>40</v>
      </c>
      <c r="T4" s="96">
        <f>S4*F4-S4*E4</f>
        <v>3760</v>
      </c>
      <c r="U4" s="96">
        <v>50</v>
      </c>
      <c r="V4" s="96">
        <f>U4*F4-U4*E4</f>
        <v>4700</v>
      </c>
      <c r="W4" s="96">
        <f>SUM(S4,Q4,O4,M4,K4,I4)</f>
        <v>735</v>
      </c>
      <c r="X4" s="95" t="s">
        <v>144</v>
      </c>
      <c r="Y4" s="97">
        <v>97</v>
      </c>
      <c r="Z4">
        <f>D4*I4</f>
        <v>4600</v>
      </c>
    </row>
    <row r="5" spans="1:26" x14ac:dyDescent="0.3">
      <c r="A5" s="93" t="s">
        <v>56</v>
      </c>
      <c r="B5" s="94" t="s">
        <v>57</v>
      </c>
      <c r="C5" s="98" t="s">
        <v>43</v>
      </c>
      <c r="D5" s="95">
        <v>7.5</v>
      </c>
      <c r="E5" s="95">
        <f>D5*3</f>
        <v>22.5</v>
      </c>
      <c r="F5" s="95">
        <v>70</v>
      </c>
      <c r="G5" s="95">
        <f>F5-E5</f>
        <v>47.5</v>
      </c>
      <c r="H5" s="95">
        <f>(CleanedDataset!$F73-CleanedDataset!$E73)/CleanedDataset!$F73</f>
        <v>0.8222222222222223</v>
      </c>
      <c r="I5" s="96">
        <v>5</v>
      </c>
      <c r="J5" s="96">
        <f>I5*F5-I5*E5</f>
        <v>237.5</v>
      </c>
      <c r="K5" s="96">
        <v>0</v>
      </c>
      <c r="L5" s="96">
        <f>K5*F5-I5*E5</f>
        <v>-112.5</v>
      </c>
      <c r="M5" s="96">
        <v>0</v>
      </c>
      <c r="N5" s="96">
        <f>M5*F5-M5*E5</f>
        <v>0</v>
      </c>
      <c r="O5" s="96">
        <v>0</v>
      </c>
      <c r="P5" s="96">
        <f>O5*F5-O5*E5</f>
        <v>0</v>
      </c>
      <c r="Q5" s="96">
        <v>0</v>
      </c>
      <c r="R5" s="96">
        <f>Q5*F5-Q5*E5</f>
        <v>0</v>
      </c>
      <c r="S5" s="96">
        <v>0</v>
      </c>
      <c r="T5" s="96">
        <f>S5*F5-S5*E5</f>
        <v>0</v>
      </c>
      <c r="U5" s="96">
        <v>0</v>
      </c>
      <c r="V5" s="96">
        <f>U5*F5-U5*E5</f>
        <v>0</v>
      </c>
      <c r="W5" s="96">
        <f>SUM(S5,Q5,O5,M5,K5,I5)</f>
        <v>5</v>
      </c>
      <c r="X5" s="95" t="s">
        <v>10</v>
      </c>
      <c r="Y5" s="97">
        <v>96</v>
      </c>
      <c r="Z5">
        <f>D5*I5</f>
        <v>37.5</v>
      </c>
    </row>
    <row r="6" spans="1:26" x14ac:dyDescent="0.3">
      <c r="A6" s="93" t="s">
        <v>56</v>
      </c>
      <c r="B6" s="94" t="s">
        <v>57</v>
      </c>
      <c r="C6" s="98" t="s">
        <v>12</v>
      </c>
      <c r="D6" s="95">
        <v>7.5</v>
      </c>
      <c r="E6" s="95">
        <f>D6*3</f>
        <v>22.5</v>
      </c>
      <c r="F6" s="95">
        <v>70</v>
      </c>
      <c r="G6" s="95">
        <f>F6-E6</f>
        <v>47.5</v>
      </c>
      <c r="H6" s="95">
        <f>(CleanedDataset!$F159-CleanedDataset!$E159)/CleanedDataset!$F159</f>
        <v>0.25</v>
      </c>
      <c r="I6" s="96">
        <v>360</v>
      </c>
      <c r="J6" s="96">
        <f>I6*F6-I6*E6</f>
        <v>17100</v>
      </c>
      <c r="K6" s="96">
        <v>245</v>
      </c>
      <c r="L6" s="96">
        <f>K6*F6-I6*E6</f>
        <v>9050</v>
      </c>
      <c r="M6" s="96">
        <v>133</v>
      </c>
      <c r="N6" s="96">
        <f>M6*F6-M6*E6</f>
        <v>6317.5</v>
      </c>
      <c r="O6" s="96">
        <v>88</v>
      </c>
      <c r="P6" s="96">
        <f>O6*F6-O6*E6</f>
        <v>4180</v>
      </c>
      <c r="Q6" s="96">
        <v>10</v>
      </c>
      <c r="R6" s="96">
        <f>Q6*F6-Q6*E6</f>
        <v>475</v>
      </c>
      <c r="S6" s="96">
        <v>0</v>
      </c>
      <c r="T6" s="96">
        <f>S6*F6-S6*E6</f>
        <v>0</v>
      </c>
      <c r="U6" s="96">
        <v>0</v>
      </c>
      <c r="V6" s="96">
        <f>U6*F6-U6*E6</f>
        <v>0</v>
      </c>
      <c r="W6" s="96">
        <f>SUM(S6,Q6,O6,M6,K6,I6)</f>
        <v>836</v>
      </c>
      <c r="X6" s="95" t="s">
        <v>10</v>
      </c>
      <c r="Y6" s="97">
        <v>99</v>
      </c>
      <c r="Z6">
        <f>D6*I6</f>
        <v>2700</v>
      </c>
    </row>
    <row r="7" spans="1:26" x14ac:dyDescent="0.3">
      <c r="A7" s="93" t="s">
        <v>56</v>
      </c>
      <c r="B7" s="94" t="s">
        <v>57</v>
      </c>
      <c r="C7" s="98" t="s">
        <v>9</v>
      </c>
      <c r="D7" s="95">
        <v>7.5</v>
      </c>
      <c r="E7" s="95">
        <f>D7*2.8</f>
        <v>21</v>
      </c>
      <c r="F7" s="95">
        <v>58</v>
      </c>
      <c r="G7" s="95">
        <f>F7-E7</f>
        <v>37</v>
      </c>
      <c r="H7" s="95">
        <f>(CleanedDataset!$F41-CleanedDataset!$E41)/CleanedDataset!$F41</f>
        <v>0.56444444444444453</v>
      </c>
      <c r="I7" s="96">
        <v>94</v>
      </c>
      <c r="J7" s="96">
        <f>I7*F7-I7*E7</f>
        <v>3478</v>
      </c>
      <c r="K7" s="96">
        <v>138</v>
      </c>
      <c r="L7" s="96">
        <f>K7*F7-I7*E7</f>
        <v>6030</v>
      </c>
      <c r="M7" s="96">
        <v>124</v>
      </c>
      <c r="N7" s="96">
        <f>M7*F7-M7*E7</f>
        <v>4588</v>
      </c>
      <c r="O7" s="96">
        <v>72</v>
      </c>
      <c r="P7" s="96">
        <f>O7*F7-O7*E7</f>
        <v>2664</v>
      </c>
      <c r="Q7" s="96">
        <v>10</v>
      </c>
      <c r="R7" s="96">
        <f>Q7*F7-Q7*E7</f>
        <v>370</v>
      </c>
      <c r="S7" s="96">
        <v>0</v>
      </c>
      <c r="T7" s="96">
        <f>S7*F7-S7*E7</f>
        <v>0</v>
      </c>
      <c r="U7" s="96">
        <v>0</v>
      </c>
      <c r="V7" s="96">
        <f>U7*F7-U7*E7</f>
        <v>0</v>
      </c>
      <c r="W7" s="96">
        <f>SUM(S7,Q7,O7,M7,K7,I7)</f>
        <v>438</v>
      </c>
      <c r="X7" s="95" t="s">
        <v>10</v>
      </c>
      <c r="Y7" s="97">
        <v>99</v>
      </c>
      <c r="Z7">
        <f>D7*I7</f>
        <v>705</v>
      </c>
    </row>
    <row r="8" spans="1:26" x14ac:dyDescent="0.3">
      <c r="A8" s="88" t="s">
        <v>15</v>
      </c>
      <c r="B8" s="89" t="s">
        <v>16</v>
      </c>
      <c r="C8" s="89" t="s">
        <v>17</v>
      </c>
      <c r="D8" s="90">
        <v>6</v>
      </c>
      <c r="E8" s="90">
        <f>D8*3.2</f>
        <v>19.200000000000003</v>
      </c>
      <c r="F8" s="90">
        <v>55</v>
      </c>
      <c r="G8" s="90">
        <f>F8-E8</f>
        <v>35.799999999999997</v>
      </c>
      <c r="H8" s="90">
        <f>(CleanedDataset!$F126-CleanedDataset!$E126)/CleanedDataset!$F126</f>
        <v>0.61891891891891893</v>
      </c>
      <c r="I8" s="91">
        <v>530</v>
      </c>
      <c r="J8" s="91">
        <f>I8*F8-I8*E8</f>
        <v>18974</v>
      </c>
      <c r="K8" s="91">
        <v>135</v>
      </c>
      <c r="L8" s="91">
        <f>K8*F8-I8*E8</f>
        <v>-2751.0000000000018</v>
      </c>
      <c r="M8" s="91">
        <v>0</v>
      </c>
      <c r="N8" s="91">
        <f>M8*F8-M8*E8</f>
        <v>0</v>
      </c>
      <c r="O8" s="91">
        <v>0</v>
      </c>
      <c r="P8" s="91">
        <f>O8*F8-O8*E8</f>
        <v>0</v>
      </c>
      <c r="Q8" s="91">
        <v>0</v>
      </c>
      <c r="R8" s="91">
        <f>Q8*F8-Q8*E8</f>
        <v>0</v>
      </c>
      <c r="S8" s="91">
        <v>0</v>
      </c>
      <c r="T8" s="91">
        <f>S8*F8-S8*E8</f>
        <v>0</v>
      </c>
      <c r="U8" s="91">
        <v>0</v>
      </c>
      <c r="V8" s="91">
        <f>U8*F8-U8*E8</f>
        <v>0</v>
      </c>
      <c r="W8" s="91">
        <f>SUM(S8,Q8,O8,M8,K8,I8)</f>
        <v>665</v>
      </c>
      <c r="X8" s="90" t="s">
        <v>10</v>
      </c>
      <c r="Y8" s="92">
        <v>90</v>
      </c>
      <c r="Z8">
        <f>D8*I8</f>
        <v>3180</v>
      </c>
    </row>
    <row r="9" spans="1:26" x14ac:dyDescent="0.3">
      <c r="A9" s="88" t="s">
        <v>15</v>
      </c>
      <c r="B9" s="89" t="s">
        <v>16</v>
      </c>
      <c r="C9" s="89" t="s">
        <v>12</v>
      </c>
      <c r="D9" s="90">
        <v>6</v>
      </c>
      <c r="E9" s="90">
        <f>D9*3</f>
        <v>18</v>
      </c>
      <c r="F9" s="90">
        <v>50</v>
      </c>
      <c r="G9" s="90">
        <f>F9-E9</f>
        <v>32</v>
      </c>
      <c r="H9" s="90">
        <f>(CleanedDataset!$F162-CleanedDataset!$E162)/CleanedDataset!$F162</f>
        <v>0.83666666666666667</v>
      </c>
      <c r="I9" s="91">
        <v>450</v>
      </c>
      <c r="J9" s="91">
        <f>I9*F9-I9*E9</f>
        <v>14400</v>
      </c>
      <c r="K9" s="91">
        <v>300</v>
      </c>
      <c r="L9" s="91">
        <f>K9*F9-I9*E9</f>
        <v>6900</v>
      </c>
      <c r="M9" s="91">
        <v>230</v>
      </c>
      <c r="N9" s="91">
        <f>M9*F9-M9*E9</f>
        <v>7360</v>
      </c>
      <c r="O9" s="91">
        <v>200</v>
      </c>
      <c r="P9" s="91">
        <f>O9*F9-O9*E9</f>
        <v>6400</v>
      </c>
      <c r="Q9" s="91">
        <v>225</v>
      </c>
      <c r="R9" s="91">
        <f>Q9*F9-Q9*E9</f>
        <v>7200</v>
      </c>
      <c r="S9" s="91">
        <v>705</v>
      </c>
      <c r="T9" s="91">
        <f>S9*F9-S9*E9</f>
        <v>22560</v>
      </c>
      <c r="U9" s="91">
        <v>680</v>
      </c>
      <c r="V9" s="91">
        <f>U9*F9-U9*E9</f>
        <v>21760</v>
      </c>
      <c r="W9" s="91">
        <f>SUM(S9,Q9,O9,M9,K9,I9)</f>
        <v>2110</v>
      </c>
      <c r="X9" s="90" t="s">
        <v>10</v>
      </c>
      <c r="Y9" s="92">
        <v>92</v>
      </c>
      <c r="Z9">
        <f>D9*I9</f>
        <v>2700</v>
      </c>
    </row>
    <row r="10" spans="1:26" x14ac:dyDescent="0.3">
      <c r="A10" s="93" t="s">
        <v>15</v>
      </c>
      <c r="B10" s="94" t="s">
        <v>16</v>
      </c>
      <c r="C10" s="94" t="s">
        <v>9</v>
      </c>
      <c r="D10" s="95">
        <v>6</v>
      </c>
      <c r="E10" s="95">
        <f>D10*2.8</f>
        <v>16.799999999999997</v>
      </c>
      <c r="F10" s="95">
        <v>40</v>
      </c>
      <c r="G10" s="95">
        <f>F10-E10</f>
        <v>23.200000000000003</v>
      </c>
      <c r="H10" s="95">
        <f>(CleanedDataset!$F53-CleanedDataset!$E53)/CleanedDataset!$F53</f>
        <v>0.7</v>
      </c>
      <c r="I10" s="96">
        <v>405</v>
      </c>
      <c r="J10" s="96">
        <f>I10*F10-I10*E10</f>
        <v>9396</v>
      </c>
      <c r="K10" s="96">
        <v>534</v>
      </c>
      <c r="L10" s="96">
        <f>K10*F10-I10*E10</f>
        <v>14556</v>
      </c>
      <c r="M10" s="96">
        <v>987</v>
      </c>
      <c r="N10" s="96">
        <f>M10*F10-M10*E10</f>
        <v>22898.400000000001</v>
      </c>
      <c r="O10" s="96">
        <v>1917</v>
      </c>
      <c r="P10" s="96">
        <f>O10*F10-O10*E10</f>
        <v>44474.400000000009</v>
      </c>
      <c r="Q10" s="96">
        <v>1047</v>
      </c>
      <c r="R10" s="96">
        <f>Q10*F10-Q10*E10</f>
        <v>24290.400000000001</v>
      </c>
      <c r="S10" s="96">
        <v>326</v>
      </c>
      <c r="T10" s="96">
        <f>S10*F10-S10*E10</f>
        <v>7563.2000000000007</v>
      </c>
      <c r="U10" s="96">
        <v>857</v>
      </c>
      <c r="V10" s="96">
        <f>U10*F10-U10*E10</f>
        <v>19882.400000000001</v>
      </c>
      <c r="W10" s="96">
        <f>SUM(S10,Q10,O10,M10,K10,I10)</f>
        <v>5216</v>
      </c>
      <c r="X10" s="95" t="s">
        <v>10</v>
      </c>
      <c r="Y10" s="97">
        <v>92</v>
      </c>
      <c r="Z10">
        <f>D10*I10</f>
        <v>2430</v>
      </c>
    </row>
    <row r="11" spans="1:26" x14ac:dyDescent="0.3">
      <c r="A11" s="93" t="s">
        <v>44</v>
      </c>
      <c r="B11" s="94" t="s">
        <v>45</v>
      </c>
      <c r="C11" s="98" t="s">
        <v>12</v>
      </c>
      <c r="D11" s="95">
        <v>3.5</v>
      </c>
      <c r="E11" s="95">
        <f>D11*3</f>
        <v>10.5</v>
      </c>
      <c r="F11" s="95">
        <v>35</v>
      </c>
      <c r="G11" s="95">
        <f>F11-E11</f>
        <v>24.5</v>
      </c>
      <c r="H11" s="95">
        <f>(CleanedDataset!$F167-CleanedDataset!$E167)/CleanedDataset!$F167</f>
        <v>0.29292929292929293</v>
      </c>
      <c r="I11" s="96">
        <v>1350</v>
      </c>
      <c r="J11" s="96">
        <f>I11*F11-I11*E11</f>
        <v>33075</v>
      </c>
      <c r="K11" s="96">
        <v>1200</v>
      </c>
      <c r="L11" s="96">
        <f>K11*F11-I11*E11</f>
        <v>27825</v>
      </c>
      <c r="M11" s="96">
        <v>567</v>
      </c>
      <c r="N11" s="96">
        <f>M11*F11-M11*E11</f>
        <v>13891.5</v>
      </c>
      <c r="O11" s="96">
        <v>200</v>
      </c>
      <c r="P11" s="96">
        <f>O11*F11-O11*E11</f>
        <v>4900</v>
      </c>
      <c r="Q11" s="96">
        <v>540</v>
      </c>
      <c r="R11" s="96">
        <f>Q11*F11-Q11*E11</f>
        <v>13230</v>
      </c>
      <c r="S11" s="96">
        <v>1250</v>
      </c>
      <c r="T11" s="96">
        <f>S11*F11-S11*E11</f>
        <v>30625</v>
      </c>
      <c r="U11" s="96">
        <v>890</v>
      </c>
      <c r="V11" s="96">
        <f>U11*F11-U11*E11</f>
        <v>21805</v>
      </c>
      <c r="W11" s="96">
        <f>SUM(S11,Q11,O11,M11,K11,I11)</f>
        <v>5107</v>
      </c>
      <c r="X11" s="95" t="s">
        <v>10</v>
      </c>
      <c r="Y11" s="97">
        <v>91</v>
      </c>
      <c r="Z11">
        <f>D11*I11</f>
        <v>4725</v>
      </c>
    </row>
    <row r="12" spans="1:26" x14ac:dyDescent="0.3">
      <c r="A12" s="88" t="s">
        <v>44</v>
      </c>
      <c r="B12" s="89" t="s">
        <v>45</v>
      </c>
      <c r="C12" s="100" t="s">
        <v>9</v>
      </c>
      <c r="D12" s="90">
        <v>3.5</v>
      </c>
      <c r="E12" s="90">
        <f>D12*2.8</f>
        <v>9.7999999999999989</v>
      </c>
      <c r="F12" s="90">
        <v>25</v>
      </c>
      <c r="G12" s="90">
        <f>F12-E12</f>
        <v>15.200000000000001</v>
      </c>
      <c r="H12" s="90">
        <f>(CleanedDataset!$F56-CleanedDataset!$E56)/CleanedDataset!$F56</f>
        <v>0.68802228412256272</v>
      </c>
      <c r="I12" s="91">
        <v>604</v>
      </c>
      <c r="J12" s="91">
        <f>I12*F12-I12*E12</f>
        <v>9180.8000000000011</v>
      </c>
      <c r="K12" s="91">
        <v>339</v>
      </c>
      <c r="L12" s="91">
        <f>K12*F12-I12*E12</f>
        <v>2555.8000000000011</v>
      </c>
      <c r="M12" s="91">
        <v>853</v>
      </c>
      <c r="N12" s="91">
        <f>M12*F12-M12*E12</f>
        <v>12965.6</v>
      </c>
      <c r="O12" s="91">
        <v>2331</v>
      </c>
      <c r="P12" s="91">
        <f>O12*F12-O12*E12</f>
        <v>35431.199999999997</v>
      </c>
      <c r="Q12" s="91">
        <v>1049</v>
      </c>
      <c r="R12" s="91">
        <f>Q12*F12-Q12*E12</f>
        <v>15944.800000000001</v>
      </c>
      <c r="S12" s="91">
        <v>326</v>
      </c>
      <c r="T12" s="91">
        <f>S12*F12-S12*E12</f>
        <v>4955.2000000000007</v>
      </c>
      <c r="U12" s="91">
        <v>708</v>
      </c>
      <c r="V12" s="91">
        <f>U12*F12-U12*E12</f>
        <v>10761.6</v>
      </c>
      <c r="W12" s="91">
        <f>SUM(S12,Q12,O12,M12,K12,I12)</f>
        <v>5502</v>
      </c>
      <c r="X12" s="90" t="s">
        <v>10</v>
      </c>
      <c r="Y12" s="92">
        <v>99</v>
      </c>
      <c r="Z12">
        <f>D12*I12</f>
        <v>2114</v>
      </c>
    </row>
    <row r="13" spans="1:26" x14ac:dyDescent="0.3">
      <c r="A13" s="88" t="s">
        <v>29</v>
      </c>
      <c r="B13" s="89" t="s">
        <v>30</v>
      </c>
      <c r="C13" s="89" t="s">
        <v>21</v>
      </c>
      <c r="D13" s="90">
        <v>55</v>
      </c>
      <c r="E13" s="90">
        <f>D13*3.2</f>
        <v>176</v>
      </c>
      <c r="F13" s="90">
        <v>615</v>
      </c>
      <c r="G13" s="90">
        <f>F13-E13</f>
        <v>439</v>
      </c>
      <c r="H13" s="90">
        <f>(CleanedDataset!$F82-CleanedDataset!$E82)/CleanedDataset!$F82</f>
        <v>0.58588235294117641</v>
      </c>
      <c r="I13" s="91">
        <v>57</v>
      </c>
      <c r="J13" s="91">
        <f>I13*F13-I13*E13</f>
        <v>25023</v>
      </c>
      <c r="K13" s="91">
        <v>35</v>
      </c>
      <c r="L13" s="91">
        <f>K13*F13-I13*E13</f>
        <v>11493</v>
      </c>
      <c r="M13" s="91">
        <v>0</v>
      </c>
      <c r="N13" s="91">
        <f>M13*F13-M13*E13</f>
        <v>0</v>
      </c>
      <c r="O13" s="91">
        <v>0</v>
      </c>
      <c r="P13" s="91">
        <f>O13*F13-O13*E13</f>
        <v>0</v>
      </c>
      <c r="Q13" s="91">
        <v>0</v>
      </c>
      <c r="R13" s="91">
        <f>Q13*F13-Q13*E13</f>
        <v>0</v>
      </c>
      <c r="S13" s="91">
        <v>0</v>
      </c>
      <c r="T13" s="91">
        <f>S13*F13-S13*E13</f>
        <v>0</v>
      </c>
      <c r="U13" s="91">
        <v>0</v>
      </c>
      <c r="V13" s="91">
        <f>U13*F13-U13*E13</f>
        <v>0</v>
      </c>
      <c r="W13" s="91">
        <f>SUM(S13,Q13,O13,M13,K13,I13)</f>
        <v>92</v>
      </c>
      <c r="X13" s="90" t="s">
        <v>10</v>
      </c>
      <c r="Y13" s="92">
        <v>93</v>
      </c>
      <c r="Z13">
        <f>D13*I13</f>
        <v>3135</v>
      </c>
    </row>
    <row r="14" spans="1:26" x14ac:dyDescent="0.3">
      <c r="A14" s="93" t="s">
        <v>29</v>
      </c>
      <c r="B14" s="94" t="s">
        <v>30</v>
      </c>
      <c r="C14" s="94" t="s">
        <v>17</v>
      </c>
      <c r="D14" s="95">
        <v>55</v>
      </c>
      <c r="E14" s="95">
        <f>D14*3.2</f>
        <v>176</v>
      </c>
      <c r="F14" s="95">
        <v>600</v>
      </c>
      <c r="G14" s="95">
        <f>F14-E14</f>
        <v>424</v>
      </c>
      <c r="H14" s="95">
        <f>(CleanedDataset!$F117-CleanedDataset!$E117)/CleanedDataset!$F117</f>
        <v>0.57333333333333336</v>
      </c>
      <c r="I14" s="96">
        <v>35</v>
      </c>
      <c r="J14" s="96">
        <f>I14*F14-I14*E14</f>
        <v>14840</v>
      </c>
      <c r="K14" s="96">
        <v>14</v>
      </c>
      <c r="L14" s="96">
        <f>K14*F14-I14*E14</f>
        <v>2240</v>
      </c>
      <c r="M14" s="96">
        <v>0</v>
      </c>
      <c r="N14" s="96">
        <f>M14*F14-M14*E14</f>
        <v>0</v>
      </c>
      <c r="O14" s="96">
        <v>0</v>
      </c>
      <c r="P14" s="96">
        <f>O14*F14-O14*E14</f>
        <v>0</v>
      </c>
      <c r="Q14" s="96">
        <v>0</v>
      </c>
      <c r="R14" s="96">
        <f>Q14*F14-Q14*E14</f>
        <v>0</v>
      </c>
      <c r="S14" s="96">
        <v>0</v>
      </c>
      <c r="T14" s="96">
        <f>S14*F14-S14*E14</f>
        <v>0</v>
      </c>
      <c r="U14" s="96">
        <v>0</v>
      </c>
      <c r="V14" s="96">
        <f>U14*F14-U14*E14</f>
        <v>0</v>
      </c>
      <c r="W14" s="96">
        <f>SUM(S14,Q14,O14,M14,K14,I14)</f>
        <v>49</v>
      </c>
      <c r="X14" s="95" t="s">
        <v>10</v>
      </c>
      <c r="Y14" s="97">
        <v>90</v>
      </c>
      <c r="Z14">
        <f>D14*I14</f>
        <v>1925</v>
      </c>
    </row>
    <row r="15" spans="1:26" x14ac:dyDescent="0.3">
      <c r="A15" s="88" t="s">
        <v>29</v>
      </c>
      <c r="B15" s="89" t="s">
        <v>30</v>
      </c>
      <c r="C15" s="89" t="s">
        <v>12</v>
      </c>
      <c r="D15" s="90">
        <v>55</v>
      </c>
      <c r="E15" s="90">
        <f>D15*3</f>
        <v>165</v>
      </c>
      <c r="F15" s="90">
        <v>600</v>
      </c>
      <c r="G15" s="90">
        <f>F15-E15</f>
        <v>435</v>
      </c>
      <c r="H15" s="90">
        <f>(CleanedDataset!$F148-CleanedDataset!$E148)/CleanedDataset!$F148</f>
        <v>0.59351351351351345</v>
      </c>
      <c r="I15" s="91">
        <v>66</v>
      </c>
      <c r="J15" s="91">
        <f>I15*F15-I15*E15</f>
        <v>28710</v>
      </c>
      <c r="K15" s="91">
        <v>35</v>
      </c>
      <c r="L15" s="91">
        <f>K15*F15-I15*E15</f>
        <v>10110</v>
      </c>
      <c r="M15" s="91">
        <v>12</v>
      </c>
      <c r="N15" s="91">
        <f>M15*F15-M15*E15</f>
        <v>5220</v>
      </c>
      <c r="O15" s="91">
        <v>15</v>
      </c>
      <c r="P15" s="91">
        <f>O15*F15-O15*E15</f>
        <v>6525</v>
      </c>
      <c r="Q15" s="91">
        <v>33</v>
      </c>
      <c r="R15" s="91">
        <f>Q15*F15-Q15*E15</f>
        <v>14355</v>
      </c>
      <c r="S15" s="91">
        <v>50</v>
      </c>
      <c r="T15" s="91">
        <f>S15*F15-S15*E15</f>
        <v>21750</v>
      </c>
      <c r="U15" s="91">
        <v>45</v>
      </c>
      <c r="V15" s="91">
        <f>U15*F15-U15*E15</f>
        <v>19575</v>
      </c>
      <c r="W15" s="91">
        <f>SUM(S15,Q15,O15,M15,K15,I15)</f>
        <v>211</v>
      </c>
      <c r="X15" s="90" t="s">
        <v>10</v>
      </c>
      <c r="Y15" s="92">
        <v>94</v>
      </c>
      <c r="Z15">
        <f>D15*I15</f>
        <v>3630</v>
      </c>
    </row>
    <row r="16" spans="1:26" x14ac:dyDescent="0.3">
      <c r="A16" s="93" t="s">
        <v>29</v>
      </c>
      <c r="B16" s="94" t="s">
        <v>30</v>
      </c>
      <c r="C16" s="94" t="s">
        <v>9</v>
      </c>
      <c r="D16" s="95">
        <v>55</v>
      </c>
      <c r="E16" s="95">
        <f>D16*2.8</f>
        <v>154</v>
      </c>
      <c r="F16" s="95">
        <v>530</v>
      </c>
      <c r="G16" s="95">
        <f>F16-E16</f>
        <v>376</v>
      </c>
      <c r="H16" s="95">
        <f>(CleanedDataset!$F33-CleanedDataset!$E33)/CleanedDataset!$F33</f>
        <v>0.6</v>
      </c>
      <c r="I16" s="96">
        <v>58</v>
      </c>
      <c r="J16" s="96">
        <f>I16*F16-I16*E16</f>
        <v>21808</v>
      </c>
      <c r="K16" s="96">
        <v>75</v>
      </c>
      <c r="L16" s="96">
        <f>K16*F16-I16*E16</f>
        <v>30818</v>
      </c>
      <c r="M16" s="96">
        <v>39</v>
      </c>
      <c r="N16" s="96">
        <f>M16*F16-M16*E16</f>
        <v>14664</v>
      </c>
      <c r="O16" s="96">
        <v>16</v>
      </c>
      <c r="P16" s="96">
        <f>O16*F16-O16*E16</f>
        <v>6016</v>
      </c>
      <c r="Q16" s="96">
        <v>21</v>
      </c>
      <c r="R16" s="96">
        <f>Q16*F16-Q16*E16</f>
        <v>7896</v>
      </c>
      <c r="S16" s="96">
        <v>60</v>
      </c>
      <c r="T16" s="96">
        <f>S16*F16-S16*E16</f>
        <v>22560</v>
      </c>
      <c r="U16" s="96">
        <v>64</v>
      </c>
      <c r="V16" s="96">
        <f>U16*F16-U16*E16</f>
        <v>24064</v>
      </c>
      <c r="W16" s="96">
        <f>SUM(S16,Q16,O16,M16,K16,I16)</f>
        <v>269</v>
      </c>
      <c r="X16" s="95" t="s">
        <v>10</v>
      </c>
      <c r="Y16" s="97">
        <v>100</v>
      </c>
      <c r="Z16">
        <f>D16*I16</f>
        <v>3190</v>
      </c>
    </row>
    <row r="17" spans="1:26" x14ac:dyDescent="0.3">
      <c r="A17" s="88" t="s">
        <v>31</v>
      </c>
      <c r="B17" s="89" t="s">
        <v>32</v>
      </c>
      <c r="C17" s="89" t="s">
        <v>21</v>
      </c>
      <c r="D17" s="90">
        <v>65</v>
      </c>
      <c r="E17" s="90">
        <f>D17*3.2</f>
        <v>208</v>
      </c>
      <c r="F17" s="90">
        <v>700</v>
      </c>
      <c r="G17" s="90">
        <f>F17-E17</f>
        <v>492</v>
      </c>
      <c r="H17" s="90">
        <f>(CleanedDataset!$F78-CleanedDataset!$E78)/CleanedDataset!$F78</f>
        <v>-0.27500000000000002</v>
      </c>
      <c r="I17" s="91">
        <v>5</v>
      </c>
      <c r="J17" s="91">
        <f>I17*F17-I17*E17</f>
        <v>2460</v>
      </c>
      <c r="K17" s="91">
        <v>0</v>
      </c>
      <c r="L17" s="91">
        <f>K17*F17-I17*E17</f>
        <v>-1040</v>
      </c>
      <c r="M17" s="91">
        <v>0</v>
      </c>
      <c r="N17" s="91">
        <f>M17*F17-M17*E17</f>
        <v>0</v>
      </c>
      <c r="O17" s="91">
        <v>0</v>
      </c>
      <c r="P17" s="91">
        <f>O17*F17-O17*E17</f>
        <v>0</v>
      </c>
      <c r="Q17" s="91">
        <v>0</v>
      </c>
      <c r="R17" s="91">
        <f>Q17*F17-Q17*E17</f>
        <v>0</v>
      </c>
      <c r="S17" s="91">
        <v>0</v>
      </c>
      <c r="T17" s="91">
        <f>S17*F17-S17*E17</f>
        <v>0</v>
      </c>
      <c r="U17" s="91">
        <v>0</v>
      </c>
      <c r="V17" s="91">
        <f>U17*F17-U17*E17</f>
        <v>0</v>
      </c>
      <c r="W17" s="91">
        <f>SUM(S17,Q17,O17,M17,K17,I17)</f>
        <v>5</v>
      </c>
      <c r="X17" s="90" t="s">
        <v>10</v>
      </c>
      <c r="Y17" s="92">
        <v>99</v>
      </c>
      <c r="Z17">
        <f>D17*I17</f>
        <v>325</v>
      </c>
    </row>
    <row r="18" spans="1:26" x14ac:dyDescent="0.3">
      <c r="A18" s="93" t="s">
        <v>31</v>
      </c>
      <c r="B18" s="94" t="s">
        <v>32</v>
      </c>
      <c r="C18" s="94" t="s">
        <v>33</v>
      </c>
      <c r="D18" s="95">
        <v>65</v>
      </c>
      <c r="E18" s="95">
        <f>D18*3.2</f>
        <v>208</v>
      </c>
      <c r="F18" s="95">
        <v>700</v>
      </c>
      <c r="G18" s="95">
        <f>F18-E18</f>
        <v>492</v>
      </c>
      <c r="H18" s="95">
        <f>(CleanedDataset!$F99-CleanedDataset!$E99)/CleanedDataset!$F99</f>
        <v>6.25E-2</v>
      </c>
      <c r="I18" s="96">
        <v>0</v>
      </c>
      <c r="J18" s="96">
        <f>I18*F18-I18*E18</f>
        <v>0</v>
      </c>
      <c r="K18" s="96">
        <v>5</v>
      </c>
      <c r="L18" s="96">
        <f>K18*F18-I18*E18</f>
        <v>3500</v>
      </c>
      <c r="M18" s="96">
        <v>0</v>
      </c>
      <c r="N18" s="96">
        <f>M18*F18-M18*E18</f>
        <v>0</v>
      </c>
      <c r="O18" s="96">
        <v>0</v>
      </c>
      <c r="P18" s="96">
        <f>O18*F18-O18*E18</f>
        <v>0</v>
      </c>
      <c r="Q18" s="96">
        <v>0</v>
      </c>
      <c r="R18" s="96">
        <f>Q18*F18-Q18*E18</f>
        <v>0</v>
      </c>
      <c r="S18" s="96">
        <v>0</v>
      </c>
      <c r="T18" s="96">
        <f>S18*F18-S18*E18</f>
        <v>0</v>
      </c>
      <c r="U18" s="96">
        <v>0</v>
      </c>
      <c r="V18" s="96">
        <f>U18*F18-U18*E18</f>
        <v>0</v>
      </c>
      <c r="W18" s="96">
        <f>SUM(S18,Q18,O18,M18,K18,I18)</f>
        <v>5</v>
      </c>
      <c r="X18" s="95" t="s">
        <v>10</v>
      </c>
      <c r="Y18" s="97">
        <v>98</v>
      </c>
      <c r="Z18">
        <f>D18*I18</f>
        <v>0</v>
      </c>
    </row>
    <row r="19" spans="1:26" x14ac:dyDescent="0.3">
      <c r="A19" s="88" t="s">
        <v>31</v>
      </c>
      <c r="B19" s="89" t="s">
        <v>32</v>
      </c>
      <c r="C19" s="89" t="s">
        <v>17</v>
      </c>
      <c r="D19" s="90">
        <v>65</v>
      </c>
      <c r="E19" s="90">
        <f>D19*3.2</f>
        <v>208</v>
      </c>
      <c r="F19" s="90">
        <v>700</v>
      </c>
      <c r="G19" s="90">
        <f>F19-E19</f>
        <v>492</v>
      </c>
      <c r="H19" s="90">
        <f>(CleanedDataset!$F122-CleanedDataset!$E122)/CleanedDataset!$F122</f>
        <v>0.49090909090909091</v>
      </c>
      <c r="I19" s="91">
        <v>53</v>
      </c>
      <c r="J19" s="91">
        <f>I19*F19-I19*E19</f>
        <v>26076</v>
      </c>
      <c r="K19" s="91">
        <v>28</v>
      </c>
      <c r="L19" s="91">
        <f>K19*F19-I19*E19</f>
        <v>8576</v>
      </c>
      <c r="M19" s="91">
        <v>0</v>
      </c>
      <c r="N19" s="91">
        <f>M19*F19-M19*E19</f>
        <v>0</v>
      </c>
      <c r="O19" s="91">
        <v>0</v>
      </c>
      <c r="P19" s="91">
        <f>O19*F19-O19*E19</f>
        <v>0</v>
      </c>
      <c r="Q19" s="91">
        <v>0</v>
      </c>
      <c r="R19" s="91">
        <f>Q19*F19-Q19*E19</f>
        <v>0</v>
      </c>
      <c r="S19" s="91">
        <v>0</v>
      </c>
      <c r="T19" s="91">
        <f>S19*F19-S19*E19</f>
        <v>0</v>
      </c>
      <c r="U19" s="91">
        <v>0</v>
      </c>
      <c r="V19" s="91">
        <f>U19*F19-U19*E19</f>
        <v>0</v>
      </c>
      <c r="W19" s="91">
        <f>SUM(S19,Q19,O19,M19,K19,I19)</f>
        <v>81</v>
      </c>
      <c r="X19" s="90" t="s">
        <v>10</v>
      </c>
      <c r="Y19" s="92">
        <v>93</v>
      </c>
      <c r="Z19">
        <f>D19*I19</f>
        <v>3445</v>
      </c>
    </row>
    <row r="20" spans="1:26" x14ac:dyDescent="0.3">
      <c r="A20" s="88" t="s">
        <v>31</v>
      </c>
      <c r="B20" s="89" t="s">
        <v>32</v>
      </c>
      <c r="C20" s="89" t="s">
        <v>25</v>
      </c>
      <c r="D20" s="90">
        <v>65</v>
      </c>
      <c r="E20" s="90">
        <f>D20*3</f>
        <v>195</v>
      </c>
      <c r="F20" s="90">
        <v>650</v>
      </c>
      <c r="G20" s="90">
        <f>F20-E20</f>
        <v>455</v>
      </c>
      <c r="H20" s="90">
        <f>(CleanedDataset!$F84-CleanedDataset!$E84)/CleanedDataset!$F84</f>
        <v>0.25</v>
      </c>
      <c r="I20" s="91">
        <v>3</v>
      </c>
      <c r="J20" s="91">
        <f>I20*F20-I20*E20</f>
        <v>1365</v>
      </c>
      <c r="K20" s="91">
        <v>0</v>
      </c>
      <c r="L20" s="91">
        <f>K20*F20-I20*E20</f>
        <v>-585</v>
      </c>
      <c r="M20" s="91">
        <v>0</v>
      </c>
      <c r="N20" s="91">
        <f>M20*F20-M20*E20</f>
        <v>0</v>
      </c>
      <c r="O20" s="91">
        <v>0</v>
      </c>
      <c r="P20" s="91">
        <f>O20*F20-O20*E20</f>
        <v>0</v>
      </c>
      <c r="Q20" s="91">
        <v>0</v>
      </c>
      <c r="R20" s="91">
        <f>Q20*F20-Q20*E20</f>
        <v>0</v>
      </c>
      <c r="S20" s="91">
        <v>0</v>
      </c>
      <c r="T20" s="91">
        <f>S20*F20-S20*E20</f>
        <v>0</v>
      </c>
      <c r="U20" s="91">
        <v>0</v>
      </c>
      <c r="V20" s="91">
        <f>U20*F20-U20*E20</f>
        <v>0</v>
      </c>
      <c r="W20" s="91">
        <f>SUM(S20,Q20,O20,M20,K20,I20)</f>
        <v>3</v>
      </c>
      <c r="X20" s="90" t="s">
        <v>10</v>
      </c>
      <c r="Y20" s="92">
        <v>98</v>
      </c>
      <c r="Z20">
        <f>D20*I20</f>
        <v>195</v>
      </c>
    </row>
    <row r="21" spans="1:26" x14ac:dyDescent="0.3">
      <c r="A21" s="88" t="s">
        <v>31</v>
      </c>
      <c r="B21" s="89" t="s">
        <v>32</v>
      </c>
      <c r="C21" s="89" t="s">
        <v>12</v>
      </c>
      <c r="D21" s="90">
        <v>65</v>
      </c>
      <c r="E21" s="90">
        <f>D21*3</f>
        <v>195</v>
      </c>
      <c r="F21" s="90">
        <v>650</v>
      </c>
      <c r="G21" s="90">
        <f>F21-E21</f>
        <v>455</v>
      </c>
      <c r="H21" s="90">
        <f>(CleanedDataset!$F152-CleanedDataset!$E152)/CleanedDataset!$F152</f>
        <v>0.64800000000000002</v>
      </c>
      <c r="I21" s="91">
        <v>158</v>
      </c>
      <c r="J21" s="91">
        <f>I21*F21-I21*E21</f>
        <v>71890</v>
      </c>
      <c r="K21" s="91">
        <v>113</v>
      </c>
      <c r="L21" s="91">
        <f>K21*F21-I21*E21</f>
        <v>42640</v>
      </c>
      <c r="M21" s="91">
        <v>250</v>
      </c>
      <c r="N21" s="91">
        <f>M21*F21-M21*E21</f>
        <v>113750</v>
      </c>
      <c r="O21" s="91">
        <v>0</v>
      </c>
      <c r="P21" s="91">
        <f>O21*F21-O21*E21</f>
        <v>0</v>
      </c>
      <c r="Q21" s="91">
        <v>0</v>
      </c>
      <c r="R21" s="91">
        <f>Q21*F21-Q21*E21</f>
        <v>0</v>
      </c>
      <c r="S21" s="91">
        <v>0</v>
      </c>
      <c r="T21" s="91">
        <f>S21*F21-S21*E21</f>
        <v>0</v>
      </c>
      <c r="U21" s="91">
        <v>0</v>
      </c>
      <c r="V21" s="91">
        <f>U21*F21-U21*E21</f>
        <v>0</v>
      </c>
      <c r="W21" s="91">
        <f>SUM(S21,Q21,O21,M21,K21,I21)</f>
        <v>521</v>
      </c>
      <c r="X21" s="90" t="s">
        <v>10</v>
      </c>
      <c r="Y21" s="92">
        <v>97</v>
      </c>
      <c r="Z21">
        <f>D21*I21</f>
        <v>10270</v>
      </c>
    </row>
    <row r="22" spans="1:26" x14ac:dyDescent="0.3">
      <c r="A22" s="88" t="s">
        <v>31</v>
      </c>
      <c r="B22" s="89" t="s">
        <v>32</v>
      </c>
      <c r="C22" s="89" t="s">
        <v>9</v>
      </c>
      <c r="D22" s="90">
        <v>65</v>
      </c>
      <c r="E22" s="90">
        <f>D22*2.8</f>
        <v>182</v>
      </c>
      <c r="F22" s="90">
        <v>584</v>
      </c>
      <c r="G22" s="90">
        <f>F22-E22</f>
        <v>402</v>
      </c>
      <c r="H22" s="90">
        <f>(CleanedDataset!$F32-CleanedDataset!$E32)/CleanedDataset!$F32</f>
        <v>0.66666666666666663</v>
      </c>
      <c r="I22" s="91">
        <v>51</v>
      </c>
      <c r="J22" s="91">
        <f>I22*F22-I22*E22</f>
        <v>20502</v>
      </c>
      <c r="K22" s="91">
        <v>78</v>
      </c>
      <c r="L22" s="91">
        <f>K22*F22-I22*E22</f>
        <v>36270</v>
      </c>
      <c r="M22" s="91">
        <v>193</v>
      </c>
      <c r="N22" s="91">
        <f>M22*F22-M22*E22</f>
        <v>77586</v>
      </c>
      <c r="O22" s="91">
        <v>0</v>
      </c>
      <c r="P22" s="91">
        <f>O22*F22-O22*E22</f>
        <v>0</v>
      </c>
      <c r="Q22" s="91">
        <v>0</v>
      </c>
      <c r="R22" s="91">
        <f>Q22*F22-Q22*E22</f>
        <v>0</v>
      </c>
      <c r="S22" s="91">
        <v>0</v>
      </c>
      <c r="T22" s="91">
        <f>S22*F22-S22*E22</f>
        <v>0</v>
      </c>
      <c r="U22" s="91">
        <v>0</v>
      </c>
      <c r="V22" s="91">
        <f>U22*F22-U22*E22</f>
        <v>0</v>
      </c>
      <c r="W22" s="91">
        <f>SUM(S22,Q22,O22,M22,K22,I22)</f>
        <v>322</v>
      </c>
      <c r="X22" s="90" t="s">
        <v>10</v>
      </c>
      <c r="Y22" s="92">
        <v>94</v>
      </c>
      <c r="Z22">
        <f>D22*I22</f>
        <v>3315</v>
      </c>
    </row>
    <row r="23" spans="1:26" x14ac:dyDescent="0.3">
      <c r="A23" s="88" t="s">
        <v>26</v>
      </c>
      <c r="B23" s="89" t="s">
        <v>27</v>
      </c>
      <c r="C23" s="89" t="s">
        <v>28</v>
      </c>
      <c r="D23" s="90">
        <v>15</v>
      </c>
      <c r="E23" s="90">
        <f>D23*3</f>
        <v>45</v>
      </c>
      <c r="F23" s="90">
        <v>75</v>
      </c>
      <c r="G23" s="90">
        <f>F23-E23</f>
        <v>30</v>
      </c>
      <c r="H23" s="90">
        <f>(CleanedDataset!$F62-CleanedDataset!$E62)/CleanedDataset!$F62</f>
        <v>0.72000000000000008</v>
      </c>
      <c r="I23" s="91">
        <v>496</v>
      </c>
      <c r="J23" s="91">
        <f>I23*F23-I23*E23</f>
        <v>14880</v>
      </c>
      <c r="K23" s="91">
        <v>557</v>
      </c>
      <c r="L23" s="91">
        <f>K23*F23-I23*E23</f>
        <v>19455</v>
      </c>
      <c r="M23" s="91">
        <v>0</v>
      </c>
      <c r="N23" s="91">
        <f>M23*F23-M23*E23</f>
        <v>0</v>
      </c>
      <c r="O23" s="91">
        <v>0</v>
      </c>
      <c r="P23" s="91">
        <f>O23*F23-O23*E23</f>
        <v>0</v>
      </c>
      <c r="Q23" s="91">
        <v>0</v>
      </c>
      <c r="R23" s="91">
        <f>Q23*F23-Q23*E23</f>
        <v>0</v>
      </c>
      <c r="S23" s="91">
        <v>0</v>
      </c>
      <c r="T23" s="91">
        <f>S23*F23-S23*E23</f>
        <v>0</v>
      </c>
      <c r="U23" s="91">
        <v>0</v>
      </c>
      <c r="V23" s="91">
        <f>U23*F23-U23*E23</f>
        <v>0</v>
      </c>
      <c r="W23" s="91">
        <f>SUM(S23,Q23,O23,M23,K23,I23)</f>
        <v>1053</v>
      </c>
      <c r="X23" s="90" t="s">
        <v>10</v>
      </c>
      <c r="Y23" s="92">
        <v>91</v>
      </c>
      <c r="Z23">
        <f>D23*I23</f>
        <v>7440</v>
      </c>
    </row>
    <row r="24" spans="1:26" x14ac:dyDescent="0.3">
      <c r="A24" s="88" t="s">
        <v>7</v>
      </c>
      <c r="B24" s="89" t="s">
        <v>8</v>
      </c>
      <c r="C24" s="89" t="s">
        <v>13</v>
      </c>
      <c r="D24" s="90">
        <v>7</v>
      </c>
      <c r="E24" s="90">
        <f>D24*3</f>
        <v>21</v>
      </c>
      <c r="F24" s="90">
        <v>40</v>
      </c>
      <c r="G24" s="90">
        <f>F24-E24</f>
        <v>19</v>
      </c>
      <c r="H24" s="90">
        <f>(CleanedDataset!$F102-CleanedDataset!$E102)/CleanedDataset!$F102</f>
        <v>0.58904109589041098</v>
      </c>
      <c r="I24" s="91">
        <v>6</v>
      </c>
      <c r="J24" s="91">
        <f>I24*F24-I24*E24</f>
        <v>114</v>
      </c>
      <c r="K24" s="91">
        <v>15</v>
      </c>
      <c r="L24" s="91">
        <f>K24*F24-I24*E24</f>
        <v>474</v>
      </c>
      <c r="M24" s="91">
        <v>0</v>
      </c>
      <c r="N24" s="91">
        <f>M24*F24-M24*E24</f>
        <v>0</v>
      </c>
      <c r="O24" s="91">
        <v>0</v>
      </c>
      <c r="P24" s="91">
        <f>O24*F24-O24*E24</f>
        <v>0</v>
      </c>
      <c r="Q24" s="91">
        <v>0</v>
      </c>
      <c r="R24" s="91">
        <f>Q24*F24-Q24*E24</f>
        <v>0</v>
      </c>
      <c r="S24" s="91">
        <v>0</v>
      </c>
      <c r="T24" s="91">
        <f>S24*F24-S24*E24</f>
        <v>0</v>
      </c>
      <c r="U24" s="91">
        <v>0</v>
      </c>
      <c r="V24" s="91">
        <f>U24*F24-U24*E24</f>
        <v>0</v>
      </c>
      <c r="W24" s="91">
        <f>SUM(S24,Q24,O24,M24,K24,I24)</f>
        <v>21</v>
      </c>
      <c r="X24" s="90" t="s">
        <v>10</v>
      </c>
      <c r="Y24" s="92">
        <v>94</v>
      </c>
      <c r="Z24">
        <f>D24*I24</f>
        <v>42</v>
      </c>
    </row>
    <row r="25" spans="1:26" x14ac:dyDescent="0.3">
      <c r="A25" s="93" t="s">
        <v>7</v>
      </c>
      <c r="B25" s="94" t="s">
        <v>8</v>
      </c>
      <c r="C25" s="94" t="s">
        <v>14</v>
      </c>
      <c r="D25" s="95">
        <v>7</v>
      </c>
      <c r="E25" s="95">
        <f>D25*3</f>
        <v>21</v>
      </c>
      <c r="F25" s="95">
        <v>40</v>
      </c>
      <c r="G25" s="95">
        <f>F25-E25</f>
        <v>19</v>
      </c>
      <c r="H25" s="95">
        <f>(CleanedDataset!$F133-CleanedDataset!$E133)/CleanedDataset!$F133</f>
        <v>0.70461538461538464</v>
      </c>
      <c r="I25" s="96">
        <v>135</v>
      </c>
      <c r="J25" s="96">
        <f>I25*F25-I25*E25</f>
        <v>2565</v>
      </c>
      <c r="K25" s="96">
        <v>46</v>
      </c>
      <c r="L25" s="96">
        <f>K25*F25-I25*E25</f>
        <v>-995</v>
      </c>
      <c r="M25" s="96">
        <v>0</v>
      </c>
      <c r="N25" s="96">
        <f>M25*F25-M25*E25</f>
        <v>0</v>
      </c>
      <c r="O25" s="96">
        <v>0</v>
      </c>
      <c r="P25" s="96">
        <f>O25*F25-O25*E25</f>
        <v>0</v>
      </c>
      <c r="Q25" s="96">
        <v>0</v>
      </c>
      <c r="R25" s="96">
        <f>Q25*F25-Q25*E25</f>
        <v>0</v>
      </c>
      <c r="S25" s="96">
        <v>0</v>
      </c>
      <c r="T25" s="96">
        <f>S25*F25-S25*E25</f>
        <v>0</v>
      </c>
      <c r="U25" s="96">
        <v>0</v>
      </c>
      <c r="V25" s="96">
        <f>U25*F25-U25*E25</f>
        <v>0</v>
      </c>
      <c r="W25" s="96">
        <f>SUM(S25,Q25,O25,M25,K25,I25)</f>
        <v>181</v>
      </c>
      <c r="X25" s="95" t="s">
        <v>10</v>
      </c>
      <c r="Y25" s="97">
        <v>95</v>
      </c>
      <c r="Z25">
        <f>D25*I25</f>
        <v>945</v>
      </c>
    </row>
    <row r="26" spans="1:26" x14ac:dyDescent="0.3">
      <c r="A26" s="88" t="s">
        <v>7</v>
      </c>
      <c r="B26" s="89" t="s">
        <v>11</v>
      </c>
      <c r="C26" s="89" t="s">
        <v>12</v>
      </c>
      <c r="D26" s="90">
        <v>7</v>
      </c>
      <c r="E26" s="90">
        <f>D26*3</f>
        <v>21</v>
      </c>
      <c r="F26" s="90">
        <v>40</v>
      </c>
      <c r="G26" s="90">
        <f>F26-E26</f>
        <v>19</v>
      </c>
      <c r="H26" s="90">
        <f>(CleanedDataset!$F166-CleanedDataset!$E166)/CleanedDataset!$F166</f>
        <v>0.87076923076923074</v>
      </c>
      <c r="I26" s="91">
        <v>1300</v>
      </c>
      <c r="J26" s="91">
        <f>I26*F26-I26*E26</f>
        <v>24700</v>
      </c>
      <c r="K26" s="91">
        <v>1250</v>
      </c>
      <c r="L26" s="91">
        <f>K26*F26-I26*E26</f>
        <v>22700</v>
      </c>
      <c r="M26" s="91">
        <v>800</v>
      </c>
      <c r="N26" s="91">
        <f>M26*F26-M26*E26</f>
        <v>15200</v>
      </c>
      <c r="O26" s="91">
        <v>750</v>
      </c>
      <c r="P26" s="91">
        <f>O26*F26-O26*E26</f>
        <v>14250</v>
      </c>
      <c r="Q26" s="91">
        <v>1200</v>
      </c>
      <c r="R26" s="91">
        <f>Q26*F26-Q26*E26</f>
        <v>22800</v>
      </c>
      <c r="S26" s="91">
        <v>2050</v>
      </c>
      <c r="T26" s="91">
        <f>S26*F26-S26*E26</f>
        <v>38950</v>
      </c>
      <c r="U26" s="91">
        <v>1980</v>
      </c>
      <c r="V26" s="91">
        <f>U26*F26-U26*E26</f>
        <v>37620</v>
      </c>
      <c r="W26" s="91">
        <f>SUM(S26,Q26,O26,M26,K26,I26)</f>
        <v>7350</v>
      </c>
      <c r="X26" s="90" t="s">
        <v>10</v>
      </c>
      <c r="Y26" s="92">
        <v>97</v>
      </c>
      <c r="Z26">
        <f>D26*I26</f>
        <v>9100</v>
      </c>
    </row>
    <row r="27" spans="1:26" x14ac:dyDescent="0.3">
      <c r="A27" s="93" t="s">
        <v>7</v>
      </c>
      <c r="B27" s="94" t="s">
        <v>8</v>
      </c>
      <c r="C27" s="94" t="s">
        <v>9</v>
      </c>
      <c r="D27" s="95">
        <v>7</v>
      </c>
      <c r="E27" s="95">
        <f>D27*2.8</f>
        <v>19.599999999999998</v>
      </c>
      <c r="F27" s="95">
        <v>30</v>
      </c>
      <c r="G27" s="95">
        <f>F27-E27</f>
        <v>10.400000000000002</v>
      </c>
      <c r="H27" s="95">
        <f>(CleanedDataset!$F61-CleanedDataset!$E61)/CleanedDataset!$F61</f>
        <v>0.76666666666666672</v>
      </c>
      <c r="I27" s="96">
        <v>2132</v>
      </c>
      <c r="J27" s="96">
        <f>I27*F27-I27*E27</f>
        <v>22172.800000000003</v>
      </c>
      <c r="K27" s="96">
        <v>2648</v>
      </c>
      <c r="L27" s="96">
        <f>K27*F27-I27*E27</f>
        <v>37652.800000000003</v>
      </c>
      <c r="M27" s="96">
        <v>2712</v>
      </c>
      <c r="N27" s="96">
        <f>M27*F27-M27*E27</f>
        <v>28204.800000000003</v>
      </c>
      <c r="O27" s="96">
        <v>1775</v>
      </c>
      <c r="P27" s="96">
        <f>O27*F27-O27*E27</f>
        <v>18460.000000000007</v>
      </c>
      <c r="Q27" s="96">
        <v>2302</v>
      </c>
      <c r="R27" s="96">
        <f>Q27*F27-Q27*E27</f>
        <v>23940.800000000003</v>
      </c>
      <c r="S27" s="96">
        <v>2250</v>
      </c>
      <c r="T27" s="96">
        <f>S27*F27-S27*E27</f>
        <v>23400.000000000007</v>
      </c>
      <c r="U27" s="96">
        <v>2532</v>
      </c>
      <c r="V27" s="96">
        <f>U27*F27-U27*E27</f>
        <v>26332.800000000003</v>
      </c>
      <c r="W27" s="96">
        <f>SUM(S27,Q27,O27,M27,K27,I27)</f>
        <v>13819</v>
      </c>
      <c r="X27" s="95" t="s">
        <v>10</v>
      </c>
      <c r="Y27" s="97">
        <v>91</v>
      </c>
      <c r="Z27">
        <f>D27*I27</f>
        <v>14924</v>
      </c>
    </row>
    <row r="28" spans="1:26" x14ac:dyDescent="0.3">
      <c r="A28" s="93" t="s">
        <v>36</v>
      </c>
      <c r="B28" s="94" t="s">
        <v>37</v>
      </c>
      <c r="C28" s="98" t="s">
        <v>38</v>
      </c>
      <c r="D28" s="95">
        <v>5</v>
      </c>
      <c r="E28" s="95">
        <f>D28*3.2</f>
        <v>16</v>
      </c>
      <c r="F28" s="95">
        <v>60</v>
      </c>
      <c r="G28" s="95">
        <f>F28-E28</f>
        <v>44</v>
      </c>
      <c r="H28" s="95">
        <f>(CleanedDataset!$F97-CleanedDataset!$E97)/CleanedDataset!$F97</f>
        <v>0.45</v>
      </c>
      <c r="I28" s="96">
        <v>23</v>
      </c>
      <c r="J28" s="96">
        <f>I28*F28-I28*E28</f>
        <v>1012</v>
      </c>
      <c r="K28" s="96">
        <v>35</v>
      </c>
      <c r="L28" s="96">
        <f>K28*F28-I28*E28</f>
        <v>1732</v>
      </c>
      <c r="M28" s="96">
        <v>0</v>
      </c>
      <c r="N28" s="96">
        <f>M28*F28-M28*E28</f>
        <v>0</v>
      </c>
      <c r="O28" s="96">
        <v>0</v>
      </c>
      <c r="P28" s="96">
        <f>O28*F28-O28*E28</f>
        <v>0</v>
      </c>
      <c r="Q28" s="96">
        <v>0</v>
      </c>
      <c r="R28" s="96">
        <f>Q28*F28-Q28*E28</f>
        <v>0</v>
      </c>
      <c r="S28" s="96">
        <v>0</v>
      </c>
      <c r="T28" s="96">
        <f>S28*F28-S28*E28</f>
        <v>0</v>
      </c>
      <c r="U28" s="96">
        <v>0</v>
      </c>
      <c r="V28" s="96">
        <f>U28*F28-U28*E28</f>
        <v>0</v>
      </c>
      <c r="W28" s="96">
        <f>SUM(S28,Q28,O28,M28,K28,I28)</f>
        <v>58</v>
      </c>
      <c r="X28" s="95" t="s">
        <v>10</v>
      </c>
      <c r="Y28" s="97">
        <v>95</v>
      </c>
      <c r="Z28">
        <f>D28*I28</f>
        <v>115</v>
      </c>
    </row>
    <row r="29" spans="1:26" x14ac:dyDescent="0.3">
      <c r="A29" s="88" t="s">
        <v>36</v>
      </c>
      <c r="B29" s="89" t="s">
        <v>37</v>
      </c>
      <c r="C29" s="100" t="s">
        <v>12</v>
      </c>
      <c r="D29" s="90">
        <v>5</v>
      </c>
      <c r="E29" s="90">
        <f>D29*3</f>
        <v>15</v>
      </c>
      <c r="F29" s="90">
        <v>50</v>
      </c>
      <c r="G29" s="90">
        <f>F29-E29</f>
        <v>35</v>
      </c>
      <c r="H29" s="90">
        <f>(CleanedDataset!$F164-CleanedDataset!$E164)/CleanedDataset!$F164</f>
        <v>0.66400000000000003</v>
      </c>
      <c r="I29" s="91">
        <v>860</v>
      </c>
      <c r="J29" s="91">
        <f>I29*F29-I29*E29</f>
        <v>30100</v>
      </c>
      <c r="K29" s="91">
        <v>744</v>
      </c>
      <c r="L29" s="91">
        <f>K29*F29-I29*E29</f>
        <v>24300</v>
      </c>
      <c r="M29" s="91">
        <v>343</v>
      </c>
      <c r="N29" s="91">
        <f>M29*F29-M29*E29</f>
        <v>12005</v>
      </c>
      <c r="O29" s="91">
        <v>320</v>
      </c>
      <c r="P29" s="91">
        <f>O29*F29-O29*E29</f>
        <v>11200</v>
      </c>
      <c r="Q29" s="91">
        <v>287</v>
      </c>
      <c r="R29" s="91">
        <f>Q29*F29-Q29*E29</f>
        <v>10045</v>
      </c>
      <c r="S29" s="91">
        <v>680</v>
      </c>
      <c r="T29" s="91">
        <f>S29*F29-S29*E29</f>
        <v>23800</v>
      </c>
      <c r="U29" s="91">
        <v>623</v>
      </c>
      <c r="V29" s="91">
        <f>U29*F29-U29*E29</f>
        <v>21805</v>
      </c>
      <c r="W29" s="91">
        <f>SUM(S29,Q29,O29,M29,K29,I29)</f>
        <v>3234</v>
      </c>
      <c r="X29" s="90" t="s">
        <v>10</v>
      </c>
      <c r="Y29" s="92">
        <v>96</v>
      </c>
      <c r="Z29">
        <f>D29*I29</f>
        <v>4300</v>
      </c>
    </row>
    <row r="30" spans="1:26" x14ac:dyDescent="0.3">
      <c r="A30" s="88" t="s">
        <v>36</v>
      </c>
      <c r="B30" s="89" t="s">
        <v>37</v>
      </c>
      <c r="C30" s="100" t="s">
        <v>9</v>
      </c>
      <c r="D30" s="90">
        <v>5</v>
      </c>
      <c r="E30" s="90">
        <f>D30*2.8</f>
        <v>14</v>
      </c>
      <c r="F30" s="90">
        <v>45</v>
      </c>
      <c r="G30" s="90">
        <f>F30-E30</f>
        <v>31</v>
      </c>
      <c r="H30" s="90">
        <f>(CleanedDataset!$F58-CleanedDataset!$E58)/CleanedDataset!$F58</f>
        <v>0.68</v>
      </c>
      <c r="I30" s="91">
        <v>787</v>
      </c>
      <c r="J30" s="91">
        <f>I30*F30-I30*E30</f>
        <v>24397</v>
      </c>
      <c r="K30" s="91">
        <v>478</v>
      </c>
      <c r="L30" s="91">
        <f>K30*F30-I30*E30</f>
        <v>10492</v>
      </c>
      <c r="M30" s="91">
        <v>1235</v>
      </c>
      <c r="N30" s="91">
        <f>M30*F30-M30*E30</f>
        <v>38285</v>
      </c>
      <c r="O30" s="91">
        <v>1450</v>
      </c>
      <c r="P30" s="91">
        <f>O30*F30-O30*E30</f>
        <v>44950</v>
      </c>
      <c r="Q30" s="91">
        <v>1728</v>
      </c>
      <c r="R30" s="91">
        <f>Q30*F30-Q30*E30</f>
        <v>53568</v>
      </c>
      <c r="S30" s="91">
        <v>1182</v>
      </c>
      <c r="T30" s="91">
        <f>S30*F30-S30*E30</f>
        <v>36642</v>
      </c>
      <c r="U30" s="91">
        <v>999</v>
      </c>
      <c r="V30" s="91">
        <f>U30*F30-U30*E30</f>
        <v>30969</v>
      </c>
      <c r="W30" s="91">
        <f>SUM(S30,Q30,O30,M30,K30,I30)</f>
        <v>6860</v>
      </c>
      <c r="X30" s="90" t="s">
        <v>10</v>
      </c>
      <c r="Y30" s="92">
        <v>97</v>
      </c>
      <c r="Z30">
        <f>D30*I30</f>
        <v>3935</v>
      </c>
    </row>
    <row r="31" spans="1:26" x14ac:dyDescent="0.3">
      <c r="A31" s="93" t="s">
        <v>46</v>
      </c>
      <c r="B31" s="94" t="s">
        <v>47</v>
      </c>
      <c r="C31" s="98" t="s">
        <v>43</v>
      </c>
      <c r="D31" s="95">
        <v>5</v>
      </c>
      <c r="E31" s="95">
        <f>D31*3</f>
        <v>15</v>
      </c>
      <c r="F31" s="95">
        <v>45</v>
      </c>
      <c r="G31" s="95">
        <f>F31-E31</f>
        <v>30</v>
      </c>
      <c r="H31" s="95">
        <f>(CleanedDataset!$F75-CleanedDataset!$E75)/CleanedDataset!$F75</f>
        <v>0.79466666666666663</v>
      </c>
      <c r="I31" s="96">
        <v>28</v>
      </c>
      <c r="J31" s="96">
        <f>I31*F31-I31*E31</f>
        <v>840</v>
      </c>
      <c r="K31" s="96">
        <v>5</v>
      </c>
      <c r="L31" s="96">
        <f>K31*F31-I31*E31</f>
        <v>-195</v>
      </c>
      <c r="M31" s="96">
        <v>0</v>
      </c>
      <c r="N31" s="96">
        <f>M31*F31-M31*E31</f>
        <v>0</v>
      </c>
      <c r="O31" s="96">
        <v>0</v>
      </c>
      <c r="P31" s="96">
        <f>O31*F31-O31*E31</f>
        <v>0</v>
      </c>
      <c r="Q31" s="96">
        <v>0</v>
      </c>
      <c r="R31" s="96">
        <f>Q31*F31-Q31*E31</f>
        <v>0</v>
      </c>
      <c r="S31" s="96">
        <v>0</v>
      </c>
      <c r="T31" s="96">
        <f>S31*F31-S31*E31</f>
        <v>0</v>
      </c>
      <c r="U31" s="96">
        <v>0</v>
      </c>
      <c r="V31" s="96">
        <f>U31*F31-U31*E31</f>
        <v>0</v>
      </c>
      <c r="W31" s="96">
        <f>SUM(S31,Q31,O31,M31,K31,I31)</f>
        <v>33</v>
      </c>
      <c r="X31" s="95" t="s">
        <v>10</v>
      </c>
      <c r="Y31" s="97">
        <v>90</v>
      </c>
      <c r="Z31">
        <f>D31*I31</f>
        <v>140</v>
      </c>
    </row>
    <row r="32" spans="1:26" x14ac:dyDescent="0.3">
      <c r="A32" s="88" t="s">
        <v>46</v>
      </c>
      <c r="B32" s="89" t="s">
        <v>47</v>
      </c>
      <c r="C32" s="100" t="s">
        <v>12</v>
      </c>
      <c r="D32" s="90">
        <v>5</v>
      </c>
      <c r="E32" s="90">
        <f>D32*3</f>
        <v>15</v>
      </c>
      <c r="F32" s="90">
        <v>45</v>
      </c>
      <c r="G32" s="90">
        <f>F32-E32</f>
        <v>30</v>
      </c>
      <c r="H32" s="90">
        <f>(CleanedDataset!$F158-CleanedDataset!$E158)/CleanedDataset!$F158</f>
        <v>0.2</v>
      </c>
      <c r="I32" s="91">
        <v>342</v>
      </c>
      <c r="J32" s="91">
        <f>I32*F32-I32*E32</f>
        <v>10260</v>
      </c>
      <c r="K32" s="91">
        <v>280</v>
      </c>
      <c r="L32" s="91">
        <f>K32*F32-I32*E32</f>
        <v>7470</v>
      </c>
      <c r="M32" s="91">
        <v>133</v>
      </c>
      <c r="N32" s="91">
        <f>M32*F32-M32*E32</f>
        <v>3990</v>
      </c>
      <c r="O32" s="91">
        <v>200</v>
      </c>
      <c r="P32" s="91">
        <f>O32*F32-O32*E32</f>
        <v>6000</v>
      </c>
      <c r="Q32" s="91">
        <v>187</v>
      </c>
      <c r="R32" s="91">
        <f>Q32*F32-Q32*E32</f>
        <v>5610</v>
      </c>
      <c r="S32" s="91">
        <v>850</v>
      </c>
      <c r="T32" s="91">
        <f>S32*F32-S32*E32</f>
        <v>25500</v>
      </c>
      <c r="U32" s="91">
        <v>345</v>
      </c>
      <c r="V32" s="91">
        <f>U32*F32-U32*E32</f>
        <v>10350</v>
      </c>
      <c r="W32" s="91">
        <f>SUM(S32,Q32,O32,M32,K32,I32)</f>
        <v>1992</v>
      </c>
      <c r="X32" s="90" t="s">
        <v>10</v>
      </c>
      <c r="Y32" s="92">
        <v>94</v>
      </c>
      <c r="Z32">
        <f>D32*I32</f>
        <v>1710</v>
      </c>
    </row>
    <row r="33" spans="1:26" x14ac:dyDescent="0.3">
      <c r="A33" s="93" t="s">
        <v>46</v>
      </c>
      <c r="B33" s="94" t="s">
        <v>47</v>
      </c>
      <c r="C33" s="98" t="s">
        <v>9</v>
      </c>
      <c r="D33" s="95">
        <v>5</v>
      </c>
      <c r="E33" s="95">
        <f>D33*2.8</f>
        <v>14</v>
      </c>
      <c r="F33" s="95">
        <v>35</v>
      </c>
      <c r="G33" s="95">
        <f>F33-E33</f>
        <v>21</v>
      </c>
      <c r="H33" s="95">
        <f>(CleanedDataset!$F55-CleanedDataset!$E55)/CleanedDataset!$F55</f>
        <v>0.67919799498746869</v>
      </c>
      <c r="I33" s="96">
        <v>527</v>
      </c>
      <c r="J33" s="96">
        <f>I33*F33-I33*E33</f>
        <v>11067</v>
      </c>
      <c r="K33" s="96">
        <v>203</v>
      </c>
      <c r="L33" s="96">
        <f>K33*F33-I33*E33</f>
        <v>-273</v>
      </c>
      <c r="M33" s="96">
        <v>395</v>
      </c>
      <c r="N33" s="96">
        <f>M33*F33-M33*E33</f>
        <v>8295</v>
      </c>
      <c r="O33" s="96">
        <v>499</v>
      </c>
      <c r="P33" s="96">
        <f>O33*F33-O33*E33</f>
        <v>10479</v>
      </c>
      <c r="Q33" s="96">
        <v>915</v>
      </c>
      <c r="R33" s="96">
        <f>Q33*F33-Q33*E33</f>
        <v>19215</v>
      </c>
      <c r="S33" s="96">
        <v>230</v>
      </c>
      <c r="T33" s="96">
        <f>S33*F33-S33*E33</f>
        <v>4830</v>
      </c>
      <c r="U33" s="96">
        <v>532</v>
      </c>
      <c r="V33" s="96">
        <f>U33*F33-U33*E33</f>
        <v>11172</v>
      </c>
      <c r="W33" s="96">
        <f>SUM(S33,Q33,O33,M33,K33,I33)</f>
        <v>2769</v>
      </c>
      <c r="X33" s="95" t="s">
        <v>10</v>
      </c>
      <c r="Y33" s="97">
        <v>91</v>
      </c>
      <c r="Z33">
        <f>D33*I33</f>
        <v>2635</v>
      </c>
    </row>
    <row r="34" spans="1:26" x14ac:dyDescent="0.3">
      <c r="A34" s="93" t="s">
        <v>70</v>
      </c>
      <c r="B34" s="98" t="s">
        <v>47</v>
      </c>
      <c r="C34" s="98" t="s">
        <v>43</v>
      </c>
      <c r="D34" s="95">
        <v>5</v>
      </c>
      <c r="E34" s="95">
        <f>D34*3</f>
        <v>15</v>
      </c>
      <c r="F34" s="95">
        <v>66</v>
      </c>
      <c r="G34" s="95">
        <f>F34-E34</f>
        <v>51</v>
      </c>
      <c r="H34" s="95">
        <f>(CleanedDataset!$F65-CleanedDataset!$E65)/CleanedDataset!$F65</f>
        <v>0.77846153846153854</v>
      </c>
      <c r="I34" s="96">
        <v>0</v>
      </c>
      <c r="J34" s="96">
        <f>I34*F34-I34*E34</f>
        <v>0</v>
      </c>
      <c r="K34" s="96">
        <v>5</v>
      </c>
      <c r="L34" s="96">
        <f>K34*F34-I34*E34</f>
        <v>330</v>
      </c>
      <c r="M34" s="96">
        <v>0</v>
      </c>
      <c r="N34" s="96">
        <f>M34*F34-M34*E34</f>
        <v>0</v>
      </c>
      <c r="O34" s="96">
        <v>0</v>
      </c>
      <c r="P34" s="96">
        <f>O34*F34-O34*E34</f>
        <v>0</v>
      </c>
      <c r="Q34" s="96">
        <v>0</v>
      </c>
      <c r="R34" s="96">
        <f>Q34*F34-Q34*E34</f>
        <v>0</v>
      </c>
      <c r="S34" s="96">
        <v>0</v>
      </c>
      <c r="T34" s="96">
        <f>S34*F34-S34*E34</f>
        <v>0</v>
      </c>
      <c r="U34" s="96">
        <v>0</v>
      </c>
      <c r="V34" s="96">
        <f>U34*F34-U34*E34</f>
        <v>0</v>
      </c>
      <c r="W34" s="96">
        <f>SUM(S34,Q34,O34,M34,K34,I34)</f>
        <v>5</v>
      </c>
      <c r="X34" s="95" t="s">
        <v>10</v>
      </c>
      <c r="Y34" s="97">
        <v>91</v>
      </c>
      <c r="Z34">
        <f>D34*I34</f>
        <v>0</v>
      </c>
    </row>
    <row r="35" spans="1:26" x14ac:dyDescent="0.3">
      <c r="A35" s="93" t="s">
        <v>70</v>
      </c>
      <c r="B35" s="98" t="s">
        <v>47</v>
      </c>
      <c r="C35" s="98" t="s">
        <v>13</v>
      </c>
      <c r="D35" s="95">
        <v>5</v>
      </c>
      <c r="E35" s="95">
        <f>D35*3</f>
        <v>15</v>
      </c>
      <c r="F35" s="95">
        <v>66</v>
      </c>
      <c r="G35" s="95">
        <f>F35-E35</f>
        <v>51</v>
      </c>
      <c r="H35" s="95">
        <f>(CleanedDataset!$F101-CleanedDataset!$E101)/CleanedDataset!$F101</f>
        <v>0.1</v>
      </c>
      <c r="I35" s="96">
        <v>1</v>
      </c>
      <c r="J35" s="96">
        <f>I35*F35-I35*E35</f>
        <v>51</v>
      </c>
      <c r="K35" s="96">
        <v>0</v>
      </c>
      <c r="L35" s="96">
        <f>K35*F35-I35*E35</f>
        <v>-15</v>
      </c>
      <c r="M35" s="96">
        <v>0</v>
      </c>
      <c r="N35" s="96">
        <f>M35*F35-M35*E35</f>
        <v>0</v>
      </c>
      <c r="O35" s="96">
        <v>0</v>
      </c>
      <c r="P35" s="96">
        <f>O35*F35-O35*E35</f>
        <v>0</v>
      </c>
      <c r="Q35" s="96">
        <v>0</v>
      </c>
      <c r="R35" s="96">
        <f>Q35*F35-Q35*E35</f>
        <v>0</v>
      </c>
      <c r="S35" s="96">
        <v>0</v>
      </c>
      <c r="T35" s="96">
        <f>S35*F35-S35*E35</f>
        <v>0</v>
      </c>
      <c r="U35" s="96">
        <v>0</v>
      </c>
      <c r="V35" s="96">
        <f>U35*F35-U35*E35</f>
        <v>0</v>
      </c>
      <c r="W35" s="96">
        <f>SUM(S35,Q35,O35,M35,K35,I35)</f>
        <v>1</v>
      </c>
      <c r="X35" s="95" t="s">
        <v>10</v>
      </c>
      <c r="Y35" s="97">
        <v>98</v>
      </c>
      <c r="Z35">
        <f>D35*I35</f>
        <v>5</v>
      </c>
    </row>
    <row r="36" spans="1:26" x14ac:dyDescent="0.3">
      <c r="A36" s="88" t="s">
        <v>70</v>
      </c>
      <c r="B36" s="100" t="s">
        <v>47</v>
      </c>
      <c r="C36" s="100" t="s">
        <v>12</v>
      </c>
      <c r="D36" s="90">
        <v>5</v>
      </c>
      <c r="E36" s="90">
        <f>D36*3</f>
        <v>15</v>
      </c>
      <c r="F36" s="90">
        <v>66</v>
      </c>
      <c r="G36" s="90">
        <f>F36-E36</f>
        <v>51</v>
      </c>
      <c r="H36" s="90">
        <f>(CleanedDataset!$F150-CleanedDataset!$E150)/CleanedDataset!$F150</f>
        <v>0.5822222222222222</v>
      </c>
      <c r="I36" s="91">
        <v>87</v>
      </c>
      <c r="J36" s="91">
        <f>I36*F36-I36*E36</f>
        <v>4437</v>
      </c>
      <c r="K36" s="91">
        <v>65</v>
      </c>
      <c r="L36" s="91">
        <f>K36*F36-I36*E36</f>
        <v>2985</v>
      </c>
      <c r="M36" s="91">
        <v>50</v>
      </c>
      <c r="N36" s="91">
        <f>M36*F36-M36*E36</f>
        <v>2550</v>
      </c>
      <c r="O36" s="91">
        <v>67</v>
      </c>
      <c r="P36" s="91">
        <f>O36*F36-O36*E36</f>
        <v>3417</v>
      </c>
      <c r="Q36" s="91">
        <v>50</v>
      </c>
      <c r="R36" s="91">
        <f>Q36*F36-Q36*E36</f>
        <v>2550</v>
      </c>
      <c r="S36" s="91">
        <v>35</v>
      </c>
      <c r="T36" s="91">
        <f>S36*F36-S36*E36</f>
        <v>1785</v>
      </c>
      <c r="U36" s="91">
        <v>55</v>
      </c>
      <c r="V36" s="91">
        <f>U36*F36-U36*E36</f>
        <v>2805</v>
      </c>
      <c r="W36" s="91">
        <f>SUM(S36,Q36,O36,M36,K36,I36)</f>
        <v>354</v>
      </c>
      <c r="X36" s="90" t="s">
        <v>10</v>
      </c>
      <c r="Y36" s="92">
        <v>91</v>
      </c>
      <c r="Z36">
        <f>D36*I36</f>
        <v>435</v>
      </c>
    </row>
    <row r="37" spans="1:26" x14ac:dyDescent="0.3">
      <c r="A37" s="93" t="s">
        <v>70</v>
      </c>
      <c r="B37" s="98" t="s">
        <v>47</v>
      </c>
      <c r="C37" s="98" t="s">
        <v>9</v>
      </c>
      <c r="D37" s="95">
        <v>5</v>
      </c>
      <c r="E37" s="95">
        <f>D37*2.8</f>
        <v>14</v>
      </c>
      <c r="F37" s="95">
        <v>56</v>
      </c>
      <c r="G37" s="95">
        <f>F37-E37</f>
        <v>42</v>
      </c>
      <c r="H37" s="95">
        <f>(CleanedDataset!$F35-CleanedDataset!$E35)/CleanedDataset!$F35</f>
        <v>0.77272727272727271</v>
      </c>
      <c r="I37" s="96">
        <v>61</v>
      </c>
      <c r="J37" s="96">
        <f>I37*F37-I37*E37</f>
        <v>2562</v>
      </c>
      <c r="K37" s="96">
        <v>97</v>
      </c>
      <c r="L37" s="96">
        <f>K37*F37-I37*E37</f>
        <v>4578</v>
      </c>
      <c r="M37" s="96">
        <v>29</v>
      </c>
      <c r="N37" s="96">
        <f>M37*F37-M37*E37</f>
        <v>1218</v>
      </c>
      <c r="O37" s="96">
        <v>91</v>
      </c>
      <c r="P37" s="96">
        <f>O37*F37-O37*E37</f>
        <v>3822</v>
      </c>
      <c r="Q37" s="96">
        <v>62</v>
      </c>
      <c r="R37" s="96">
        <f>Q37*F37-Q37*E37</f>
        <v>2604</v>
      </c>
      <c r="S37" s="96">
        <v>419</v>
      </c>
      <c r="T37" s="96">
        <f>S37*F37-S37*E37</f>
        <v>17598</v>
      </c>
      <c r="U37" s="96">
        <v>37</v>
      </c>
      <c r="V37" s="96">
        <f>U37*F37-U37*E37</f>
        <v>1554</v>
      </c>
      <c r="W37" s="96">
        <f>SUM(S37,Q37,O37,M37,K37,I37)</f>
        <v>759</v>
      </c>
      <c r="X37" s="95" t="s">
        <v>10</v>
      </c>
      <c r="Y37" s="97">
        <v>96</v>
      </c>
      <c r="Z37">
        <f>D37*I37</f>
        <v>305</v>
      </c>
    </row>
    <row r="38" spans="1:26" x14ac:dyDescent="0.3">
      <c r="A38" s="93" t="s">
        <v>173</v>
      </c>
      <c r="B38" s="94" t="s">
        <v>174</v>
      </c>
      <c r="C38" s="98" t="s">
        <v>9</v>
      </c>
      <c r="D38" s="95">
        <v>30</v>
      </c>
      <c r="E38" s="95">
        <f>D38*2.8</f>
        <v>84</v>
      </c>
      <c r="F38" s="95">
        <v>250</v>
      </c>
      <c r="G38" s="95">
        <f>F38-E38</f>
        <v>166</v>
      </c>
      <c r="H38" s="95">
        <f>(CleanedDataset!$F17-CleanedDataset!$E17)/CleanedDataset!$F17</f>
        <v>0.70285714285714285</v>
      </c>
      <c r="I38" s="96">
        <v>15</v>
      </c>
      <c r="J38" s="96">
        <f>I38*F38-I38*E38</f>
        <v>2490</v>
      </c>
      <c r="K38" s="96">
        <v>17</v>
      </c>
      <c r="L38" s="96">
        <f>K38*F38-I38*E38</f>
        <v>2990</v>
      </c>
      <c r="M38" s="96">
        <v>15</v>
      </c>
      <c r="N38" s="96">
        <f>M38*F38-M38*E38</f>
        <v>2490</v>
      </c>
      <c r="O38" s="96">
        <v>20</v>
      </c>
      <c r="P38" s="96">
        <f>O38*F38-O38*E38</f>
        <v>3320</v>
      </c>
      <c r="Q38" s="96">
        <v>35</v>
      </c>
      <c r="R38" s="96">
        <f>Q38*F38-Q38*E38</f>
        <v>5810</v>
      </c>
      <c r="S38" s="96">
        <v>24</v>
      </c>
      <c r="T38" s="96">
        <f>S38*F38-S38*E38</f>
        <v>3984</v>
      </c>
      <c r="U38" s="96">
        <v>15</v>
      </c>
      <c r="V38" s="96">
        <f>U38*F38-U38*E38</f>
        <v>2490</v>
      </c>
      <c r="W38" s="96">
        <f>SUM(S38,Q38,O38,M38,K38,I38)</f>
        <v>126</v>
      </c>
      <c r="X38" s="95" t="s">
        <v>144</v>
      </c>
      <c r="Y38" s="97">
        <v>90</v>
      </c>
      <c r="Z38">
        <f>D38*I38</f>
        <v>450</v>
      </c>
    </row>
    <row r="39" spans="1:26" x14ac:dyDescent="0.3">
      <c r="A39" s="93" t="s">
        <v>23</v>
      </c>
      <c r="B39" s="94" t="s">
        <v>24</v>
      </c>
      <c r="C39" s="94" t="s">
        <v>25</v>
      </c>
      <c r="D39" s="95">
        <v>7</v>
      </c>
      <c r="E39" s="95">
        <f>D39*3</f>
        <v>21</v>
      </c>
      <c r="F39" s="95">
        <v>55</v>
      </c>
      <c r="G39" s="95">
        <f>F39-E39</f>
        <v>34</v>
      </c>
      <c r="H39" s="95">
        <f>(CleanedDataset!$F87-CleanedDataset!$E87)/CleanedDataset!$F87</f>
        <v>0.49152542372881358</v>
      </c>
      <c r="I39" s="96">
        <v>23</v>
      </c>
      <c r="J39" s="96">
        <f>I39*F39-I39*E39</f>
        <v>782</v>
      </c>
      <c r="K39" s="96">
        <v>15</v>
      </c>
      <c r="L39" s="96">
        <f>K39*F39-I39*E39</f>
        <v>342</v>
      </c>
      <c r="M39" s="96">
        <v>0</v>
      </c>
      <c r="N39" s="96">
        <f>M39*F39-M39*E39</f>
        <v>0</v>
      </c>
      <c r="O39" s="96">
        <v>0</v>
      </c>
      <c r="P39" s="96">
        <f>O39*F39-O39*E39</f>
        <v>0</v>
      </c>
      <c r="Q39" s="96">
        <v>0</v>
      </c>
      <c r="R39" s="96">
        <f>Q39*F39-Q39*E39</f>
        <v>0</v>
      </c>
      <c r="S39" s="96">
        <v>0</v>
      </c>
      <c r="T39" s="96">
        <f>S39*F39-S39*E39</f>
        <v>0</v>
      </c>
      <c r="U39" s="96">
        <v>0</v>
      </c>
      <c r="V39" s="96">
        <f>U39*F39-U39*E39</f>
        <v>0</v>
      </c>
      <c r="W39" s="96">
        <f>SUM(S39,Q39,O39,M39,K39,I39)</f>
        <v>38</v>
      </c>
      <c r="X39" s="95" t="s">
        <v>10</v>
      </c>
      <c r="Y39" s="97">
        <v>90</v>
      </c>
      <c r="Z39">
        <f>D39*I39</f>
        <v>161</v>
      </c>
    </row>
    <row r="40" spans="1:26" x14ac:dyDescent="0.3">
      <c r="A40" s="93" t="s">
        <v>23</v>
      </c>
      <c r="B40" s="94" t="s">
        <v>24</v>
      </c>
      <c r="C40" s="94" t="s">
        <v>12</v>
      </c>
      <c r="D40" s="95">
        <v>7</v>
      </c>
      <c r="E40" s="95">
        <f>D40*3</f>
        <v>21</v>
      </c>
      <c r="F40" s="95">
        <v>55</v>
      </c>
      <c r="G40" s="95">
        <f>F40-E40</f>
        <v>34</v>
      </c>
      <c r="H40" s="95">
        <f>(CleanedDataset!$F169-CleanedDataset!$E169)/CleanedDataset!$F169</f>
        <v>0.49090909090909091</v>
      </c>
      <c r="I40" s="96">
        <v>1578</v>
      </c>
      <c r="J40" s="96">
        <f>I40*F40-I40*E40</f>
        <v>53652</v>
      </c>
      <c r="K40" s="96">
        <v>1450</v>
      </c>
      <c r="L40" s="96">
        <f>K40*F40-I40*E40</f>
        <v>46612</v>
      </c>
      <c r="M40" s="96">
        <v>1135</v>
      </c>
      <c r="N40" s="96">
        <f>M40*F40-M40*E40</f>
        <v>38590</v>
      </c>
      <c r="O40" s="96">
        <v>957</v>
      </c>
      <c r="P40" s="96">
        <f>O40*F40-O40*E40</f>
        <v>32538</v>
      </c>
      <c r="Q40" s="96">
        <v>2300</v>
      </c>
      <c r="R40" s="96">
        <f>Q40*F40-Q40*E40</f>
        <v>78200</v>
      </c>
      <c r="S40" s="96">
        <v>2780</v>
      </c>
      <c r="T40" s="96">
        <f>S40*F40-S40*E40</f>
        <v>94520</v>
      </c>
      <c r="U40" s="96">
        <v>2800</v>
      </c>
      <c r="V40" s="96">
        <f>U40*F40-U40*E40</f>
        <v>95200</v>
      </c>
      <c r="W40" s="96">
        <f>SUM(S40,Q40,O40,M40,K40,I40)</f>
        <v>10200</v>
      </c>
      <c r="X40" s="95" t="s">
        <v>10</v>
      </c>
      <c r="Y40" s="97">
        <v>95</v>
      </c>
      <c r="Z40">
        <f>D40*I40</f>
        <v>11046</v>
      </c>
    </row>
    <row r="41" spans="1:26" x14ac:dyDescent="0.3">
      <c r="A41" s="88" t="s">
        <v>23</v>
      </c>
      <c r="B41" s="89" t="s">
        <v>24</v>
      </c>
      <c r="C41" s="89" t="s">
        <v>9</v>
      </c>
      <c r="D41" s="90">
        <v>7</v>
      </c>
      <c r="E41" s="90">
        <f>D41*2.8</f>
        <v>19.599999999999998</v>
      </c>
      <c r="F41" s="90">
        <v>45</v>
      </c>
      <c r="G41" s="90">
        <f>F41-E41</f>
        <v>25.400000000000002</v>
      </c>
      <c r="H41" s="90">
        <f>(CleanedDataset!$F60-CleanedDataset!$E60)/CleanedDataset!$F60</f>
        <v>0.81333333333333324</v>
      </c>
      <c r="I41" s="91">
        <v>1064</v>
      </c>
      <c r="J41" s="91">
        <f>I41*F41-I41*E41</f>
        <v>27025.600000000002</v>
      </c>
      <c r="K41" s="91">
        <v>1153</v>
      </c>
      <c r="L41" s="91">
        <f>K41*F41-I41*E41</f>
        <v>31030.600000000002</v>
      </c>
      <c r="M41" s="91">
        <v>1979</v>
      </c>
      <c r="N41" s="91">
        <f>M41*F41-M41*E41</f>
        <v>50266.600000000006</v>
      </c>
      <c r="O41" s="91">
        <v>2901</v>
      </c>
      <c r="P41" s="91">
        <f>O41*F41-O41*E41</f>
        <v>73685.400000000009</v>
      </c>
      <c r="Q41" s="91">
        <v>2434</v>
      </c>
      <c r="R41" s="91">
        <f>Q41*F41-Q41*E41</f>
        <v>61823.600000000006</v>
      </c>
      <c r="S41" s="91">
        <v>1693</v>
      </c>
      <c r="T41" s="91">
        <f>S41*F41-S41*E41</f>
        <v>43002.200000000004</v>
      </c>
      <c r="U41" s="91">
        <v>1311</v>
      </c>
      <c r="V41" s="91">
        <f>U41*F41-U41*E41</f>
        <v>33299.4</v>
      </c>
      <c r="W41" s="91">
        <f>SUM(S41,Q41,O41,M41,K41,I41)</f>
        <v>11224</v>
      </c>
      <c r="X41" s="90" t="s">
        <v>10</v>
      </c>
      <c r="Y41" s="92">
        <v>94</v>
      </c>
      <c r="Z41">
        <f>D41*I41</f>
        <v>7448</v>
      </c>
    </row>
    <row r="42" spans="1:26" x14ac:dyDescent="0.3">
      <c r="A42" s="88" t="s">
        <v>67</v>
      </c>
      <c r="B42" s="89" t="s">
        <v>68</v>
      </c>
      <c r="C42" s="100" t="s">
        <v>9</v>
      </c>
      <c r="D42" s="90">
        <v>5</v>
      </c>
      <c r="E42" s="90">
        <f>D42*2.8</f>
        <v>14</v>
      </c>
      <c r="F42" s="90">
        <v>85</v>
      </c>
      <c r="G42" s="90">
        <f>F42-E42</f>
        <v>71</v>
      </c>
      <c r="H42" s="90">
        <f>(CleanedDataset!$F48-CleanedDataset!$E48)/CleanedDataset!$F48</f>
        <v>0.75111111111111106</v>
      </c>
      <c r="I42" s="91">
        <v>268</v>
      </c>
      <c r="J42" s="91">
        <f>I42*F42-I42*E42</f>
        <v>19028</v>
      </c>
      <c r="K42" s="91">
        <v>253</v>
      </c>
      <c r="L42" s="91">
        <f>K42*F42-I42*E42</f>
        <v>17753</v>
      </c>
      <c r="M42" s="91">
        <v>178</v>
      </c>
      <c r="N42" s="91">
        <f>M42*F42-M42*E42</f>
        <v>12638</v>
      </c>
      <c r="O42" s="91">
        <v>360</v>
      </c>
      <c r="P42" s="91">
        <f>O42*F42-O42*E42</f>
        <v>25560</v>
      </c>
      <c r="Q42" s="91">
        <v>816</v>
      </c>
      <c r="R42" s="91">
        <f>Q42*F42-Q42*E42</f>
        <v>57936</v>
      </c>
      <c r="S42" s="91">
        <v>410</v>
      </c>
      <c r="T42" s="91">
        <f>S42*F42-S42*E42</f>
        <v>29110</v>
      </c>
      <c r="U42" s="91">
        <v>301</v>
      </c>
      <c r="V42" s="91">
        <f>U42*F42-U42*E42</f>
        <v>21371</v>
      </c>
      <c r="W42" s="91">
        <f>SUM(S42,Q42,O42,M42,K42,I42)</f>
        <v>2285</v>
      </c>
      <c r="X42" s="90" t="s">
        <v>10</v>
      </c>
      <c r="Y42" s="92">
        <v>93</v>
      </c>
      <c r="Z42">
        <f>D42*I42</f>
        <v>1340</v>
      </c>
    </row>
    <row r="43" spans="1:26" x14ac:dyDescent="0.3">
      <c r="A43" s="93" t="s">
        <v>67</v>
      </c>
      <c r="B43" s="94" t="s">
        <v>68</v>
      </c>
      <c r="C43" s="98" t="s">
        <v>12</v>
      </c>
      <c r="D43" s="95">
        <v>5</v>
      </c>
      <c r="E43" s="95">
        <f>D43*3</f>
        <v>15</v>
      </c>
      <c r="F43" s="95">
        <v>85</v>
      </c>
      <c r="G43" s="95">
        <f>F43-E43</f>
        <v>70</v>
      </c>
      <c r="H43" s="95">
        <f>(CleanedDataset!$F153-CleanedDataset!$E153)/CleanedDataset!$F153</f>
        <v>0.64893617021276595</v>
      </c>
      <c r="I43" s="96">
        <v>180</v>
      </c>
      <c r="J43" s="96">
        <f>I43*F43-I43*E43</f>
        <v>12600</v>
      </c>
      <c r="K43" s="96">
        <v>0</v>
      </c>
      <c r="L43" s="96">
        <f>K43*F43-I43*E43</f>
        <v>-2700</v>
      </c>
      <c r="M43" s="96">
        <v>0</v>
      </c>
      <c r="N43" s="96">
        <f>M43*F43-M43*E43</f>
        <v>0</v>
      </c>
      <c r="O43" s="96">
        <v>0</v>
      </c>
      <c r="P43" s="96">
        <f>O43*F43-O43*E43</f>
        <v>0</v>
      </c>
      <c r="Q43" s="96">
        <v>0</v>
      </c>
      <c r="R43" s="96">
        <f>Q43*F43-Q43*E43</f>
        <v>0</v>
      </c>
      <c r="S43" s="96">
        <v>0</v>
      </c>
      <c r="T43" s="96">
        <f>S43*F43-S43*E43</f>
        <v>0</v>
      </c>
      <c r="U43" s="96">
        <v>0</v>
      </c>
      <c r="V43" s="96">
        <f>U43*F43-U43*E43</f>
        <v>0</v>
      </c>
      <c r="W43" s="96">
        <f>SUM(S43,Q43,O43,M43,K43,I43)</f>
        <v>180</v>
      </c>
      <c r="X43" s="95" t="s">
        <v>10</v>
      </c>
      <c r="Y43" s="97">
        <v>98</v>
      </c>
      <c r="Z43">
        <f>D43*I43</f>
        <v>900</v>
      </c>
    </row>
    <row r="44" spans="1:26" x14ac:dyDescent="0.3">
      <c r="A44" s="93" t="s">
        <v>74</v>
      </c>
      <c r="B44" s="98" t="s">
        <v>75</v>
      </c>
      <c r="C44" s="98" t="s">
        <v>43</v>
      </c>
      <c r="D44" s="95">
        <v>5</v>
      </c>
      <c r="E44" s="95">
        <f>D44*3</f>
        <v>15</v>
      </c>
      <c r="F44" s="95">
        <v>49</v>
      </c>
      <c r="G44" s="95">
        <f>F44-E44</f>
        <v>34</v>
      </c>
      <c r="H44" s="95">
        <f>(CleanedDataset!$F69-CleanedDataset!$E69)/CleanedDataset!$F69</f>
        <v>0.77931034482758621</v>
      </c>
      <c r="I44" s="96">
        <v>1</v>
      </c>
      <c r="J44" s="96">
        <f>I44*F44-I44*E44</f>
        <v>34</v>
      </c>
      <c r="K44" s="96">
        <v>0</v>
      </c>
      <c r="L44" s="96">
        <f>K44*F44-I44*E44</f>
        <v>-15</v>
      </c>
      <c r="M44" s="96">
        <v>0</v>
      </c>
      <c r="N44" s="96">
        <f>M44*F44-M44*E44</f>
        <v>0</v>
      </c>
      <c r="O44" s="96">
        <v>0</v>
      </c>
      <c r="P44" s="96">
        <f>O44*F44-O44*E44</f>
        <v>0</v>
      </c>
      <c r="Q44" s="96">
        <v>0</v>
      </c>
      <c r="R44" s="96">
        <f>Q44*F44-Q44*E44</f>
        <v>0</v>
      </c>
      <c r="S44" s="96">
        <v>0</v>
      </c>
      <c r="T44" s="96">
        <f>S44*F44-S44*E44</f>
        <v>0</v>
      </c>
      <c r="U44" s="96">
        <v>0</v>
      </c>
      <c r="V44" s="96">
        <f>U44*F44-U44*E44</f>
        <v>0</v>
      </c>
      <c r="W44" s="96">
        <f>SUM(S44,Q44,O44,M44,K44,I44)</f>
        <v>1</v>
      </c>
      <c r="X44" s="95" t="s">
        <v>10</v>
      </c>
      <c r="Y44" s="97">
        <v>100</v>
      </c>
      <c r="Z44">
        <f>D44*I44</f>
        <v>5</v>
      </c>
    </row>
    <row r="45" spans="1:26" x14ac:dyDescent="0.3">
      <c r="A45" s="88" t="s">
        <v>74</v>
      </c>
      <c r="B45" s="100" t="s">
        <v>75</v>
      </c>
      <c r="C45" s="100" t="s">
        <v>14</v>
      </c>
      <c r="D45" s="90">
        <v>5</v>
      </c>
      <c r="E45" s="90">
        <f>D45*3</f>
        <v>15</v>
      </c>
      <c r="F45" s="90">
        <v>49</v>
      </c>
      <c r="G45" s="90">
        <f>F45-E45</f>
        <v>34</v>
      </c>
      <c r="H45" s="90">
        <f>(CleanedDataset!$F128-CleanedDataset!$E128)/CleanedDataset!$F128</f>
        <v>0.65490196078431373</v>
      </c>
      <c r="I45" s="91">
        <v>1</v>
      </c>
      <c r="J45" s="91">
        <f>I45*F45-I45*E45</f>
        <v>34</v>
      </c>
      <c r="K45" s="91">
        <v>0</v>
      </c>
      <c r="L45" s="91">
        <f>K45*F45-I45*E45</f>
        <v>-15</v>
      </c>
      <c r="M45" s="91">
        <v>0</v>
      </c>
      <c r="N45" s="91">
        <f>M45*F45-M45*E45</f>
        <v>0</v>
      </c>
      <c r="O45" s="91">
        <v>0</v>
      </c>
      <c r="P45" s="91">
        <f>O45*F45-O45*E45</f>
        <v>0</v>
      </c>
      <c r="Q45" s="91">
        <v>0</v>
      </c>
      <c r="R45" s="91">
        <f>Q45*F45-Q45*E45</f>
        <v>0</v>
      </c>
      <c r="S45" s="91">
        <v>0</v>
      </c>
      <c r="T45" s="91">
        <f>S45*F45-S45*E45</f>
        <v>0</v>
      </c>
      <c r="U45" s="91">
        <v>0</v>
      </c>
      <c r="V45" s="91">
        <f>U45*F45-U45*E45</f>
        <v>0</v>
      </c>
      <c r="W45" s="91">
        <f>SUM(S45,Q45,O45,M45,K45,I45)</f>
        <v>1</v>
      </c>
      <c r="X45" s="90" t="s">
        <v>10</v>
      </c>
      <c r="Y45" s="92">
        <v>95</v>
      </c>
      <c r="Z45">
        <f>D45*I45</f>
        <v>5</v>
      </c>
    </row>
    <row r="46" spans="1:26" x14ac:dyDescent="0.3">
      <c r="A46" s="93" t="s">
        <v>74</v>
      </c>
      <c r="B46" s="98" t="s">
        <v>75</v>
      </c>
      <c r="C46" s="98" t="s">
        <v>12</v>
      </c>
      <c r="D46" s="95">
        <v>5</v>
      </c>
      <c r="E46" s="95">
        <f>D46*3</f>
        <v>15</v>
      </c>
      <c r="F46" s="95">
        <v>49</v>
      </c>
      <c r="G46" s="95">
        <f>F46-E46</f>
        <v>34</v>
      </c>
      <c r="H46" s="95">
        <f>(CleanedDataset!$F149-CleanedDataset!$E149)/CleanedDataset!$F149</f>
        <v>0.58529411764705885</v>
      </c>
      <c r="I46" s="96">
        <v>68</v>
      </c>
      <c r="J46" s="96">
        <f>I46*F46-I46*E46</f>
        <v>2312</v>
      </c>
      <c r="K46" s="96">
        <v>55</v>
      </c>
      <c r="L46" s="96">
        <f>K46*F46-I46*E46</f>
        <v>1675</v>
      </c>
      <c r="M46" s="96">
        <v>20</v>
      </c>
      <c r="N46" s="96">
        <f>M46*F46-M46*E46</f>
        <v>680</v>
      </c>
      <c r="O46" s="96">
        <v>25</v>
      </c>
      <c r="P46" s="96">
        <f>O46*F46-O46*E46</f>
        <v>850</v>
      </c>
      <c r="Q46" s="96">
        <v>30</v>
      </c>
      <c r="R46" s="96">
        <f>Q46*F46-Q46*E46</f>
        <v>1020</v>
      </c>
      <c r="S46" s="96">
        <v>44</v>
      </c>
      <c r="T46" s="96">
        <f>S46*F46-S46*E46</f>
        <v>1496</v>
      </c>
      <c r="U46" s="96">
        <v>10</v>
      </c>
      <c r="V46" s="96">
        <f>U46*F46-U46*E46</f>
        <v>340</v>
      </c>
      <c r="W46" s="96">
        <f>SUM(S46,Q46,O46,M46,K46,I46)</f>
        <v>242</v>
      </c>
      <c r="X46" s="95" t="s">
        <v>10</v>
      </c>
      <c r="Y46" s="97">
        <v>93</v>
      </c>
      <c r="Z46">
        <f>D46*I46</f>
        <v>340</v>
      </c>
    </row>
    <row r="47" spans="1:26" x14ac:dyDescent="0.3">
      <c r="A47" s="93" t="s">
        <v>74</v>
      </c>
      <c r="B47" s="98" t="s">
        <v>75</v>
      </c>
      <c r="C47" s="98" t="s">
        <v>9</v>
      </c>
      <c r="D47" s="95">
        <v>5</v>
      </c>
      <c r="E47" s="95">
        <f>D47*2.8</f>
        <v>14</v>
      </c>
      <c r="F47" s="95">
        <v>39</v>
      </c>
      <c r="G47" s="95">
        <f>F47-E47</f>
        <v>25</v>
      </c>
      <c r="H47" s="95">
        <f>(CleanedDataset!$F25-CleanedDataset!$E25)/CleanedDataset!$F25</f>
        <v>0.47499999999999998</v>
      </c>
      <c r="I47" s="96">
        <v>36</v>
      </c>
      <c r="J47" s="96">
        <f>I47*F47-I47*E47</f>
        <v>900</v>
      </c>
      <c r="K47" s="96">
        <v>49</v>
      </c>
      <c r="L47" s="96">
        <f>K47*F47-I47*E47</f>
        <v>1407</v>
      </c>
      <c r="M47" s="96">
        <v>38</v>
      </c>
      <c r="N47" s="96">
        <f>M47*F47-M47*E47</f>
        <v>950</v>
      </c>
      <c r="O47" s="96">
        <v>69</v>
      </c>
      <c r="P47" s="96">
        <f>O47*F47-O47*E47</f>
        <v>1725</v>
      </c>
      <c r="Q47" s="96">
        <v>39</v>
      </c>
      <c r="R47" s="96">
        <f>Q47*F47-Q47*E47</f>
        <v>975</v>
      </c>
      <c r="S47" s="96">
        <v>46</v>
      </c>
      <c r="T47" s="96">
        <f>S47*F47-S47*E47</f>
        <v>1150</v>
      </c>
      <c r="U47" s="96">
        <v>8</v>
      </c>
      <c r="V47" s="96">
        <f>U47*F47-U47*E47</f>
        <v>200</v>
      </c>
      <c r="W47" s="96">
        <f>SUM(S47,Q47,O47,M47,K47,I47)</f>
        <v>277</v>
      </c>
      <c r="X47" s="95" t="s">
        <v>10</v>
      </c>
      <c r="Y47" s="97">
        <v>94</v>
      </c>
      <c r="Z47">
        <f>D47*I47</f>
        <v>180</v>
      </c>
    </row>
    <row r="48" spans="1:26" x14ac:dyDescent="0.3">
      <c r="A48" s="93" t="s">
        <v>72</v>
      </c>
      <c r="B48" s="98" t="s">
        <v>73</v>
      </c>
      <c r="C48" s="98" t="s">
        <v>17</v>
      </c>
      <c r="D48" s="95">
        <v>7</v>
      </c>
      <c r="E48" s="95">
        <f>D48*3.2</f>
        <v>22.400000000000002</v>
      </c>
      <c r="F48" s="95">
        <v>90</v>
      </c>
      <c r="G48" s="95">
        <f>F48-E48</f>
        <v>67.599999999999994</v>
      </c>
      <c r="H48" s="95">
        <f>(CleanedDataset!$F115-CleanedDataset!$E115)/CleanedDataset!$F115</f>
        <v>0.37777777777777777</v>
      </c>
      <c r="I48" s="96">
        <v>25</v>
      </c>
      <c r="J48" s="96">
        <f>I48*F48-I48*E48</f>
        <v>1690</v>
      </c>
      <c r="K48" s="96">
        <v>0</v>
      </c>
      <c r="L48" s="96">
        <f>K48*F48-I48*E48</f>
        <v>-560</v>
      </c>
      <c r="M48" s="96">
        <v>0</v>
      </c>
      <c r="N48" s="96">
        <f>M48*F48-M48*E48</f>
        <v>0</v>
      </c>
      <c r="O48" s="96">
        <v>0</v>
      </c>
      <c r="P48" s="96">
        <f>O48*F48-O48*E48</f>
        <v>0</v>
      </c>
      <c r="Q48" s="96">
        <v>0</v>
      </c>
      <c r="R48" s="96">
        <f>Q48*F48-Q48*E48</f>
        <v>0</v>
      </c>
      <c r="S48" s="96">
        <v>0</v>
      </c>
      <c r="T48" s="96">
        <f>S48*F48-S48*E48</f>
        <v>0</v>
      </c>
      <c r="U48" s="96">
        <v>0</v>
      </c>
      <c r="V48" s="96">
        <f>U48*F48-U48*E48</f>
        <v>0</v>
      </c>
      <c r="W48" s="96">
        <f>SUM(S48,Q48,O48,M48,K48,I48)</f>
        <v>25</v>
      </c>
      <c r="X48" s="95" t="s">
        <v>10</v>
      </c>
      <c r="Y48" s="97">
        <v>92</v>
      </c>
      <c r="Z48">
        <f>D48*I48</f>
        <v>175</v>
      </c>
    </row>
    <row r="49" spans="1:26" x14ac:dyDescent="0.3">
      <c r="A49" s="88" t="s">
        <v>72</v>
      </c>
      <c r="B49" s="100" t="s">
        <v>73</v>
      </c>
      <c r="C49" s="100" t="s">
        <v>43</v>
      </c>
      <c r="D49" s="90">
        <v>7</v>
      </c>
      <c r="E49" s="90">
        <f>D49*3</f>
        <v>21</v>
      </c>
      <c r="F49" s="90">
        <v>79</v>
      </c>
      <c r="G49" s="90">
        <f>F49-E49</f>
        <v>58</v>
      </c>
      <c r="H49" s="90">
        <f>(CleanedDataset!$F66-CleanedDataset!$E66)/CleanedDataset!$F66</f>
        <v>0.73</v>
      </c>
      <c r="I49" s="91">
        <v>0</v>
      </c>
      <c r="J49" s="91">
        <f>I49*F49-I49*E49</f>
        <v>0</v>
      </c>
      <c r="K49" s="91">
        <v>3</v>
      </c>
      <c r="L49" s="91">
        <f>K49*F49-I49*E49</f>
        <v>237</v>
      </c>
      <c r="M49" s="91">
        <v>0</v>
      </c>
      <c r="N49" s="91">
        <f>M49*F49-M49*E49</f>
        <v>0</v>
      </c>
      <c r="O49" s="91">
        <v>0</v>
      </c>
      <c r="P49" s="91">
        <f>O49*F49-O49*E49</f>
        <v>0</v>
      </c>
      <c r="Q49" s="91">
        <v>0</v>
      </c>
      <c r="R49" s="91">
        <f>Q49*F49-Q49*E49</f>
        <v>0</v>
      </c>
      <c r="S49" s="91">
        <v>0</v>
      </c>
      <c r="T49" s="91">
        <f>S49*F49-S49*E49</f>
        <v>0</v>
      </c>
      <c r="U49" s="91">
        <v>0</v>
      </c>
      <c r="V49" s="91">
        <f>U49*F49-U49*E49</f>
        <v>0</v>
      </c>
      <c r="W49" s="91">
        <f>SUM(S49,Q49,O49,M49,K49,I49)</f>
        <v>3</v>
      </c>
      <c r="X49" s="90" t="s">
        <v>10</v>
      </c>
      <c r="Y49" s="92">
        <v>93</v>
      </c>
      <c r="Z49">
        <f>D49*I49</f>
        <v>0</v>
      </c>
    </row>
    <row r="50" spans="1:26" x14ac:dyDescent="0.3">
      <c r="A50" s="88" t="s">
        <v>72</v>
      </c>
      <c r="B50" s="100" t="s">
        <v>73</v>
      </c>
      <c r="C50" s="100" t="s">
        <v>12</v>
      </c>
      <c r="D50" s="90">
        <v>7</v>
      </c>
      <c r="E50" s="90">
        <f>D50*3</f>
        <v>21</v>
      </c>
      <c r="F50" s="90">
        <v>79</v>
      </c>
      <c r="G50" s="90">
        <f>F50-E50</f>
        <v>58</v>
      </c>
      <c r="H50" s="90">
        <f>(CleanedDataset!$F146-CleanedDataset!$E146)/CleanedDataset!$F146</f>
        <v>0.55200000000000005</v>
      </c>
      <c r="I50" s="91">
        <v>40</v>
      </c>
      <c r="J50" s="91">
        <f>I50*F50-I50*E50</f>
        <v>2320</v>
      </c>
      <c r="K50" s="91">
        <v>32</v>
      </c>
      <c r="L50" s="91">
        <f>K50*F50-I50*E50</f>
        <v>1688</v>
      </c>
      <c r="M50" s="91">
        <v>45</v>
      </c>
      <c r="N50" s="91">
        <f>M50*F50-M50*E50</f>
        <v>2610</v>
      </c>
      <c r="O50" s="91">
        <v>13</v>
      </c>
      <c r="P50" s="91">
        <f>O50*F50-O50*E50</f>
        <v>754</v>
      </c>
      <c r="Q50" s="91">
        <v>25</v>
      </c>
      <c r="R50" s="91">
        <f>Q50*F50-Q50*E50</f>
        <v>1450</v>
      </c>
      <c r="S50" s="91">
        <v>66</v>
      </c>
      <c r="T50" s="91">
        <f>S50*F50-S50*E50</f>
        <v>3828</v>
      </c>
      <c r="U50" s="91">
        <v>45</v>
      </c>
      <c r="V50" s="91">
        <f>U50*F50-U50*E50</f>
        <v>2610</v>
      </c>
      <c r="W50" s="91">
        <f>SUM(S50,Q50,O50,M50,K50,I50)</f>
        <v>221</v>
      </c>
      <c r="X50" s="90" t="s">
        <v>10</v>
      </c>
      <c r="Y50" s="92">
        <v>92</v>
      </c>
      <c r="Z50">
        <f>D50*I50</f>
        <v>280</v>
      </c>
    </row>
    <row r="51" spans="1:26" x14ac:dyDescent="0.3">
      <c r="A51" s="88" t="s">
        <v>72</v>
      </c>
      <c r="B51" s="100" t="s">
        <v>73</v>
      </c>
      <c r="C51" s="100" t="s">
        <v>9</v>
      </c>
      <c r="D51" s="90">
        <v>7</v>
      </c>
      <c r="E51" s="90">
        <f>D51*2.8</f>
        <v>19.599999999999998</v>
      </c>
      <c r="F51" s="90">
        <v>69</v>
      </c>
      <c r="G51" s="90">
        <f>F51-E51</f>
        <v>49.400000000000006</v>
      </c>
      <c r="H51" s="90">
        <f>(CleanedDataset!$F22-CleanedDataset!$E22)/CleanedDataset!$F22</f>
        <v>0.68835616438356162</v>
      </c>
      <c r="I51" s="91">
        <v>32</v>
      </c>
      <c r="J51" s="91">
        <f>I51*F51-I51*E51</f>
        <v>1580.8000000000002</v>
      </c>
      <c r="K51" s="91">
        <v>20</v>
      </c>
      <c r="L51" s="91">
        <f>K51*F51-I51*E51</f>
        <v>752.80000000000007</v>
      </c>
      <c r="M51" s="91">
        <v>24</v>
      </c>
      <c r="N51" s="91">
        <f>M51*F51-M51*E51</f>
        <v>1185.5999999999999</v>
      </c>
      <c r="O51" s="91">
        <v>49</v>
      </c>
      <c r="P51" s="91">
        <f>O51*F51-O51*E51</f>
        <v>2420.6000000000004</v>
      </c>
      <c r="Q51" s="91">
        <v>40</v>
      </c>
      <c r="R51" s="91">
        <f>Q51*F51-Q51*E51</f>
        <v>1976</v>
      </c>
      <c r="S51" s="91">
        <v>69</v>
      </c>
      <c r="T51" s="91">
        <f>S51*F51-S51*E51</f>
        <v>3408.6000000000004</v>
      </c>
      <c r="U51" s="91">
        <v>59</v>
      </c>
      <c r="V51" s="91">
        <f>U51*F51-U51*E51</f>
        <v>2914.6000000000004</v>
      </c>
      <c r="W51" s="91">
        <f>SUM(S51,Q51,O51,M51,K51,I51)</f>
        <v>234</v>
      </c>
      <c r="X51" s="90" t="s">
        <v>10</v>
      </c>
      <c r="Y51" s="92">
        <v>94</v>
      </c>
      <c r="Z51">
        <f>D51*I51</f>
        <v>224</v>
      </c>
    </row>
    <row r="52" spans="1:26" x14ac:dyDescent="0.3">
      <c r="A52" s="93" t="s">
        <v>163</v>
      </c>
      <c r="B52" s="94" t="s">
        <v>164</v>
      </c>
      <c r="C52" s="98" t="s">
        <v>9</v>
      </c>
      <c r="D52" s="95">
        <v>30</v>
      </c>
      <c r="E52" s="95">
        <f>D52*2.8</f>
        <v>84</v>
      </c>
      <c r="F52" s="95">
        <v>200</v>
      </c>
      <c r="G52" s="95">
        <f>F52-E52</f>
        <v>116</v>
      </c>
      <c r="H52" s="95">
        <f>(CleanedDataset!$F19-CleanedDataset!$E19)/CleanedDataset!$F19</f>
        <v>0.70285714285714285</v>
      </c>
      <c r="I52" s="96">
        <v>20</v>
      </c>
      <c r="J52" s="96">
        <f>I52*F52-I52*E52</f>
        <v>2320</v>
      </c>
      <c r="K52" s="96">
        <v>25</v>
      </c>
      <c r="L52" s="96">
        <f>K52*F52-I52*E52</f>
        <v>3320</v>
      </c>
      <c r="M52" s="96">
        <v>60</v>
      </c>
      <c r="N52" s="96">
        <f>M52*F52-M52*E52</f>
        <v>6960</v>
      </c>
      <c r="O52" s="96">
        <v>45</v>
      </c>
      <c r="P52" s="96">
        <f>O52*F52-O52*E52</f>
        <v>5220</v>
      </c>
      <c r="Q52" s="96">
        <v>55</v>
      </c>
      <c r="R52" s="96">
        <f>Q52*F52-Q52*E52</f>
        <v>6380</v>
      </c>
      <c r="S52" s="96">
        <v>130</v>
      </c>
      <c r="T52" s="96">
        <f>S52*F52-S52*E52</f>
        <v>15080</v>
      </c>
      <c r="U52" s="96">
        <v>0</v>
      </c>
      <c r="V52" s="96">
        <f>U52*F52-U52*E52</f>
        <v>0</v>
      </c>
      <c r="W52" s="96">
        <f>SUM(S52,Q52,O52,M52,K52,I52)</f>
        <v>335</v>
      </c>
      <c r="X52" s="95" t="s">
        <v>144</v>
      </c>
      <c r="Y52" s="97">
        <v>91</v>
      </c>
      <c r="Z52">
        <f>D52*I52</f>
        <v>600</v>
      </c>
    </row>
    <row r="53" spans="1:26" x14ac:dyDescent="0.3">
      <c r="A53" s="93" t="s">
        <v>177</v>
      </c>
      <c r="B53" s="94" t="s">
        <v>178</v>
      </c>
      <c r="C53" s="98" t="s">
        <v>9</v>
      </c>
      <c r="D53" s="95">
        <v>30</v>
      </c>
      <c r="E53" s="95">
        <f>D53*2.8</f>
        <v>84</v>
      </c>
      <c r="F53" s="95">
        <v>280</v>
      </c>
      <c r="G53" s="95">
        <f>F53-E53</f>
        <v>196</v>
      </c>
      <c r="H53" s="95">
        <f>(CleanedDataset!$F23-CleanedDataset!$E23)/CleanedDataset!$F23</f>
        <v>0.4</v>
      </c>
      <c r="I53" s="96">
        <v>35</v>
      </c>
      <c r="J53" s="96">
        <f>I53*F53-I53*E53</f>
        <v>6860</v>
      </c>
      <c r="K53" s="96">
        <v>55</v>
      </c>
      <c r="L53" s="96">
        <f>K53*F53-I53*E53</f>
        <v>12460</v>
      </c>
      <c r="M53" s="96">
        <v>2</v>
      </c>
      <c r="N53" s="96">
        <f>M53*F53-M53*E53</f>
        <v>392</v>
      </c>
      <c r="O53" s="96">
        <v>10</v>
      </c>
      <c r="P53" s="96">
        <f>O53*F53-O53*E53</f>
        <v>1960</v>
      </c>
      <c r="Q53" s="96">
        <v>62</v>
      </c>
      <c r="R53" s="96">
        <f>Q53*F53-Q53*E53</f>
        <v>12152</v>
      </c>
      <c r="S53" s="96">
        <v>57</v>
      </c>
      <c r="T53" s="96">
        <f>S53*F53-S53*E53</f>
        <v>11172</v>
      </c>
      <c r="U53" s="96">
        <v>315</v>
      </c>
      <c r="V53" s="96">
        <f>U53*F53-U53*E53</f>
        <v>61740</v>
      </c>
      <c r="W53" s="96">
        <f>SUM(S53,Q53,O53,M53,K53,I53)</f>
        <v>221</v>
      </c>
      <c r="X53" s="95" t="s">
        <v>144</v>
      </c>
      <c r="Y53" s="97">
        <v>92</v>
      </c>
      <c r="Z53">
        <f>D53*I53</f>
        <v>1050</v>
      </c>
    </row>
    <row r="54" spans="1:26" x14ac:dyDescent="0.3">
      <c r="A54" s="88" t="s">
        <v>50</v>
      </c>
      <c r="B54" s="100" t="s">
        <v>51</v>
      </c>
      <c r="C54" s="100" t="s">
        <v>21</v>
      </c>
      <c r="D54" s="90">
        <v>40</v>
      </c>
      <c r="E54" s="90">
        <f>D54*3.2</f>
        <v>128</v>
      </c>
      <c r="F54" s="90">
        <v>399</v>
      </c>
      <c r="G54" s="90">
        <f>F54-E54</f>
        <v>271</v>
      </c>
      <c r="H54" s="90">
        <f>(CleanedDataset!$F80-CleanedDataset!$E80)/CleanedDataset!$F80</f>
        <v>-0.20888888888888901</v>
      </c>
      <c r="I54" s="91">
        <v>30</v>
      </c>
      <c r="J54" s="91">
        <f>I54*F54-I54*E54</f>
        <v>8130</v>
      </c>
      <c r="K54" s="91">
        <v>0</v>
      </c>
      <c r="L54" s="91">
        <f>K54*F54-I54*E54</f>
        <v>-3840</v>
      </c>
      <c r="M54" s="91">
        <v>0</v>
      </c>
      <c r="N54" s="91">
        <f>M54*F54-M54*E54</f>
        <v>0</v>
      </c>
      <c r="O54" s="91">
        <v>0</v>
      </c>
      <c r="P54" s="91">
        <f>O54*F54-O54*E54</f>
        <v>0</v>
      </c>
      <c r="Q54" s="91">
        <v>0</v>
      </c>
      <c r="R54" s="91">
        <f>Q54*F54-Q54*E54</f>
        <v>0</v>
      </c>
      <c r="S54" s="91">
        <v>0</v>
      </c>
      <c r="T54" s="91">
        <f>S54*F54-S54*E54</f>
        <v>0</v>
      </c>
      <c r="U54" s="91">
        <v>0</v>
      </c>
      <c r="V54" s="91">
        <f>U54*F54-U54*E54</f>
        <v>0</v>
      </c>
      <c r="W54" s="91">
        <f>SUM(S54,Q54,O54,M54,K54,I54)</f>
        <v>30</v>
      </c>
      <c r="X54" s="90" t="s">
        <v>10</v>
      </c>
      <c r="Y54" s="92">
        <v>99</v>
      </c>
      <c r="Z54">
        <f>D54*I54</f>
        <v>1200</v>
      </c>
    </row>
    <row r="55" spans="1:26" x14ac:dyDescent="0.3">
      <c r="A55" s="93" t="s">
        <v>50</v>
      </c>
      <c r="B55" s="98" t="s">
        <v>51</v>
      </c>
      <c r="C55" s="98" t="s">
        <v>17</v>
      </c>
      <c r="D55" s="95">
        <v>40</v>
      </c>
      <c r="E55" s="95">
        <f>D55*3.2</f>
        <v>128</v>
      </c>
      <c r="F55" s="95">
        <v>399</v>
      </c>
      <c r="G55" s="95">
        <f>F55-E55</f>
        <v>271</v>
      </c>
      <c r="H55" s="95">
        <f>(CleanedDataset!$F123-CleanedDataset!$E123)/CleanedDataset!$F123</f>
        <v>0.624</v>
      </c>
      <c r="I55" s="96">
        <v>55</v>
      </c>
      <c r="J55" s="96">
        <f>I55*F55-I55*E55</f>
        <v>14905</v>
      </c>
      <c r="K55" s="96">
        <v>45</v>
      </c>
      <c r="L55" s="96">
        <f>K55*F55-I55*E55</f>
        <v>10915</v>
      </c>
      <c r="M55" s="96">
        <v>0</v>
      </c>
      <c r="N55" s="96">
        <f>M55*F55-M55*E55</f>
        <v>0</v>
      </c>
      <c r="O55" s="96">
        <v>0</v>
      </c>
      <c r="P55" s="96">
        <f>O55*F55-O55*E55</f>
        <v>0</v>
      </c>
      <c r="Q55" s="96">
        <v>0</v>
      </c>
      <c r="R55" s="96">
        <f>Q55*F55-Q55*E55</f>
        <v>0</v>
      </c>
      <c r="S55" s="96">
        <v>0</v>
      </c>
      <c r="T55" s="96">
        <f>S55*F55-S55*E55</f>
        <v>0</v>
      </c>
      <c r="U55" s="96">
        <v>0</v>
      </c>
      <c r="V55" s="96">
        <f>U55*F55-U55*E55</f>
        <v>0</v>
      </c>
      <c r="W55" s="96">
        <f>SUM(S55,Q55,O55,M55,K55,I55)</f>
        <v>100</v>
      </c>
      <c r="X55" s="95" t="s">
        <v>10</v>
      </c>
      <c r="Y55" s="97">
        <v>98</v>
      </c>
      <c r="Z55">
        <f>D55*I55</f>
        <v>2200</v>
      </c>
    </row>
    <row r="56" spans="1:26" x14ac:dyDescent="0.3">
      <c r="A56" s="88" t="s">
        <v>50</v>
      </c>
      <c r="B56" s="100" t="s">
        <v>51</v>
      </c>
      <c r="C56" s="100" t="s">
        <v>9</v>
      </c>
      <c r="D56" s="90">
        <v>40</v>
      </c>
      <c r="E56" s="90">
        <f>D56*2.8</f>
        <v>112</v>
      </c>
      <c r="F56" s="90">
        <v>359</v>
      </c>
      <c r="G56" s="90">
        <f>F56-E56</f>
        <v>247</v>
      </c>
      <c r="H56" s="90">
        <f>(CleanedDataset!$F28-CleanedDataset!$E28)/CleanedDataset!$F28</f>
        <v>0.73333333333333328</v>
      </c>
      <c r="I56" s="91">
        <v>41</v>
      </c>
      <c r="J56" s="91">
        <f>I56*F56-I56*E56</f>
        <v>10127</v>
      </c>
      <c r="K56" s="91">
        <v>106</v>
      </c>
      <c r="L56" s="91">
        <f>K56*F56-I56*E56</f>
        <v>33462</v>
      </c>
      <c r="M56" s="91">
        <v>81</v>
      </c>
      <c r="N56" s="91">
        <f>M56*F56-M56*E56</f>
        <v>20007</v>
      </c>
      <c r="O56" s="91">
        <v>215</v>
      </c>
      <c r="P56" s="91">
        <f>O56*F56-O56*E56</f>
        <v>53105</v>
      </c>
      <c r="Q56" s="91">
        <v>255</v>
      </c>
      <c r="R56" s="91">
        <f>Q56*F56-Q56*E56</f>
        <v>62985</v>
      </c>
      <c r="S56" s="91">
        <v>72</v>
      </c>
      <c r="T56" s="91">
        <f>S56*F56-S56*E56</f>
        <v>17784</v>
      </c>
      <c r="U56" s="91">
        <v>21</v>
      </c>
      <c r="V56" s="91">
        <f>U56*F56-U56*E56</f>
        <v>5187</v>
      </c>
      <c r="W56" s="91">
        <f>SUM(S56,Q56,O56,M56,K56,I56)</f>
        <v>770</v>
      </c>
      <c r="X56" s="90" t="s">
        <v>10</v>
      </c>
      <c r="Y56" s="92">
        <v>93</v>
      </c>
      <c r="Z56">
        <f>D56*I56</f>
        <v>1640</v>
      </c>
    </row>
    <row r="57" spans="1:26" x14ac:dyDescent="0.3">
      <c r="A57" s="88" t="s">
        <v>71</v>
      </c>
      <c r="B57" s="100" t="s">
        <v>55</v>
      </c>
      <c r="C57" s="100" t="s">
        <v>17</v>
      </c>
      <c r="D57" s="90">
        <v>8</v>
      </c>
      <c r="E57" s="90">
        <f>D57*3.2</f>
        <v>25.6</v>
      </c>
      <c r="F57" s="90">
        <v>85</v>
      </c>
      <c r="G57" s="90">
        <f>F57-E57</f>
        <v>59.4</v>
      </c>
      <c r="H57" s="90">
        <f>(CleanedDataset!$F110-CleanedDataset!$E110)/CleanedDataset!$F110</f>
        <v>0.48</v>
      </c>
      <c r="I57" s="91">
        <v>5</v>
      </c>
      <c r="J57" s="91">
        <f>I57*F57-I57*E57</f>
        <v>297</v>
      </c>
      <c r="K57" s="91">
        <v>0</v>
      </c>
      <c r="L57" s="91">
        <f>K57*F57-I57*E57</f>
        <v>-128</v>
      </c>
      <c r="M57" s="91">
        <v>0</v>
      </c>
      <c r="N57" s="91">
        <f>M57*F57-M57*E57</f>
        <v>0</v>
      </c>
      <c r="O57" s="91">
        <v>0</v>
      </c>
      <c r="P57" s="91">
        <f>O57*F57-O57*E57</f>
        <v>0</v>
      </c>
      <c r="Q57" s="91">
        <v>0</v>
      </c>
      <c r="R57" s="91">
        <f>Q57*F57-Q57*E57</f>
        <v>0</v>
      </c>
      <c r="S57" s="91">
        <v>0</v>
      </c>
      <c r="T57" s="91">
        <f>S57*F57-S57*E57</f>
        <v>0</v>
      </c>
      <c r="U57" s="91">
        <v>0</v>
      </c>
      <c r="V57" s="91">
        <f>U57*F57-U57*E57</f>
        <v>0</v>
      </c>
      <c r="W57" s="91">
        <f>SUM(S57,Q57,O57,M57,K57,I57)</f>
        <v>5</v>
      </c>
      <c r="X57" s="90" t="s">
        <v>10</v>
      </c>
      <c r="Y57" s="92">
        <v>97</v>
      </c>
      <c r="Z57">
        <f>D57*I57</f>
        <v>40</v>
      </c>
    </row>
    <row r="58" spans="1:26" x14ac:dyDescent="0.3">
      <c r="A58" s="93" t="s">
        <v>71</v>
      </c>
      <c r="B58" s="98" t="s">
        <v>55</v>
      </c>
      <c r="C58" s="98" t="s">
        <v>12</v>
      </c>
      <c r="D58" s="95">
        <v>8</v>
      </c>
      <c r="E58" s="95">
        <f>D58*3</f>
        <v>24</v>
      </c>
      <c r="F58" s="95">
        <v>75</v>
      </c>
      <c r="G58" s="95">
        <f>F58-E58</f>
        <v>51</v>
      </c>
      <c r="H58" s="95">
        <f>(CleanedDataset!$F151-CleanedDataset!$E151)/CleanedDataset!$F151</f>
        <v>0.64800000000000002</v>
      </c>
      <c r="I58" s="96">
        <v>135</v>
      </c>
      <c r="J58" s="96">
        <f>I58*F58-I58*E58</f>
        <v>6885</v>
      </c>
      <c r="K58" s="96">
        <v>100</v>
      </c>
      <c r="L58" s="96">
        <f>K58*F58-I58*E58</f>
        <v>4260</v>
      </c>
      <c r="M58" s="96">
        <v>87</v>
      </c>
      <c r="N58" s="96">
        <f>M58*F58-M58*E58</f>
        <v>4437</v>
      </c>
      <c r="O58" s="96">
        <v>15</v>
      </c>
      <c r="P58" s="96">
        <f>O58*F58-O58*E58</f>
        <v>765</v>
      </c>
      <c r="Q58" s="96">
        <v>57</v>
      </c>
      <c r="R58" s="96">
        <f>Q58*F58-Q58*E58</f>
        <v>2907</v>
      </c>
      <c r="S58" s="96">
        <v>180</v>
      </c>
      <c r="T58" s="96">
        <f>S58*F58-S58*E58</f>
        <v>9180</v>
      </c>
      <c r="U58" s="96">
        <v>167</v>
      </c>
      <c r="V58" s="96">
        <f>U58*F58-U58*E58</f>
        <v>8517</v>
      </c>
      <c r="W58" s="96">
        <f>SUM(S58,Q58,O58,M58,K58,I58)</f>
        <v>574</v>
      </c>
      <c r="X58" s="95" t="s">
        <v>10</v>
      </c>
      <c r="Y58" s="97">
        <v>100</v>
      </c>
      <c r="Z58">
        <f>D58*I58</f>
        <v>1080</v>
      </c>
    </row>
    <row r="59" spans="1:26" x14ac:dyDescent="0.3">
      <c r="A59" s="88" t="s">
        <v>71</v>
      </c>
      <c r="B59" s="100" t="s">
        <v>55</v>
      </c>
      <c r="C59" s="100" t="s">
        <v>9</v>
      </c>
      <c r="D59" s="90">
        <v>8</v>
      </c>
      <c r="E59" s="90">
        <f>D59*2.8</f>
        <v>22.4</v>
      </c>
      <c r="F59" s="90">
        <v>65</v>
      </c>
      <c r="G59" s="90">
        <f>F59-E59</f>
        <v>42.6</v>
      </c>
      <c r="H59" s="90">
        <f>(CleanedDataset!$F34-CleanedDataset!$E34)/CleanedDataset!$F34</f>
        <v>0.77272727272727271</v>
      </c>
      <c r="I59" s="91">
        <v>60</v>
      </c>
      <c r="J59" s="91">
        <f>I59*F59-I59*E59</f>
        <v>2556</v>
      </c>
      <c r="K59" s="91">
        <v>68</v>
      </c>
      <c r="L59" s="91">
        <f>K59*F59-I59*E59</f>
        <v>3076</v>
      </c>
      <c r="M59" s="91">
        <v>315</v>
      </c>
      <c r="N59" s="91">
        <f>M59*F59-M59*E59</f>
        <v>13419</v>
      </c>
      <c r="O59" s="91">
        <v>56</v>
      </c>
      <c r="P59" s="91">
        <f>O59*F59-O59*E59</f>
        <v>2385.6000000000004</v>
      </c>
      <c r="Q59" s="91">
        <v>132</v>
      </c>
      <c r="R59" s="91">
        <f>Q59*F59-Q59*E59</f>
        <v>5623.2000000000007</v>
      </c>
      <c r="S59" s="91">
        <v>160</v>
      </c>
      <c r="T59" s="91">
        <f>S59*F59-S59*E59</f>
        <v>6816</v>
      </c>
      <c r="U59" s="91">
        <v>168</v>
      </c>
      <c r="V59" s="91">
        <f>U59*F59-U59*E59</f>
        <v>7156.8</v>
      </c>
      <c r="W59" s="91">
        <f>SUM(S59,Q59,O59,M59,K59,I59)</f>
        <v>791</v>
      </c>
      <c r="X59" s="90" t="s">
        <v>10</v>
      </c>
      <c r="Y59" s="92">
        <v>99</v>
      </c>
      <c r="Z59">
        <f>D59*I59</f>
        <v>480</v>
      </c>
    </row>
    <row r="60" spans="1:26" x14ac:dyDescent="0.3">
      <c r="A60" s="93" t="s">
        <v>69</v>
      </c>
      <c r="B60" s="94" t="s">
        <v>55</v>
      </c>
      <c r="C60" s="98" t="s">
        <v>17</v>
      </c>
      <c r="D60" s="95">
        <v>3.5</v>
      </c>
      <c r="E60" s="95">
        <f>D60*3.2</f>
        <v>11.200000000000001</v>
      </c>
      <c r="F60" s="95">
        <v>60</v>
      </c>
      <c r="G60" s="95">
        <f>F60-E60</f>
        <v>48.8</v>
      </c>
      <c r="H60" s="95">
        <f>(CleanedDataset!$F107-CleanedDataset!$E107)/CleanedDataset!$F107</f>
        <v>0.4</v>
      </c>
      <c r="I60" s="96">
        <v>3</v>
      </c>
      <c r="J60" s="96">
        <f>I60*F60-I60*E60</f>
        <v>146.4</v>
      </c>
      <c r="K60" s="96">
        <v>0</v>
      </c>
      <c r="L60" s="96">
        <f>K60*F60-I60*E60</f>
        <v>-33.6</v>
      </c>
      <c r="M60" s="96">
        <v>0</v>
      </c>
      <c r="N60" s="96">
        <f>M60*F60-M60*E60</f>
        <v>0</v>
      </c>
      <c r="O60" s="96">
        <v>0</v>
      </c>
      <c r="P60" s="96">
        <f>O60*F60-O60*E60</f>
        <v>0</v>
      </c>
      <c r="Q60" s="96">
        <v>0</v>
      </c>
      <c r="R60" s="96">
        <f>Q60*F60-Q60*E60</f>
        <v>0</v>
      </c>
      <c r="S60" s="96">
        <v>0</v>
      </c>
      <c r="T60" s="96">
        <f>S60*F60-S60*E60</f>
        <v>0</v>
      </c>
      <c r="U60" s="96">
        <v>0</v>
      </c>
      <c r="V60" s="96">
        <f>U60*F60-U60*E60</f>
        <v>0</v>
      </c>
      <c r="W60" s="96">
        <f>SUM(S60,Q60,O60,M60,K60,I60)</f>
        <v>3</v>
      </c>
      <c r="X60" s="95" t="s">
        <v>10</v>
      </c>
      <c r="Y60" s="97">
        <v>94</v>
      </c>
      <c r="Z60">
        <f>D60*I60</f>
        <v>10.5</v>
      </c>
    </row>
    <row r="61" spans="1:26" x14ac:dyDescent="0.3">
      <c r="A61" s="93" t="s">
        <v>69</v>
      </c>
      <c r="B61" s="94" t="s">
        <v>55</v>
      </c>
      <c r="C61" s="98" t="s">
        <v>12</v>
      </c>
      <c r="D61" s="95">
        <v>3.5</v>
      </c>
      <c r="E61" s="95">
        <f>D61*3</f>
        <v>10.5</v>
      </c>
      <c r="F61" s="95">
        <v>45</v>
      </c>
      <c r="G61" s="95">
        <f>F61-E61</f>
        <v>34.5</v>
      </c>
      <c r="H61" s="95">
        <f>(CleanedDataset!$F143-CleanedDataset!$E143)/CleanedDataset!$F143</f>
        <v>0.55862068965517242</v>
      </c>
      <c r="I61" s="96">
        <v>24</v>
      </c>
      <c r="J61" s="96">
        <f>I61*F61-I61*E61</f>
        <v>828</v>
      </c>
      <c r="K61" s="96">
        <v>0</v>
      </c>
      <c r="L61" s="96">
        <f>K61*F61-I61*E61</f>
        <v>-252</v>
      </c>
      <c r="M61" s="96">
        <v>0</v>
      </c>
      <c r="N61" s="96">
        <f>M61*F61-M61*E61</f>
        <v>0</v>
      </c>
      <c r="O61" s="96">
        <v>0</v>
      </c>
      <c r="P61" s="96">
        <f>O61*F61-O61*E61</f>
        <v>0</v>
      </c>
      <c r="Q61" s="96">
        <v>0</v>
      </c>
      <c r="R61" s="96">
        <f>Q61*F61-Q61*E61</f>
        <v>0</v>
      </c>
      <c r="S61" s="96">
        <v>0</v>
      </c>
      <c r="T61" s="96">
        <f>S61*F61-S61*E61</f>
        <v>0</v>
      </c>
      <c r="U61" s="96">
        <v>0</v>
      </c>
      <c r="V61" s="96">
        <f>U61*F61-U61*E61</f>
        <v>0</v>
      </c>
      <c r="W61" s="96">
        <f>SUM(S61,Q61,O61,M61,K61,I61)</f>
        <v>24</v>
      </c>
      <c r="X61" s="95" t="s">
        <v>10</v>
      </c>
      <c r="Y61" s="97">
        <v>91</v>
      </c>
      <c r="Z61">
        <f>D61*I61</f>
        <v>84</v>
      </c>
    </row>
    <row r="62" spans="1:26" x14ac:dyDescent="0.3">
      <c r="A62" s="88" t="s">
        <v>69</v>
      </c>
      <c r="B62" s="89" t="s">
        <v>55</v>
      </c>
      <c r="C62" s="100" t="s">
        <v>9</v>
      </c>
      <c r="D62" s="90">
        <v>3.5</v>
      </c>
      <c r="E62" s="90">
        <f>D62*2.8</f>
        <v>9.7999999999999989</v>
      </c>
      <c r="F62" s="90">
        <v>35</v>
      </c>
      <c r="G62" s="90">
        <f>F62-E62</f>
        <v>25.200000000000003</v>
      </c>
      <c r="H62" s="90">
        <f>(CleanedDataset!$F44-CleanedDataset!$E44)/CleanedDataset!$F44</f>
        <v>0.69387755102040816</v>
      </c>
      <c r="I62" s="91">
        <v>124</v>
      </c>
      <c r="J62" s="91">
        <f>I62*F62-I62*E62</f>
        <v>3124.8</v>
      </c>
      <c r="K62" s="91">
        <v>4</v>
      </c>
      <c r="L62" s="91">
        <f>K62*F62-I62*E62</f>
        <v>-1075.1999999999998</v>
      </c>
      <c r="M62" s="91">
        <v>127</v>
      </c>
      <c r="N62" s="91">
        <f>M62*F62-M62*E62</f>
        <v>3200.4</v>
      </c>
      <c r="O62" s="91">
        <v>35</v>
      </c>
      <c r="P62" s="91">
        <f>O62*F62-O62*E62</f>
        <v>882</v>
      </c>
      <c r="Q62" s="91">
        <v>38</v>
      </c>
      <c r="R62" s="91">
        <f>Q62*F62-Q62*E62</f>
        <v>957.6</v>
      </c>
      <c r="S62" s="91">
        <v>12</v>
      </c>
      <c r="T62" s="91">
        <f>S62*F62-S62*E62</f>
        <v>302.39999999999998</v>
      </c>
      <c r="U62" s="91">
        <v>0</v>
      </c>
      <c r="V62" s="91">
        <f>U62*F62-U62*E62</f>
        <v>0</v>
      </c>
      <c r="W62" s="91">
        <f>SUM(S62,Q62,O62,M62,K62,I62)</f>
        <v>340</v>
      </c>
      <c r="X62" s="90" t="s">
        <v>10</v>
      </c>
      <c r="Y62" s="92">
        <v>97</v>
      </c>
      <c r="Z62">
        <f>D62*I62</f>
        <v>434</v>
      </c>
    </row>
    <row r="63" spans="1:26" x14ac:dyDescent="0.3">
      <c r="A63" s="93" t="s">
        <v>54</v>
      </c>
      <c r="B63" s="94" t="s">
        <v>55</v>
      </c>
      <c r="C63" s="98" t="s">
        <v>12</v>
      </c>
      <c r="D63" s="95">
        <v>9</v>
      </c>
      <c r="E63" s="95">
        <f>D63*3</f>
        <v>27</v>
      </c>
      <c r="F63" s="95">
        <v>55</v>
      </c>
      <c r="G63" s="95">
        <f>F63-E63</f>
        <v>28</v>
      </c>
      <c r="H63" s="95">
        <f>(CleanedDataset!$F157-CleanedDataset!$E157)/CleanedDataset!$F157</f>
        <v>0.25</v>
      </c>
      <c r="I63" s="96">
        <v>230</v>
      </c>
      <c r="J63" s="96">
        <f>I63*F63-I63*E63</f>
        <v>6440</v>
      </c>
      <c r="K63" s="96">
        <v>185</v>
      </c>
      <c r="L63" s="96">
        <f>K63*F63-I63*E63</f>
        <v>3965</v>
      </c>
      <c r="M63" s="96">
        <v>74</v>
      </c>
      <c r="N63" s="96">
        <f>M63*F63-M63*E63</f>
        <v>2072</v>
      </c>
      <c r="O63" s="96">
        <v>67</v>
      </c>
      <c r="P63" s="96">
        <f>O63*F63-O63*E63</f>
        <v>1876</v>
      </c>
      <c r="Q63" s="96">
        <v>55</v>
      </c>
      <c r="R63" s="96">
        <f>Q63*F63-Q63*E63</f>
        <v>1540</v>
      </c>
      <c r="S63" s="96">
        <v>80</v>
      </c>
      <c r="T63" s="96">
        <f>S63*F63-S63*E63</f>
        <v>2240</v>
      </c>
      <c r="U63" s="96">
        <v>250</v>
      </c>
      <c r="V63" s="96">
        <f>U63*F63-U63*E63</f>
        <v>7000</v>
      </c>
      <c r="W63" s="96">
        <f>SUM(S63,Q63,O63,M63,K63,I63)</f>
        <v>691</v>
      </c>
      <c r="X63" s="95" t="s">
        <v>10</v>
      </c>
      <c r="Y63" s="97">
        <v>90</v>
      </c>
      <c r="Z63">
        <f>D63*I63</f>
        <v>2070</v>
      </c>
    </row>
    <row r="64" spans="1:26" x14ac:dyDescent="0.3">
      <c r="A64" s="93" t="s">
        <v>54</v>
      </c>
      <c r="B64" s="94" t="s">
        <v>55</v>
      </c>
      <c r="C64" s="98" t="s">
        <v>9</v>
      </c>
      <c r="D64" s="95">
        <v>9</v>
      </c>
      <c r="E64" s="95">
        <f>D64*2.8</f>
        <v>25.2</v>
      </c>
      <c r="F64" s="95">
        <v>45</v>
      </c>
      <c r="G64" s="95">
        <f>F64-E64</f>
        <v>19.8</v>
      </c>
      <c r="H64" s="95">
        <f>(CleanedDataset!$F39-CleanedDataset!$E39)/CleanedDataset!$F39</f>
        <v>0.61818181818181817</v>
      </c>
      <c r="I64" s="96">
        <v>80</v>
      </c>
      <c r="J64" s="96">
        <f>I64*F64-I64*E64</f>
        <v>1584</v>
      </c>
      <c r="K64" s="96">
        <v>71</v>
      </c>
      <c r="L64" s="96">
        <f>K64*F64-I64*E64</f>
        <v>1179</v>
      </c>
      <c r="M64" s="96">
        <v>200</v>
      </c>
      <c r="N64" s="96">
        <f>M64*F64-M64*E64</f>
        <v>3960</v>
      </c>
      <c r="O64" s="96">
        <v>114</v>
      </c>
      <c r="P64" s="96">
        <f>O64*F64-O64*E64</f>
        <v>2257.2000000000003</v>
      </c>
      <c r="Q64" s="96">
        <v>210</v>
      </c>
      <c r="R64" s="96">
        <f>Q64*F64-Q64*E64</f>
        <v>4158</v>
      </c>
      <c r="S64" s="96">
        <v>116</v>
      </c>
      <c r="T64" s="96">
        <f>S64*F64-S64*E64</f>
        <v>2296.8000000000002</v>
      </c>
      <c r="U64" s="96">
        <v>408</v>
      </c>
      <c r="V64" s="96">
        <f>U64*F64-U64*E64</f>
        <v>8078.4</v>
      </c>
      <c r="W64" s="96">
        <f>SUM(S64,Q64,O64,M64,K64,I64)</f>
        <v>791</v>
      </c>
      <c r="X64" s="95" t="s">
        <v>10</v>
      </c>
      <c r="Y64" s="97">
        <v>97</v>
      </c>
      <c r="Z64">
        <f>D64*I64</f>
        <v>720</v>
      </c>
    </row>
    <row r="65" spans="1:26" x14ac:dyDescent="0.3">
      <c r="A65" s="93" t="s">
        <v>66</v>
      </c>
      <c r="B65" s="98" t="s">
        <v>55</v>
      </c>
      <c r="C65" s="98" t="s">
        <v>17</v>
      </c>
      <c r="D65" s="95">
        <v>4.5</v>
      </c>
      <c r="E65" s="95">
        <f>D65*3.2</f>
        <v>14.4</v>
      </c>
      <c r="F65" s="95">
        <v>65</v>
      </c>
      <c r="G65" s="95">
        <f>F65-E65</f>
        <v>50.6</v>
      </c>
      <c r="H65" s="95">
        <f>(CleanedDataset!$F109-CleanedDataset!$E109)/CleanedDataset!$F109</f>
        <v>0.44615384615384618</v>
      </c>
      <c r="I65" s="96">
        <v>5</v>
      </c>
      <c r="J65" s="96">
        <f>I65*F65-I65*E65</f>
        <v>253</v>
      </c>
      <c r="K65" s="96">
        <v>0</v>
      </c>
      <c r="L65" s="96">
        <f>K65*F65-I65*E65</f>
        <v>-72</v>
      </c>
      <c r="M65" s="96">
        <v>0</v>
      </c>
      <c r="N65" s="96">
        <f>M65*F65-M65*E65</f>
        <v>0</v>
      </c>
      <c r="O65" s="96">
        <v>0</v>
      </c>
      <c r="P65" s="96">
        <f>O65*F65-O65*E65</f>
        <v>0</v>
      </c>
      <c r="Q65" s="96">
        <v>0</v>
      </c>
      <c r="R65" s="96">
        <f>Q65*F65-Q65*E65</f>
        <v>0</v>
      </c>
      <c r="S65" s="96">
        <v>0</v>
      </c>
      <c r="T65" s="96">
        <f>S65*F65-S65*E65</f>
        <v>0</v>
      </c>
      <c r="U65" s="96">
        <v>0</v>
      </c>
      <c r="V65" s="96">
        <f>U65*F65-U65*E65</f>
        <v>0</v>
      </c>
      <c r="W65" s="96">
        <f>SUM(S65,Q65,O65,M65,K65,I65)</f>
        <v>5</v>
      </c>
      <c r="X65" s="95" t="s">
        <v>10</v>
      </c>
      <c r="Y65" s="97">
        <v>94</v>
      </c>
      <c r="Z65">
        <f>D65*I65</f>
        <v>22.5</v>
      </c>
    </row>
    <row r="66" spans="1:26" x14ac:dyDescent="0.3">
      <c r="A66" s="93" t="s">
        <v>66</v>
      </c>
      <c r="B66" s="98" t="s">
        <v>55</v>
      </c>
      <c r="C66" s="98" t="s">
        <v>12</v>
      </c>
      <c r="D66" s="95">
        <v>4.5</v>
      </c>
      <c r="E66" s="95">
        <f>D66*3</f>
        <v>13.5</v>
      </c>
      <c r="F66" s="95">
        <v>50</v>
      </c>
      <c r="G66" s="95">
        <f>F66-E66</f>
        <v>36.5</v>
      </c>
      <c r="H66" s="95">
        <f>(CleanedDataset!$F145-CleanedDataset!$E145)/CleanedDataset!$F145</f>
        <v>0.53846153846153844</v>
      </c>
      <c r="I66" s="96">
        <v>40</v>
      </c>
      <c r="J66" s="96">
        <f>I66*F66-I66*E66</f>
        <v>1460</v>
      </c>
      <c r="K66" s="96">
        <v>33</v>
      </c>
      <c r="L66" s="96">
        <f>K66*F66-I66*E66</f>
        <v>1110</v>
      </c>
      <c r="M66" s="96">
        <v>45</v>
      </c>
      <c r="N66" s="96">
        <f>M66*F66-M66*E66</f>
        <v>1642.5</v>
      </c>
      <c r="O66" s="96">
        <v>20</v>
      </c>
      <c r="P66" s="96">
        <f>O66*F66-O66*E66</f>
        <v>730</v>
      </c>
      <c r="Q66" s="96">
        <v>15</v>
      </c>
      <c r="R66" s="96">
        <f>Q66*F66-Q66*E66</f>
        <v>547.5</v>
      </c>
      <c r="S66" s="96">
        <v>55</v>
      </c>
      <c r="T66" s="96">
        <f>S66*F66-S66*E66</f>
        <v>2007.5</v>
      </c>
      <c r="U66" s="96">
        <v>46</v>
      </c>
      <c r="V66" s="96">
        <f>U66*F66-U66*E66</f>
        <v>1679</v>
      </c>
      <c r="W66" s="96">
        <f>SUM(S66,Q66,O66,M66,K66,I66)</f>
        <v>208</v>
      </c>
      <c r="X66" s="95" t="s">
        <v>10</v>
      </c>
      <c r="Y66" s="97">
        <v>100</v>
      </c>
      <c r="Z66">
        <f>D66*I66</f>
        <v>180</v>
      </c>
    </row>
    <row r="67" spans="1:26" x14ac:dyDescent="0.3">
      <c r="A67" s="93" t="s">
        <v>66</v>
      </c>
      <c r="B67" s="98" t="s">
        <v>55</v>
      </c>
      <c r="C67" s="98" t="s">
        <v>9</v>
      </c>
      <c r="D67" s="95">
        <v>4.5</v>
      </c>
      <c r="E67" s="95">
        <f>D67*2.8</f>
        <v>12.6</v>
      </c>
      <c r="F67" s="95">
        <v>40</v>
      </c>
      <c r="G67" s="95">
        <f>F67-E67</f>
        <v>27.4</v>
      </c>
      <c r="H67" s="95">
        <f>(CleanedDataset!$F29-CleanedDataset!$E29)/CleanedDataset!$F29</f>
        <v>0.7</v>
      </c>
      <c r="I67" s="96">
        <v>41</v>
      </c>
      <c r="J67" s="96">
        <f>I67*F67-I67*E67</f>
        <v>1123.4000000000001</v>
      </c>
      <c r="K67" s="96">
        <v>68</v>
      </c>
      <c r="L67" s="96">
        <f>K67*F67-I67*E67</f>
        <v>2203.4</v>
      </c>
      <c r="M67" s="96">
        <v>183</v>
      </c>
      <c r="N67" s="96">
        <f>M67*F67-M67*E67</f>
        <v>5014.2000000000007</v>
      </c>
      <c r="O67" s="96">
        <v>73</v>
      </c>
      <c r="P67" s="96">
        <f>O67*F67-O67*E67</f>
        <v>2000.2</v>
      </c>
      <c r="Q67" s="96">
        <v>79</v>
      </c>
      <c r="R67" s="96">
        <f>Q67*F67-Q67*E67</f>
        <v>2164.6</v>
      </c>
      <c r="S67" s="96">
        <v>314</v>
      </c>
      <c r="T67" s="96">
        <f>S67*F67-S67*E67</f>
        <v>8603.6</v>
      </c>
      <c r="U67" s="96">
        <v>156</v>
      </c>
      <c r="V67" s="96">
        <f>U67*F67-U67*E67</f>
        <v>4274.3999999999996</v>
      </c>
      <c r="W67" s="96">
        <f>SUM(S67,Q67,O67,M67,K67,I67)</f>
        <v>758</v>
      </c>
      <c r="X67" s="95" t="s">
        <v>10</v>
      </c>
      <c r="Y67" s="97">
        <v>97</v>
      </c>
      <c r="Z67">
        <f>D67*I67</f>
        <v>184.5</v>
      </c>
    </row>
    <row r="68" spans="1:26" x14ac:dyDescent="0.3">
      <c r="A68" s="88" t="s">
        <v>77</v>
      </c>
      <c r="B68" s="100" t="s">
        <v>55</v>
      </c>
      <c r="C68" s="100" t="s">
        <v>43</v>
      </c>
      <c r="D68" s="90">
        <v>10</v>
      </c>
      <c r="E68" s="90">
        <f>D68*3</f>
        <v>30</v>
      </c>
      <c r="F68" s="90">
        <v>145</v>
      </c>
      <c r="G68" s="90">
        <f>F68-E68</f>
        <v>115</v>
      </c>
      <c r="H68" s="90">
        <f>(CleanedDataset!$F70-CleanedDataset!$E70)/CleanedDataset!$F70</f>
        <v>0.7931034482758621</v>
      </c>
      <c r="I68" s="91">
        <v>2</v>
      </c>
      <c r="J68" s="91">
        <f>I68*F68-I68*E68</f>
        <v>230</v>
      </c>
      <c r="K68" s="91">
        <v>0</v>
      </c>
      <c r="L68" s="91">
        <f>K68*F68-I68*E68</f>
        <v>-60</v>
      </c>
      <c r="M68" s="91">
        <v>0</v>
      </c>
      <c r="N68" s="91">
        <f>M68*F68-M68*E68</f>
        <v>0</v>
      </c>
      <c r="O68" s="91">
        <v>0</v>
      </c>
      <c r="P68" s="91">
        <f>O68*F68-O68*E68</f>
        <v>0</v>
      </c>
      <c r="Q68" s="91">
        <v>0</v>
      </c>
      <c r="R68" s="91">
        <f>Q68*F68-Q68*E68</f>
        <v>0</v>
      </c>
      <c r="S68" s="91">
        <v>0</v>
      </c>
      <c r="T68" s="91">
        <f>S68*F68-S68*E68</f>
        <v>0</v>
      </c>
      <c r="U68" s="91">
        <v>0</v>
      </c>
      <c r="V68" s="91">
        <f>U68*F68-U68*E68</f>
        <v>0</v>
      </c>
      <c r="W68" s="91">
        <f>SUM(S68,Q68,O68,M68,K68,I68)</f>
        <v>2</v>
      </c>
      <c r="X68" s="90" t="s">
        <v>10</v>
      </c>
      <c r="Y68" s="92">
        <v>100</v>
      </c>
      <c r="Z68">
        <f>D68*I68</f>
        <v>20</v>
      </c>
    </row>
    <row r="69" spans="1:26" x14ac:dyDescent="0.3">
      <c r="A69" s="93" t="s">
        <v>77</v>
      </c>
      <c r="B69" s="98" t="s">
        <v>55</v>
      </c>
      <c r="C69" s="98" t="s">
        <v>17</v>
      </c>
      <c r="D69" s="95">
        <v>10</v>
      </c>
      <c r="E69" s="95">
        <f>D69*3.2</f>
        <v>32</v>
      </c>
      <c r="F69" s="95">
        <v>145</v>
      </c>
      <c r="G69" s="95">
        <f>F69-E69</f>
        <v>113</v>
      </c>
      <c r="H69" s="95">
        <f>(CleanedDataset!$F113-CleanedDataset!$E113)/CleanedDataset!$F113</f>
        <v>0.37777777777777777</v>
      </c>
      <c r="I69" s="96">
        <v>13</v>
      </c>
      <c r="J69" s="96">
        <f>I69*F69-I69*E69</f>
        <v>1469</v>
      </c>
      <c r="K69" s="96">
        <v>10</v>
      </c>
      <c r="L69" s="96">
        <f>K69*F69-I69*E69</f>
        <v>1034</v>
      </c>
      <c r="M69" s="96">
        <v>0</v>
      </c>
      <c r="N69" s="96">
        <f>M69*F69-M69*E69</f>
        <v>0</v>
      </c>
      <c r="O69" s="96">
        <v>0</v>
      </c>
      <c r="P69" s="96">
        <f>O69*F69-O69*E69</f>
        <v>0</v>
      </c>
      <c r="Q69" s="96">
        <v>0</v>
      </c>
      <c r="R69" s="96">
        <f>Q69*F69-Q69*E69</f>
        <v>0</v>
      </c>
      <c r="S69" s="96">
        <v>0</v>
      </c>
      <c r="T69" s="96">
        <f>S69*F69-S69*E69</f>
        <v>0</v>
      </c>
      <c r="U69" s="96">
        <v>0</v>
      </c>
      <c r="V69" s="96">
        <f>U69*F69-U69*E69</f>
        <v>0</v>
      </c>
      <c r="W69" s="96">
        <f>SUM(S69,Q69,O69,M69,K69,I69)</f>
        <v>23</v>
      </c>
      <c r="X69" s="95" t="s">
        <v>10</v>
      </c>
      <c r="Y69" s="97">
        <v>96</v>
      </c>
      <c r="Z69">
        <f>D69*I69</f>
        <v>130</v>
      </c>
    </row>
    <row r="70" spans="1:26" x14ac:dyDescent="0.3">
      <c r="A70" s="88" t="s">
        <v>77</v>
      </c>
      <c r="B70" s="100" t="s">
        <v>55</v>
      </c>
      <c r="C70" s="100" t="s">
        <v>12</v>
      </c>
      <c r="D70" s="90">
        <v>10</v>
      </c>
      <c r="E70" s="90">
        <f>D70*3</f>
        <v>30</v>
      </c>
      <c r="F70" s="90">
        <v>145</v>
      </c>
      <c r="G70" s="90">
        <f>F70-E70</f>
        <v>115</v>
      </c>
      <c r="H70" s="90">
        <f>(CleanedDataset!$F140-CleanedDataset!$E140)/CleanedDataset!$F140</f>
        <v>0.57999999999999996</v>
      </c>
      <c r="I70" s="91">
        <v>10</v>
      </c>
      <c r="J70" s="91">
        <f>I70*F70-I70*E70</f>
        <v>1150</v>
      </c>
      <c r="K70" s="91">
        <v>0</v>
      </c>
      <c r="L70" s="91">
        <f>K70*F70-I70*E70</f>
        <v>-300</v>
      </c>
      <c r="M70" s="91">
        <v>0</v>
      </c>
      <c r="N70" s="91">
        <f>M70*F70-M70*E70</f>
        <v>0</v>
      </c>
      <c r="O70" s="91">
        <v>0</v>
      </c>
      <c r="P70" s="91">
        <f>O70*F70-O70*E70</f>
        <v>0</v>
      </c>
      <c r="Q70" s="91">
        <v>0</v>
      </c>
      <c r="R70" s="91">
        <f>Q70*F70-Q70*E70</f>
        <v>0</v>
      </c>
      <c r="S70" s="91">
        <v>0</v>
      </c>
      <c r="T70" s="91">
        <f>S70*F70-S70*E70</f>
        <v>0</v>
      </c>
      <c r="U70" s="91">
        <v>0</v>
      </c>
      <c r="V70" s="91">
        <f>U70*F70-U70*E70</f>
        <v>0</v>
      </c>
      <c r="W70" s="91">
        <f>SUM(S70,Q70,O70,M70,K70,I70)</f>
        <v>10</v>
      </c>
      <c r="X70" s="90" t="s">
        <v>10</v>
      </c>
      <c r="Y70" s="92">
        <v>94</v>
      </c>
      <c r="Z70">
        <f>D70*I70</f>
        <v>100</v>
      </c>
    </row>
    <row r="71" spans="1:26" x14ac:dyDescent="0.3">
      <c r="A71" s="88" t="s">
        <v>77</v>
      </c>
      <c r="B71" s="100" t="s">
        <v>55</v>
      </c>
      <c r="C71" s="100" t="s">
        <v>9</v>
      </c>
      <c r="D71" s="90">
        <v>10</v>
      </c>
      <c r="E71" s="90">
        <f>D71*2.8</f>
        <v>28</v>
      </c>
      <c r="F71" s="90">
        <v>130</v>
      </c>
      <c r="G71" s="90">
        <f>F71-E71</f>
        <v>102</v>
      </c>
      <c r="H71" s="90">
        <f>(CleanedDataset!$F14-CleanedDataset!$E14)/CleanedDataset!$F14</f>
        <v>0.70666666666666667</v>
      </c>
      <c r="I71" s="91">
        <v>15</v>
      </c>
      <c r="J71" s="91">
        <f>I71*F71-I71*E71</f>
        <v>1530</v>
      </c>
      <c r="K71" s="91">
        <v>15</v>
      </c>
      <c r="L71" s="91">
        <f>K71*F71-I71*E71</f>
        <v>1530</v>
      </c>
      <c r="M71" s="91">
        <v>0</v>
      </c>
      <c r="N71" s="91">
        <f>M71*F71-M71*E71</f>
        <v>0</v>
      </c>
      <c r="O71" s="91">
        <v>0</v>
      </c>
      <c r="P71" s="91">
        <f>O71*F71-O71*E71</f>
        <v>0</v>
      </c>
      <c r="Q71" s="91">
        <v>0</v>
      </c>
      <c r="R71" s="91">
        <f>Q71*F71-Q71*E71</f>
        <v>0</v>
      </c>
      <c r="S71" s="91">
        <v>0</v>
      </c>
      <c r="T71" s="91">
        <f>S71*F71-S71*E71</f>
        <v>0</v>
      </c>
      <c r="U71" s="91">
        <v>0</v>
      </c>
      <c r="V71" s="91">
        <f>U71*F71-U71*E71</f>
        <v>0</v>
      </c>
      <c r="W71" s="91">
        <f>SUM(S71,Q71,O71,M71,K71,I71)</f>
        <v>30</v>
      </c>
      <c r="X71" s="90" t="s">
        <v>10</v>
      </c>
      <c r="Y71" s="92">
        <v>94</v>
      </c>
      <c r="Z71">
        <f>D71*I71</f>
        <v>150</v>
      </c>
    </row>
    <row r="72" spans="1:26" x14ac:dyDescent="0.3">
      <c r="A72" s="93" t="s">
        <v>78</v>
      </c>
      <c r="B72" s="98" t="s">
        <v>79</v>
      </c>
      <c r="C72" s="98" t="s">
        <v>43</v>
      </c>
      <c r="D72" s="95">
        <v>5.5</v>
      </c>
      <c r="E72" s="95">
        <f>D72*3</f>
        <v>16.5</v>
      </c>
      <c r="F72" s="95">
        <v>99</v>
      </c>
      <c r="G72" s="95">
        <f>F72-E72</f>
        <v>82.5</v>
      </c>
      <c r="H72" s="95">
        <f>(CleanedDataset!$F71-CleanedDataset!$E71)/CleanedDataset!$F71</f>
        <v>0.7846153846153846</v>
      </c>
      <c r="I72" s="96">
        <v>2</v>
      </c>
      <c r="J72" s="96">
        <f>I72*F72-I72*E72</f>
        <v>165</v>
      </c>
      <c r="K72" s="96">
        <v>0</v>
      </c>
      <c r="L72" s="96">
        <f>K72*F72-I72*E72</f>
        <v>-33</v>
      </c>
      <c r="M72" s="96">
        <v>0</v>
      </c>
      <c r="N72" s="96">
        <f>M72*F72-M72*E72</f>
        <v>0</v>
      </c>
      <c r="O72" s="96">
        <v>0</v>
      </c>
      <c r="P72" s="96">
        <f>O72*F72-O72*E72</f>
        <v>0</v>
      </c>
      <c r="Q72" s="96">
        <v>0</v>
      </c>
      <c r="R72" s="96">
        <f>Q72*F72-Q72*E72</f>
        <v>0</v>
      </c>
      <c r="S72" s="96">
        <v>0</v>
      </c>
      <c r="T72" s="96">
        <f>S72*F72-S72*E72</f>
        <v>0</v>
      </c>
      <c r="U72" s="96">
        <v>0</v>
      </c>
      <c r="V72" s="96">
        <f>U72*F72-U72*E72</f>
        <v>0</v>
      </c>
      <c r="W72" s="96">
        <f>SUM(S72,Q72,O72,M72,K72,I72)</f>
        <v>2</v>
      </c>
      <c r="X72" s="95" t="s">
        <v>10</v>
      </c>
      <c r="Y72" s="97">
        <v>90</v>
      </c>
      <c r="Z72">
        <f>D72*I72</f>
        <v>11</v>
      </c>
    </row>
    <row r="73" spans="1:26" x14ac:dyDescent="0.3">
      <c r="A73" s="88" t="s">
        <v>78</v>
      </c>
      <c r="B73" s="100" t="s">
        <v>79</v>
      </c>
      <c r="C73" s="100" t="s">
        <v>17</v>
      </c>
      <c r="D73" s="90">
        <v>5.5</v>
      </c>
      <c r="E73" s="90">
        <f>D73*3.2</f>
        <v>17.600000000000001</v>
      </c>
      <c r="F73" s="90">
        <v>99</v>
      </c>
      <c r="G73" s="90">
        <f>F73-E73</f>
        <v>81.400000000000006</v>
      </c>
      <c r="H73" s="90">
        <f>(CleanedDataset!$F114-CleanedDataset!$E114)/CleanedDataset!$F114</f>
        <v>0.37777777777777777</v>
      </c>
      <c r="I73" s="91">
        <v>13</v>
      </c>
      <c r="J73" s="91">
        <f>I73*F73-I73*E73</f>
        <v>1058.2</v>
      </c>
      <c r="K73" s="91">
        <v>10</v>
      </c>
      <c r="L73" s="91">
        <f>K73*F73-I73*E73</f>
        <v>761.2</v>
      </c>
      <c r="M73" s="91">
        <v>0</v>
      </c>
      <c r="N73" s="91">
        <f>M73*F73-M73*E73</f>
        <v>0</v>
      </c>
      <c r="O73" s="91">
        <v>0</v>
      </c>
      <c r="P73" s="91">
        <f>O73*F73-O73*E73</f>
        <v>0</v>
      </c>
      <c r="Q73" s="91">
        <v>0</v>
      </c>
      <c r="R73" s="91">
        <f>Q73*F73-Q73*E73</f>
        <v>0</v>
      </c>
      <c r="S73" s="91">
        <v>0</v>
      </c>
      <c r="T73" s="91">
        <f>S73*F73-S73*E73</f>
        <v>0</v>
      </c>
      <c r="U73" s="91">
        <v>0</v>
      </c>
      <c r="V73" s="91">
        <f>U73*F73-U73*E73</f>
        <v>0</v>
      </c>
      <c r="W73" s="91">
        <f>SUM(S73,Q73,O73,M73,K73,I73)</f>
        <v>23</v>
      </c>
      <c r="X73" s="90" t="s">
        <v>10</v>
      </c>
      <c r="Y73" s="92">
        <v>93</v>
      </c>
      <c r="Z73">
        <f>D73*I73</f>
        <v>71.5</v>
      </c>
    </row>
    <row r="74" spans="1:26" x14ac:dyDescent="0.3">
      <c r="A74" s="93" t="s">
        <v>78</v>
      </c>
      <c r="B74" s="98" t="s">
        <v>79</v>
      </c>
      <c r="C74" s="98" t="s">
        <v>12</v>
      </c>
      <c r="D74" s="95">
        <v>5.5</v>
      </c>
      <c r="E74" s="95">
        <f>D74*3</f>
        <v>16.5</v>
      </c>
      <c r="F74" s="95">
        <v>85</v>
      </c>
      <c r="G74" s="95">
        <f>F74-E74</f>
        <v>68.5</v>
      </c>
      <c r="H74" s="95">
        <f>(CleanedDataset!$F141-CleanedDataset!$E141)/CleanedDataset!$F141</f>
        <v>0.4702702702702703</v>
      </c>
      <c r="I74" s="96">
        <v>10</v>
      </c>
      <c r="J74" s="96">
        <f>I74*F74-I74*E74</f>
        <v>685</v>
      </c>
      <c r="K74" s="96">
        <v>0</v>
      </c>
      <c r="L74" s="96">
        <f>K74*F74-I74*E74</f>
        <v>-165</v>
      </c>
      <c r="M74" s="96">
        <v>0</v>
      </c>
      <c r="N74" s="96">
        <f>M74*F74-M74*E74</f>
        <v>0</v>
      </c>
      <c r="O74" s="96">
        <v>0</v>
      </c>
      <c r="P74" s="96">
        <f>O74*F74-O74*E74</f>
        <v>0</v>
      </c>
      <c r="Q74" s="96">
        <v>0</v>
      </c>
      <c r="R74" s="96">
        <f>Q74*F74-Q74*E74</f>
        <v>0</v>
      </c>
      <c r="S74" s="96">
        <v>0</v>
      </c>
      <c r="T74" s="96">
        <f>S74*F74-S74*E74</f>
        <v>0</v>
      </c>
      <c r="U74" s="96">
        <v>0</v>
      </c>
      <c r="V74" s="96">
        <f>U74*F74-U74*E74</f>
        <v>0</v>
      </c>
      <c r="W74" s="96">
        <f>SUM(S74,Q74,O74,M74,K74,I74)</f>
        <v>10</v>
      </c>
      <c r="X74" s="95" t="s">
        <v>10</v>
      </c>
      <c r="Y74" s="97">
        <v>100</v>
      </c>
      <c r="Z74">
        <f>D74*I74</f>
        <v>55</v>
      </c>
    </row>
    <row r="75" spans="1:26" x14ac:dyDescent="0.3">
      <c r="A75" s="93" t="s">
        <v>78</v>
      </c>
      <c r="B75" s="98" t="s">
        <v>79</v>
      </c>
      <c r="C75" s="98" t="s">
        <v>9</v>
      </c>
      <c r="D75" s="95">
        <v>5.5</v>
      </c>
      <c r="E75" s="95">
        <f>D75*2.8</f>
        <v>15.399999999999999</v>
      </c>
      <c r="F75" s="95">
        <v>75</v>
      </c>
      <c r="G75" s="95">
        <f>F75-E75</f>
        <v>59.6</v>
      </c>
      <c r="H75" s="95">
        <f>(CleanedDataset!$F15-CleanedDataset!$E15)/CleanedDataset!$F15</f>
        <v>0.72499999999999998</v>
      </c>
      <c r="I75" s="96">
        <v>15</v>
      </c>
      <c r="J75" s="96">
        <f>I75*F75-I75*E75</f>
        <v>894</v>
      </c>
      <c r="K75" s="96">
        <v>15</v>
      </c>
      <c r="L75" s="96">
        <f>K75*F75-I75*E75</f>
        <v>894</v>
      </c>
      <c r="M75" s="96">
        <v>7</v>
      </c>
      <c r="N75" s="96">
        <f>M75*F75-M75*E75</f>
        <v>417.20000000000005</v>
      </c>
      <c r="O75" s="96">
        <v>8</v>
      </c>
      <c r="P75" s="96">
        <f>O75*F75-O75*E75</f>
        <v>476.8</v>
      </c>
      <c r="Q75" s="96">
        <v>27</v>
      </c>
      <c r="R75" s="96">
        <f>Q75*F75-Q75*E75</f>
        <v>1609.2</v>
      </c>
      <c r="S75" s="96">
        <v>12</v>
      </c>
      <c r="T75" s="96">
        <f>S75*F75-S75*E75</f>
        <v>715.2</v>
      </c>
      <c r="U75" s="96">
        <v>177</v>
      </c>
      <c r="V75" s="96">
        <f>U75*F75-U75*E75</f>
        <v>10549.2</v>
      </c>
      <c r="W75" s="96">
        <f>SUM(S75,Q75,O75,M75,K75,I75)</f>
        <v>84</v>
      </c>
      <c r="X75" s="95" t="s">
        <v>10</v>
      </c>
      <c r="Y75" s="97">
        <v>97</v>
      </c>
      <c r="Z75">
        <f>D75*I75</f>
        <v>82.5</v>
      </c>
    </row>
    <row r="76" spans="1:26" x14ac:dyDescent="0.3">
      <c r="A76" s="88" t="s">
        <v>94</v>
      </c>
      <c r="B76" s="100" t="s">
        <v>95</v>
      </c>
      <c r="C76" s="100" t="s">
        <v>96</v>
      </c>
      <c r="D76" s="101">
        <v>14</v>
      </c>
      <c r="E76" s="90">
        <f>D76*3</f>
        <v>42</v>
      </c>
      <c r="F76" s="90">
        <v>35</v>
      </c>
      <c r="G76" s="90">
        <f>F76-E76</f>
        <v>-7</v>
      </c>
      <c r="H76" s="90">
        <f>(CleanedDataset!$F188-CleanedDataset!$E188)/CleanedDataset!$F188</f>
        <v>0.72000000000000008</v>
      </c>
      <c r="I76" s="91">
        <v>134</v>
      </c>
      <c r="J76" s="91">
        <f>I76*F76-I76*E76</f>
        <v>-938</v>
      </c>
      <c r="K76" s="91">
        <v>1</v>
      </c>
      <c r="L76" s="91">
        <f>K76*F76-I76*E76</f>
        <v>-5593</v>
      </c>
      <c r="M76" s="91">
        <v>0</v>
      </c>
      <c r="N76" s="91">
        <f>M76*F76-M76*E76</f>
        <v>0</v>
      </c>
      <c r="O76" s="91">
        <v>0</v>
      </c>
      <c r="P76" s="91">
        <f>O76*F76-O76*E76</f>
        <v>0</v>
      </c>
      <c r="Q76" s="91">
        <v>0</v>
      </c>
      <c r="R76" s="91">
        <f>Q76*F76-Q76*E76</f>
        <v>0</v>
      </c>
      <c r="S76" s="91">
        <v>0</v>
      </c>
      <c r="T76" s="91">
        <f>S76*F76-S76*E76</f>
        <v>0</v>
      </c>
      <c r="U76" s="91">
        <v>0</v>
      </c>
      <c r="V76" s="91">
        <f>U76*F76-U76*E76</f>
        <v>0</v>
      </c>
      <c r="W76" s="91">
        <f>SUM(S76,Q76,O76,M76,K76,I76)</f>
        <v>135</v>
      </c>
      <c r="X76" s="90" t="s">
        <v>97</v>
      </c>
      <c r="Y76" s="92">
        <v>96</v>
      </c>
      <c r="Z76">
        <f>D76*I76</f>
        <v>1876</v>
      </c>
    </row>
    <row r="77" spans="1:26" x14ac:dyDescent="0.3">
      <c r="A77" s="93" t="s">
        <v>98</v>
      </c>
      <c r="B77" s="98" t="s">
        <v>95</v>
      </c>
      <c r="C77" s="98" t="s">
        <v>9</v>
      </c>
      <c r="D77" s="99">
        <v>14</v>
      </c>
      <c r="E77" s="95">
        <f>D77*2.8</f>
        <v>39.199999999999996</v>
      </c>
      <c r="F77" s="95">
        <v>30</v>
      </c>
      <c r="G77" s="95">
        <f>F77-E77</f>
        <v>-9.1999999999999957</v>
      </c>
      <c r="H77" s="95">
        <f>(CleanedDataset!$F5-CleanedDataset!$E5)/CleanedDataset!$F5</f>
        <v>0.6785714285714286</v>
      </c>
      <c r="I77" s="96">
        <v>0</v>
      </c>
      <c r="J77" s="96">
        <f>I77*F77-I77*E77</f>
        <v>0</v>
      </c>
      <c r="K77" s="96">
        <v>0</v>
      </c>
      <c r="L77" s="96">
        <f>K77*F77-I77*E77</f>
        <v>0</v>
      </c>
      <c r="M77" s="96">
        <v>0</v>
      </c>
      <c r="N77" s="96">
        <f>M77*F77-M77*E77</f>
        <v>0</v>
      </c>
      <c r="O77" s="96">
        <v>0</v>
      </c>
      <c r="P77" s="96">
        <f>O77*F77-O77*E77</f>
        <v>0</v>
      </c>
      <c r="Q77" s="96">
        <v>0</v>
      </c>
      <c r="R77" s="96">
        <f>Q77*F77-Q77*E77</f>
        <v>0</v>
      </c>
      <c r="S77" s="96">
        <v>0</v>
      </c>
      <c r="T77" s="96">
        <f>S77*F77-S77*E77</f>
        <v>0</v>
      </c>
      <c r="U77" s="96">
        <v>0</v>
      </c>
      <c r="V77" s="96">
        <f>U77*F77-U77*E77</f>
        <v>0</v>
      </c>
      <c r="W77" s="96">
        <f>SUM(S77,Q77,O77,M77,K77,I77)</f>
        <v>0</v>
      </c>
      <c r="X77" s="95" t="s">
        <v>97</v>
      </c>
      <c r="Y77" s="97">
        <v>93</v>
      </c>
      <c r="Z77">
        <f>D77*I77</f>
        <v>0</v>
      </c>
    </row>
    <row r="78" spans="1:26" x14ac:dyDescent="0.3">
      <c r="A78" s="88" t="s">
        <v>99</v>
      </c>
      <c r="B78" s="100" t="s">
        <v>95</v>
      </c>
      <c r="C78" s="100" t="s">
        <v>96</v>
      </c>
      <c r="D78" s="101">
        <v>17</v>
      </c>
      <c r="E78" s="90">
        <f>D78*3</f>
        <v>51</v>
      </c>
      <c r="F78" s="90">
        <v>40</v>
      </c>
      <c r="G78" s="90">
        <f>F78-E78</f>
        <v>-11</v>
      </c>
      <c r="H78" s="90">
        <f>(CleanedDataset!$F178-CleanedDataset!$E178)/CleanedDataset!$F178</f>
        <v>0.6080000000000001</v>
      </c>
      <c r="I78" s="91">
        <v>60</v>
      </c>
      <c r="J78" s="91">
        <f>I78*F78-I78*E78</f>
        <v>-660</v>
      </c>
      <c r="K78" s="91">
        <v>5</v>
      </c>
      <c r="L78" s="91">
        <f>K78*F78-I78*E78</f>
        <v>-2860</v>
      </c>
      <c r="M78" s="91">
        <v>1</v>
      </c>
      <c r="N78" s="91">
        <f>M78*F78-M78*E78</f>
        <v>-11</v>
      </c>
      <c r="O78" s="91">
        <v>0</v>
      </c>
      <c r="P78" s="91">
        <f>O78*F78-O78*E78</f>
        <v>0</v>
      </c>
      <c r="Q78" s="91">
        <v>0</v>
      </c>
      <c r="R78" s="91">
        <f>Q78*F78-Q78*E78</f>
        <v>0</v>
      </c>
      <c r="S78" s="91">
        <v>0</v>
      </c>
      <c r="T78" s="91">
        <f>S78*F78-S78*E78</f>
        <v>0</v>
      </c>
      <c r="U78" s="91">
        <v>0</v>
      </c>
      <c r="V78" s="91">
        <f>U78*F78-U78*E78</f>
        <v>0</v>
      </c>
      <c r="W78" s="91">
        <f>SUM(S78,Q78,O78,M78,K78,I78)</f>
        <v>66</v>
      </c>
      <c r="X78" s="90" t="s">
        <v>97</v>
      </c>
      <c r="Y78" s="92">
        <v>99</v>
      </c>
      <c r="Z78">
        <f>D78*I78</f>
        <v>1020</v>
      </c>
    </row>
    <row r="79" spans="1:26" x14ac:dyDescent="0.3">
      <c r="A79" s="88" t="s">
        <v>100</v>
      </c>
      <c r="B79" s="100" t="s">
        <v>95</v>
      </c>
      <c r="C79" s="100" t="s">
        <v>9</v>
      </c>
      <c r="D79" s="101">
        <v>17</v>
      </c>
      <c r="E79" s="90">
        <f>D79*2.8</f>
        <v>47.599999999999994</v>
      </c>
      <c r="F79" s="90">
        <v>38</v>
      </c>
      <c r="G79" s="90">
        <f>F79-E79</f>
        <v>-9.5999999999999943</v>
      </c>
      <c r="H79" s="90">
        <f>(CleanedDataset!$F6-CleanedDataset!$E6)/CleanedDataset!$F6</f>
        <v>0.6785714285714286</v>
      </c>
      <c r="I79" s="91">
        <v>0</v>
      </c>
      <c r="J79" s="91">
        <f>I79*F79-I79*E79</f>
        <v>0</v>
      </c>
      <c r="K79" s="91">
        <v>0</v>
      </c>
      <c r="L79" s="91">
        <f>K79*F79-I79*E79</f>
        <v>0</v>
      </c>
      <c r="M79" s="91">
        <v>0</v>
      </c>
      <c r="N79" s="91">
        <f>M79*F79-M79*E79</f>
        <v>0</v>
      </c>
      <c r="O79" s="91">
        <v>0</v>
      </c>
      <c r="P79" s="91">
        <f>O79*F79-O79*E79</f>
        <v>0</v>
      </c>
      <c r="Q79" s="91">
        <v>0</v>
      </c>
      <c r="R79" s="91">
        <f>Q79*F79-Q79*E79</f>
        <v>0</v>
      </c>
      <c r="S79" s="91">
        <v>0</v>
      </c>
      <c r="T79" s="91">
        <f>S79*F79-S79*E79</f>
        <v>0</v>
      </c>
      <c r="U79" s="91">
        <v>0</v>
      </c>
      <c r="V79" s="91">
        <f>U79*F79-U79*E79</f>
        <v>0</v>
      </c>
      <c r="W79" s="91">
        <f>SUM(S79,Q79,O79,M79,K79,I79)</f>
        <v>0</v>
      </c>
      <c r="X79" s="90" t="s">
        <v>97</v>
      </c>
      <c r="Y79" s="92">
        <v>99</v>
      </c>
      <c r="Z79">
        <f>D79*I79</f>
        <v>0</v>
      </c>
    </row>
    <row r="80" spans="1:26" x14ac:dyDescent="0.3">
      <c r="A80" s="88" t="s">
        <v>101</v>
      </c>
      <c r="B80" s="100" t="s">
        <v>95</v>
      </c>
      <c r="C80" s="100" t="s">
        <v>38</v>
      </c>
      <c r="D80" s="101">
        <v>17</v>
      </c>
      <c r="E80" s="90">
        <f>D80*3.2</f>
        <v>54.400000000000006</v>
      </c>
      <c r="F80" s="90">
        <v>45</v>
      </c>
      <c r="G80" s="90">
        <f>F80-E80</f>
        <v>-9.4000000000000057</v>
      </c>
      <c r="H80" s="90">
        <f>(CleanedDataset!$F92-CleanedDataset!$E92)/CleanedDataset!$F92</f>
        <v>0.41558441558441561</v>
      </c>
      <c r="I80" s="91">
        <v>0</v>
      </c>
      <c r="J80" s="91">
        <f>I80*F80-I80*E80</f>
        <v>0</v>
      </c>
      <c r="K80" s="91">
        <v>0</v>
      </c>
      <c r="L80" s="91">
        <f>K80*F80-I80*E80</f>
        <v>0</v>
      </c>
      <c r="M80" s="91">
        <v>0</v>
      </c>
      <c r="N80" s="91">
        <f>M80*F80-M80*E80</f>
        <v>0</v>
      </c>
      <c r="O80" s="91">
        <v>0</v>
      </c>
      <c r="P80" s="91">
        <f>O80*F80-O80*E80</f>
        <v>0</v>
      </c>
      <c r="Q80" s="91">
        <v>0</v>
      </c>
      <c r="R80" s="91">
        <f>Q80*F80-Q80*E80</f>
        <v>0</v>
      </c>
      <c r="S80" s="91">
        <v>0</v>
      </c>
      <c r="T80" s="91">
        <f>S80*F80-S80*E80</f>
        <v>0</v>
      </c>
      <c r="U80" s="91">
        <v>0</v>
      </c>
      <c r="V80" s="91">
        <f>U80*F80-U80*E80</f>
        <v>0</v>
      </c>
      <c r="W80" s="91">
        <f>SUM(S80,Q80,O80,M80,K80,I80)</f>
        <v>0</v>
      </c>
      <c r="X80" s="90" t="s">
        <v>97</v>
      </c>
      <c r="Y80" s="92">
        <v>97</v>
      </c>
      <c r="Z80">
        <f>D80*I80</f>
        <v>0</v>
      </c>
    </row>
    <row r="81" spans="1:26" x14ac:dyDescent="0.3">
      <c r="A81" s="93" t="s">
        <v>102</v>
      </c>
      <c r="B81" s="98" t="s">
        <v>95</v>
      </c>
      <c r="C81" s="98" t="s">
        <v>96</v>
      </c>
      <c r="D81" s="99">
        <v>20</v>
      </c>
      <c r="E81" s="95">
        <f>D81*3</f>
        <v>60</v>
      </c>
      <c r="F81" s="95">
        <v>60</v>
      </c>
      <c r="G81" s="95">
        <f>F81-E81</f>
        <v>0</v>
      </c>
      <c r="H81" s="95">
        <f>(CleanedDataset!$F177-CleanedDataset!$E177)/CleanedDataset!$F177</f>
        <v>0.7</v>
      </c>
      <c r="I81" s="96">
        <v>55</v>
      </c>
      <c r="J81" s="96">
        <f>I81*F81-I81*E81</f>
        <v>0</v>
      </c>
      <c r="K81" s="96">
        <v>35</v>
      </c>
      <c r="L81" s="96">
        <f>K81*F81-I81*E81</f>
        <v>-1200</v>
      </c>
      <c r="M81" s="96">
        <v>7</v>
      </c>
      <c r="N81" s="96">
        <f>M81*F81-M81*E81</f>
        <v>0</v>
      </c>
      <c r="O81" s="96">
        <v>0</v>
      </c>
      <c r="P81" s="96">
        <f>O81*F81-O81*E81</f>
        <v>0</v>
      </c>
      <c r="Q81" s="96">
        <v>0</v>
      </c>
      <c r="R81" s="96">
        <f>Q81*F81-Q81*E81</f>
        <v>0</v>
      </c>
      <c r="S81" s="96">
        <v>0</v>
      </c>
      <c r="T81" s="96">
        <f>S81*F81-S81*E81</f>
        <v>0</v>
      </c>
      <c r="U81" s="96">
        <v>0</v>
      </c>
      <c r="V81" s="96">
        <f>U81*F81-U81*E81</f>
        <v>0</v>
      </c>
      <c r="W81" s="96">
        <f>SUM(S81,Q81,O81,M81,K81,I81)</f>
        <v>97</v>
      </c>
      <c r="X81" s="95" t="s">
        <v>97</v>
      </c>
      <c r="Y81" s="97">
        <v>100</v>
      </c>
      <c r="Z81">
        <f>D81*I81</f>
        <v>1100</v>
      </c>
    </row>
    <row r="82" spans="1:26" x14ac:dyDescent="0.3">
      <c r="A82" s="93" t="s">
        <v>103</v>
      </c>
      <c r="B82" s="98" t="s">
        <v>104</v>
      </c>
      <c r="C82" s="98" t="s">
        <v>38</v>
      </c>
      <c r="D82" s="99">
        <v>11</v>
      </c>
      <c r="E82" s="95">
        <f>D82*3.2</f>
        <v>35.200000000000003</v>
      </c>
      <c r="F82" s="95">
        <v>85</v>
      </c>
      <c r="G82" s="95">
        <f>F82-E82</f>
        <v>49.8</v>
      </c>
      <c r="H82" s="95">
        <f>(CleanedDataset!$F93-CleanedDataset!$E93)/CleanedDataset!$F93</f>
        <v>0.66666666666666663</v>
      </c>
      <c r="I82" s="96">
        <v>0</v>
      </c>
      <c r="J82" s="96">
        <f>I82*F82-I82*E82</f>
        <v>0</v>
      </c>
      <c r="K82" s="96">
        <v>0</v>
      </c>
      <c r="L82" s="96">
        <f>K82*F82-I82*E82</f>
        <v>0</v>
      </c>
      <c r="M82" s="96">
        <v>0</v>
      </c>
      <c r="N82" s="96">
        <f>M82*F82-M82*E82</f>
        <v>0</v>
      </c>
      <c r="O82" s="96">
        <v>0</v>
      </c>
      <c r="P82" s="96">
        <f>O82*F82-O82*E82</f>
        <v>0</v>
      </c>
      <c r="Q82" s="96">
        <v>0</v>
      </c>
      <c r="R82" s="96">
        <f>Q82*F82-Q82*E82</f>
        <v>0</v>
      </c>
      <c r="S82" s="96">
        <v>0</v>
      </c>
      <c r="T82" s="96">
        <f>S82*F82-S82*E82</f>
        <v>0</v>
      </c>
      <c r="U82" s="96">
        <v>0</v>
      </c>
      <c r="V82" s="96">
        <f>U82*F82-U82*E82</f>
        <v>0</v>
      </c>
      <c r="W82" s="96">
        <f>SUM(S82,Q82,O82,M82,K82,I82)</f>
        <v>0</v>
      </c>
      <c r="X82" s="95" t="s">
        <v>97</v>
      </c>
      <c r="Y82" s="97">
        <v>98</v>
      </c>
      <c r="Z82">
        <f>D82*I82</f>
        <v>0</v>
      </c>
    </row>
    <row r="83" spans="1:26" x14ac:dyDescent="0.3">
      <c r="A83" s="88" t="s">
        <v>103</v>
      </c>
      <c r="B83" s="100" t="s">
        <v>104</v>
      </c>
      <c r="C83" s="100" t="s">
        <v>96</v>
      </c>
      <c r="D83" s="101">
        <v>11</v>
      </c>
      <c r="E83" s="90">
        <f>D83*3</f>
        <v>33</v>
      </c>
      <c r="F83" s="90">
        <v>75</v>
      </c>
      <c r="G83" s="90">
        <f>F83-E83</f>
        <v>42</v>
      </c>
      <c r="H83" s="90">
        <f>(CleanedDataset!$F186-CleanedDataset!$E186)/CleanedDataset!$F186</f>
        <v>0.74285714285714288</v>
      </c>
      <c r="I83" s="91">
        <v>130</v>
      </c>
      <c r="J83" s="91">
        <f>I83*F83-I83*E83</f>
        <v>5460</v>
      </c>
      <c r="K83" s="91">
        <v>77</v>
      </c>
      <c r="L83" s="91">
        <f>K83*F83-I83*E83</f>
        <v>1485</v>
      </c>
      <c r="M83" s="91">
        <v>12</v>
      </c>
      <c r="N83" s="91">
        <f>M83*F83-M83*E83</f>
        <v>504</v>
      </c>
      <c r="O83" s="91">
        <v>0</v>
      </c>
      <c r="P83" s="91">
        <f>O83*F83-O83*E83</f>
        <v>0</v>
      </c>
      <c r="Q83" s="91">
        <v>0</v>
      </c>
      <c r="R83" s="91">
        <f>Q83*F83-Q83*E83</f>
        <v>0</v>
      </c>
      <c r="S83" s="91">
        <v>0</v>
      </c>
      <c r="T83" s="91">
        <f>S83*F83-S83*E83</f>
        <v>0</v>
      </c>
      <c r="U83" s="91">
        <v>0</v>
      </c>
      <c r="V83" s="91">
        <f>U83*F83-U83*E83</f>
        <v>0</v>
      </c>
      <c r="W83" s="91">
        <f>SUM(S83,Q83,O83,M83,K83,I83)</f>
        <v>219</v>
      </c>
      <c r="X83" s="90" t="s">
        <v>97</v>
      </c>
      <c r="Y83" s="92">
        <v>90</v>
      </c>
      <c r="Z83">
        <f>D83*I83</f>
        <v>1430</v>
      </c>
    </row>
    <row r="84" spans="1:26" x14ac:dyDescent="0.3">
      <c r="A84" s="93" t="s">
        <v>105</v>
      </c>
      <c r="B84" s="98" t="s">
        <v>104</v>
      </c>
      <c r="C84" s="98" t="s">
        <v>96</v>
      </c>
      <c r="D84" s="99">
        <v>15</v>
      </c>
      <c r="E84" s="95">
        <f>D84*3</f>
        <v>45</v>
      </c>
      <c r="F84" s="95">
        <v>60</v>
      </c>
      <c r="G84" s="95">
        <f>F84-E84</f>
        <v>15</v>
      </c>
      <c r="H84" s="95">
        <f>(CleanedDataset!$F189-CleanedDataset!$E189)/CleanedDataset!$F189</f>
        <v>0.67999999999999994</v>
      </c>
      <c r="I84" s="96">
        <v>135</v>
      </c>
      <c r="J84" s="96">
        <f>I84*F84-I84*E84</f>
        <v>2025</v>
      </c>
      <c r="K84" s="96">
        <v>65</v>
      </c>
      <c r="L84" s="96">
        <f>K84*F84-I84*E84</f>
        <v>-2175</v>
      </c>
      <c r="M84" s="96">
        <v>7</v>
      </c>
      <c r="N84" s="96">
        <f>M84*F84-M84*E84</f>
        <v>105</v>
      </c>
      <c r="O84" s="96">
        <v>0</v>
      </c>
      <c r="P84" s="96">
        <f>O84*F84-O84*E84</f>
        <v>0</v>
      </c>
      <c r="Q84" s="96">
        <v>0</v>
      </c>
      <c r="R84" s="96">
        <f>Q84*F84-Q84*E84</f>
        <v>0</v>
      </c>
      <c r="S84" s="96">
        <v>0</v>
      </c>
      <c r="T84" s="96">
        <f>S84*F84-S84*E84</f>
        <v>0</v>
      </c>
      <c r="U84" s="96">
        <v>0</v>
      </c>
      <c r="V84" s="96">
        <f>U84*F84-U84*E84</f>
        <v>0</v>
      </c>
      <c r="W84" s="96">
        <f>SUM(S84,Q84,O84,M84,K84,I84)</f>
        <v>207</v>
      </c>
      <c r="X84" s="95" t="s">
        <v>97</v>
      </c>
      <c r="Y84" s="97">
        <v>91</v>
      </c>
      <c r="Z84">
        <f>D84*I84</f>
        <v>2025</v>
      </c>
    </row>
    <row r="85" spans="1:26" x14ac:dyDescent="0.3">
      <c r="A85" s="93" t="s">
        <v>106</v>
      </c>
      <c r="B85" s="98" t="s">
        <v>104</v>
      </c>
      <c r="C85" s="98" t="s">
        <v>96</v>
      </c>
      <c r="D85" s="99">
        <v>20</v>
      </c>
      <c r="E85" s="95">
        <f>D85*3</f>
        <v>60</v>
      </c>
      <c r="F85" s="95">
        <v>85</v>
      </c>
      <c r="G85" s="95">
        <f>F85-E85</f>
        <v>25</v>
      </c>
      <c r="H85" s="95">
        <f>(CleanedDataset!$F195-CleanedDataset!$E195)/CleanedDataset!$F195</f>
        <v>0.72000000000000008</v>
      </c>
      <c r="I85" s="96">
        <v>208</v>
      </c>
      <c r="J85" s="96">
        <f>I85*F85-I85*E85</f>
        <v>5200</v>
      </c>
      <c r="K85" s="96">
        <v>83</v>
      </c>
      <c r="L85" s="96">
        <f>K85*F85-I85*E85</f>
        <v>-5425</v>
      </c>
      <c r="M85" s="96">
        <v>20</v>
      </c>
      <c r="N85" s="96">
        <f>M85*F85-M85*E85</f>
        <v>500</v>
      </c>
      <c r="O85" s="96">
        <v>0</v>
      </c>
      <c r="P85" s="96">
        <f>O85*F85-O85*E85</f>
        <v>0</v>
      </c>
      <c r="Q85" s="96">
        <v>0</v>
      </c>
      <c r="R85" s="96">
        <f>Q85*F85-Q85*E85</f>
        <v>0</v>
      </c>
      <c r="S85" s="96">
        <v>0</v>
      </c>
      <c r="T85" s="96">
        <f>S85*F85-S85*E85</f>
        <v>0</v>
      </c>
      <c r="U85" s="96">
        <v>0</v>
      </c>
      <c r="V85" s="96">
        <f>U85*F85-U85*E85</f>
        <v>0</v>
      </c>
      <c r="W85" s="96">
        <f>SUM(S85,Q85,O85,M85,K85,I85)</f>
        <v>311</v>
      </c>
      <c r="X85" s="95" t="s">
        <v>97</v>
      </c>
      <c r="Y85" s="97">
        <v>94</v>
      </c>
      <c r="Z85">
        <f>D85*I85</f>
        <v>4160</v>
      </c>
    </row>
    <row r="86" spans="1:26" x14ac:dyDescent="0.3">
      <c r="A86" s="93" t="s">
        <v>107</v>
      </c>
      <c r="B86" s="98" t="s">
        <v>108</v>
      </c>
      <c r="C86" s="98" t="s">
        <v>96</v>
      </c>
      <c r="D86" s="99">
        <v>5</v>
      </c>
      <c r="E86" s="95">
        <f>D86*3</f>
        <v>15</v>
      </c>
      <c r="F86" s="95">
        <v>45</v>
      </c>
      <c r="G86" s="95">
        <f>F86-E86</f>
        <v>30</v>
      </c>
      <c r="H86" s="95">
        <f>(CleanedDataset!$F185-CleanedDataset!$E185)/CleanedDataset!$F185</f>
        <v>0.65000000000000013</v>
      </c>
      <c r="I86" s="96">
        <v>122</v>
      </c>
      <c r="J86" s="96">
        <f>I86*F86-I86*E86</f>
        <v>3660</v>
      </c>
      <c r="K86" s="96">
        <v>91</v>
      </c>
      <c r="L86" s="96">
        <f>K86*F86-I86*E86</f>
        <v>2265</v>
      </c>
      <c r="M86" s="96">
        <v>3</v>
      </c>
      <c r="N86" s="96">
        <f>M86*F86-M86*E86</f>
        <v>90</v>
      </c>
      <c r="O86" s="96">
        <v>0</v>
      </c>
      <c r="P86" s="96">
        <f>O86*F86-O86*E86</f>
        <v>0</v>
      </c>
      <c r="Q86" s="96">
        <v>0</v>
      </c>
      <c r="R86" s="96">
        <f>Q86*F86-Q86*E86</f>
        <v>0</v>
      </c>
      <c r="S86" s="96">
        <v>0</v>
      </c>
      <c r="T86" s="96">
        <f>S86*F86-S86*E86</f>
        <v>0</v>
      </c>
      <c r="U86" s="96">
        <v>0</v>
      </c>
      <c r="V86" s="96">
        <f>U86*F86-U86*E86</f>
        <v>0</v>
      </c>
      <c r="W86" s="96">
        <f>SUM(S86,Q86,O86,M86,K86,I86)</f>
        <v>216</v>
      </c>
      <c r="X86" s="95" t="s">
        <v>97</v>
      </c>
      <c r="Y86" s="97">
        <v>97</v>
      </c>
      <c r="Z86">
        <f>D86*I86</f>
        <v>610</v>
      </c>
    </row>
    <row r="87" spans="1:26" x14ac:dyDescent="0.3">
      <c r="A87" s="88" t="s">
        <v>109</v>
      </c>
      <c r="B87" s="100" t="s">
        <v>108</v>
      </c>
      <c r="C87" s="100" t="s">
        <v>96</v>
      </c>
      <c r="D87" s="101">
        <v>10</v>
      </c>
      <c r="E87" s="90">
        <f>D87*3</f>
        <v>30</v>
      </c>
      <c r="F87" s="90">
        <v>59</v>
      </c>
      <c r="G87" s="90">
        <f>F87-E87</f>
        <v>29</v>
      </c>
      <c r="H87" s="90">
        <f>(CleanedDataset!$F194-CleanedDataset!$E194)/CleanedDataset!$F194</f>
        <v>0.79</v>
      </c>
      <c r="I87" s="91">
        <v>194</v>
      </c>
      <c r="J87" s="91">
        <f>I87*F87-I87*E87</f>
        <v>5626</v>
      </c>
      <c r="K87" s="91">
        <v>102</v>
      </c>
      <c r="L87" s="91">
        <f>K87*F87-I87*E87</f>
        <v>198</v>
      </c>
      <c r="M87" s="91">
        <v>2</v>
      </c>
      <c r="N87" s="91">
        <f>M87*F87-M87*E87</f>
        <v>58</v>
      </c>
      <c r="O87" s="91">
        <v>0</v>
      </c>
      <c r="P87" s="91">
        <f>O87*F87-O87*E87</f>
        <v>0</v>
      </c>
      <c r="Q87" s="91">
        <v>0</v>
      </c>
      <c r="R87" s="91">
        <f>Q87*F87-Q87*E87</f>
        <v>0</v>
      </c>
      <c r="S87" s="91">
        <v>0</v>
      </c>
      <c r="T87" s="91">
        <f>S87*F87-S87*E87</f>
        <v>0</v>
      </c>
      <c r="U87" s="91">
        <v>0</v>
      </c>
      <c r="V87" s="91">
        <f>U87*F87-U87*E87</f>
        <v>0</v>
      </c>
      <c r="W87" s="91">
        <f>SUM(S87,Q87,O87,M87,K87,I87)</f>
        <v>298</v>
      </c>
      <c r="X87" s="90" t="s">
        <v>97</v>
      </c>
      <c r="Y87" s="92">
        <v>96</v>
      </c>
      <c r="Z87">
        <f>D87*I87</f>
        <v>1940</v>
      </c>
    </row>
    <row r="88" spans="1:26" x14ac:dyDescent="0.3">
      <c r="A88" s="88" t="s">
        <v>110</v>
      </c>
      <c r="B88" s="100" t="s">
        <v>108</v>
      </c>
      <c r="C88" s="100" t="s">
        <v>96</v>
      </c>
      <c r="D88" s="101">
        <v>13</v>
      </c>
      <c r="E88" s="90">
        <f>D88*3</f>
        <v>39</v>
      </c>
      <c r="F88" s="90">
        <v>75</v>
      </c>
      <c r="G88" s="90">
        <f>F88-E88</f>
        <v>36</v>
      </c>
      <c r="H88" s="90">
        <f>(CleanedDataset!$F190-CleanedDataset!$E190)/CleanedDataset!$F190</f>
        <v>0.7</v>
      </c>
      <c r="I88" s="91">
        <v>147</v>
      </c>
      <c r="J88" s="91">
        <f>I88*F88-I88*E88</f>
        <v>5292</v>
      </c>
      <c r="K88" s="91">
        <v>110</v>
      </c>
      <c r="L88" s="91">
        <f>K88*F88-I88*E88</f>
        <v>2517</v>
      </c>
      <c r="M88" s="91">
        <v>17</v>
      </c>
      <c r="N88" s="91">
        <f>M88*F88-M88*E88</f>
        <v>612</v>
      </c>
      <c r="O88" s="91">
        <v>0</v>
      </c>
      <c r="P88" s="91">
        <f>O88*F88-O88*E88</f>
        <v>0</v>
      </c>
      <c r="Q88" s="91">
        <v>0</v>
      </c>
      <c r="R88" s="91">
        <f>Q88*F88-Q88*E88</f>
        <v>0</v>
      </c>
      <c r="S88" s="91">
        <v>0</v>
      </c>
      <c r="T88" s="91">
        <f>S88*F88-S88*E88</f>
        <v>0</v>
      </c>
      <c r="U88" s="91">
        <v>0</v>
      </c>
      <c r="V88" s="91">
        <f>U88*F88-U88*E88</f>
        <v>0</v>
      </c>
      <c r="W88" s="91">
        <f>SUM(S88,Q88,O88,M88,K88,I88)</f>
        <v>274</v>
      </c>
      <c r="X88" s="90" t="s">
        <v>97</v>
      </c>
      <c r="Y88" s="92">
        <v>91</v>
      </c>
      <c r="Z88">
        <f>D88*I88</f>
        <v>1911</v>
      </c>
    </row>
    <row r="89" spans="1:26" x14ac:dyDescent="0.3">
      <c r="A89" s="93" t="s">
        <v>111</v>
      </c>
      <c r="B89" s="98" t="s">
        <v>108</v>
      </c>
      <c r="C89" s="98" t="s">
        <v>96</v>
      </c>
      <c r="D89" s="99">
        <v>17</v>
      </c>
      <c r="E89" s="95">
        <f>D89*3</f>
        <v>51</v>
      </c>
      <c r="F89" s="95">
        <v>90</v>
      </c>
      <c r="G89" s="95">
        <f>F89-E89</f>
        <v>39</v>
      </c>
      <c r="H89" s="95">
        <f>(CleanedDataset!$F187-CleanedDataset!$E187)/CleanedDataset!$F187</f>
        <v>0.74285714285714288</v>
      </c>
      <c r="I89" s="96">
        <v>133</v>
      </c>
      <c r="J89" s="96">
        <f>I89*F89-I89*E89</f>
        <v>5187</v>
      </c>
      <c r="K89" s="96">
        <v>93</v>
      </c>
      <c r="L89" s="96">
        <f>K89*F89-I89*E89</f>
        <v>1587</v>
      </c>
      <c r="M89" s="96">
        <v>8</v>
      </c>
      <c r="N89" s="96">
        <f>M89*F89-M89*E89</f>
        <v>312</v>
      </c>
      <c r="O89" s="96">
        <v>0</v>
      </c>
      <c r="P89" s="96">
        <f>O89*F89-O89*E89</f>
        <v>0</v>
      </c>
      <c r="Q89" s="96">
        <v>0</v>
      </c>
      <c r="R89" s="96">
        <f>Q89*F89-Q89*E89</f>
        <v>0</v>
      </c>
      <c r="S89" s="96">
        <v>0</v>
      </c>
      <c r="T89" s="96">
        <f>S89*F89-S89*E89</f>
        <v>0</v>
      </c>
      <c r="U89" s="96">
        <v>0</v>
      </c>
      <c r="V89" s="96">
        <f>U89*F89-U89*E89</f>
        <v>0</v>
      </c>
      <c r="W89" s="96">
        <f>SUM(S89,Q89,O89,M89,K89,I89)</f>
        <v>234</v>
      </c>
      <c r="X89" s="95" t="s">
        <v>97</v>
      </c>
      <c r="Y89" s="97">
        <v>95</v>
      </c>
      <c r="Z89">
        <f>D89*I89</f>
        <v>2261</v>
      </c>
    </row>
    <row r="90" spans="1:26" x14ac:dyDescent="0.3">
      <c r="A90" s="93" t="s">
        <v>112</v>
      </c>
      <c r="B90" s="98" t="s">
        <v>113</v>
      </c>
      <c r="C90" s="98" t="s">
        <v>96</v>
      </c>
      <c r="D90" s="99">
        <v>8</v>
      </c>
      <c r="E90" s="95">
        <f>D90*3</f>
        <v>24</v>
      </c>
      <c r="F90" s="95">
        <v>45</v>
      </c>
      <c r="G90" s="95">
        <f>F90-E90</f>
        <v>21</v>
      </c>
      <c r="H90" s="95">
        <f>(CleanedDataset!$F193-CleanedDataset!$E193)/CleanedDataset!$F193</f>
        <v>0.79</v>
      </c>
      <c r="I90" s="96">
        <v>173</v>
      </c>
      <c r="J90" s="96">
        <f>I90*F90-I90*E90</f>
        <v>3633</v>
      </c>
      <c r="K90" s="96">
        <v>91</v>
      </c>
      <c r="L90" s="96">
        <f>K90*F90-I90*E90</f>
        <v>-57</v>
      </c>
      <c r="M90" s="96">
        <v>75</v>
      </c>
      <c r="N90" s="96">
        <f>M90*F90-M90*E90</f>
        <v>1575</v>
      </c>
      <c r="O90" s="96">
        <v>0</v>
      </c>
      <c r="P90" s="96">
        <f>O90*F90-O90*E90</f>
        <v>0</v>
      </c>
      <c r="Q90" s="96">
        <v>0</v>
      </c>
      <c r="R90" s="96">
        <f>Q90*F90-Q90*E90</f>
        <v>0</v>
      </c>
      <c r="S90" s="96">
        <v>0</v>
      </c>
      <c r="T90" s="96">
        <f>S90*F90-S90*E90</f>
        <v>0</v>
      </c>
      <c r="U90" s="96">
        <v>0</v>
      </c>
      <c r="V90" s="96">
        <f>U90*F90-U90*E90</f>
        <v>0</v>
      </c>
      <c r="W90" s="96">
        <f>SUM(S90,Q90,O90,M90,K90,I90)</f>
        <v>339</v>
      </c>
      <c r="X90" s="95" t="s">
        <v>97</v>
      </c>
      <c r="Y90" s="97">
        <v>91</v>
      </c>
      <c r="Z90">
        <f>D90*I90</f>
        <v>1384</v>
      </c>
    </row>
    <row r="91" spans="1:26" x14ac:dyDescent="0.3">
      <c r="A91" s="88" t="s">
        <v>114</v>
      </c>
      <c r="B91" s="100" t="s">
        <v>113</v>
      </c>
      <c r="C91" s="100" t="s">
        <v>96</v>
      </c>
      <c r="D91" s="101">
        <v>10</v>
      </c>
      <c r="E91" s="90">
        <f>D91*3</f>
        <v>30</v>
      </c>
      <c r="F91" s="90">
        <v>60</v>
      </c>
      <c r="G91" s="90">
        <f>F91-E91</f>
        <v>30</v>
      </c>
      <c r="H91" s="90">
        <f>(CleanedDataset!$F202-CleanedDataset!$E202)/CleanedDataset!$F202</f>
        <v>0.55200000000000005</v>
      </c>
      <c r="I91" s="91">
        <v>430</v>
      </c>
      <c r="J91" s="91">
        <f>I91*F91-I91*E91</f>
        <v>12900</v>
      </c>
      <c r="K91" s="91">
        <v>223</v>
      </c>
      <c r="L91" s="91">
        <f>K91*F91-I91*E91</f>
        <v>480</v>
      </c>
      <c r="M91" s="91">
        <v>157</v>
      </c>
      <c r="N91" s="91">
        <f>M91*F91-M91*E91</f>
        <v>4710</v>
      </c>
      <c r="O91" s="91">
        <v>0</v>
      </c>
      <c r="P91" s="91">
        <f>O91*F91-O91*E91</f>
        <v>0</v>
      </c>
      <c r="Q91" s="91">
        <v>0</v>
      </c>
      <c r="R91" s="91">
        <f>Q91*F91-Q91*E91</f>
        <v>0</v>
      </c>
      <c r="S91" s="91">
        <v>0</v>
      </c>
      <c r="T91" s="91">
        <f>S91*F91-S91*E91</f>
        <v>0</v>
      </c>
      <c r="U91" s="91">
        <v>0</v>
      </c>
      <c r="V91" s="91">
        <f>U91*F91-U91*E91</f>
        <v>0</v>
      </c>
      <c r="W91" s="91">
        <f>SUM(S91,Q91,O91,M91,K91,I91)</f>
        <v>810</v>
      </c>
      <c r="X91" s="90" t="s">
        <v>97</v>
      </c>
      <c r="Y91" s="92">
        <v>95</v>
      </c>
      <c r="Z91">
        <f>D91*I91</f>
        <v>4300</v>
      </c>
    </row>
    <row r="92" spans="1:26" x14ac:dyDescent="0.3">
      <c r="A92" s="88" t="s">
        <v>115</v>
      </c>
      <c r="B92" s="100" t="s">
        <v>113</v>
      </c>
      <c r="C92" s="100" t="s">
        <v>96</v>
      </c>
      <c r="D92" s="101">
        <v>15</v>
      </c>
      <c r="E92" s="90">
        <f>D92*3</f>
        <v>45</v>
      </c>
      <c r="F92" s="90">
        <v>77</v>
      </c>
      <c r="G92" s="90">
        <f>F92-E92</f>
        <v>32</v>
      </c>
      <c r="H92" s="90">
        <f>(CleanedDataset!$F184-CleanedDataset!$E184)/CleanedDataset!$F184</f>
        <v>0.7</v>
      </c>
      <c r="I92" s="91">
        <v>109</v>
      </c>
      <c r="J92" s="91">
        <f>I92*F92-I92*E92</f>
        <v>3488</v>
      </c>
      <c r="K92" s="91">
        <v>102</v>
      </c>
      <c r="L92" s="91">
        <f>K92*F92-I92*E92</f>
        <v>2949</v>
      </c>
      <c r="M92" s="91">
        <v>32</v>
      </c>
      <c r="N92" s="91">
        <f>M92*F92-M92*E92</f>
        <v>1024</v>
      </c>
      <c r="O92" s="91">
        <v>0</v>
      </c>
      <c r="P92" s="91">
        <f>O92*F92-O92*E92</f>
        <v>0</v>
      </c>
      <c r="Q92" s="91">
        <v>0</v>
      </c>
      <c r="R92" s="91">
        <f>Q92*F92-Q92*E92</f>
        <v>0</v>
      </c>
      <c r="S92" s="91">
        <v>0</v>
      </c>
      <c r="T92" s="91">
        <f>S92*F92-S92*E92</f>
        <v>0</v>
      </c>
      <c r="U92" s="91">
        <v>0</v>
      </c>
      <c r="V92" s="91">
        <f>U92*F92-U92*E92</f>
        <v>0</v>
      </c>
      <c r="W92" s="91">
        <f>SUM(S92,Q92,O92,M92,K92,I92)</f>
        <v>243</v>
      </c>
      <c r="X92" s="90" t="s">
        <v>97</v>
      </c>
      <c r="Y92" s="92">
        <v>98</v>
      </c>
      <c r="Z92">
        <f>D92*I92</f>
        <v>1635</v>
      </c>
    </row>
    <row r="93" spans="1:26" x14ac:dyDescent="0.3">
      <c r="A93" s="88" t="s">
        <v>116</v>
      </c>
      <c r="B93" s="100" t="s">
        <v>113</v>
      </c>
      <c r="C93" s="100" t="s">
        <v>96</v>
      </c>
      <c r="D93" s="101">
        <v>5</v>
      </c>
      <c r="E93" s="90">
        <f>D93*3</f>
        <v>15</v>
      </c>
      <c r="F93" s="90">
        <v>45</v>
      </c>
      <c r="G93" s="90">
        <f>F93-E93</f>
        <v>30</v>
      </c>
      <c r="H93" s="90">
        <f>(CleanedDataset!$F180-CleanedDataset!$E180)/CleanedDataset!$F180</f>
        <v>0.7857142857142857</v>
      </c>
      <c r="I93" s="91">
        <v>79</v>
      </c>
      <c r="J93" s="91">
        <f>I93*F93-I93*E93</f>
        <v>2370</v>
      </c>
      <c r="K93" s="91">
        <v>29</v>
      </c>
      <c r="L93" s="91">
        <f>K93*F93-I93*E93</f>
        <v>120</v>
      </c>
      <c r="M93" s="91">
        <v>0</v>
      </c>
      <c r="N93" s="91">
        <f>M93*F93-M93*E93</f>
        <v>0</v>
      </c>
      <c r="O93" s="91">
        <v>0</v>
      </c>
      <c r="P93" s="91">
        <f>O93*F93-O93*E93</f>
        <v>0</v>
      </c>
      <c r="Q93" s="91">
        <v>0</v>
      </c>
      <c r="R93" s="91">
        <f>Q93*F93-Q93*E93</f>
        <v>0</v>
      </c>
      <c r="S93" s="91">
        <v>0</v>
      </c>
      <c r="T93" s="91">
        <f>S93*F93-S93*E93</f>
        <v>0</v>
      </c>
      <c r="U93" s="91">
        <v>0</v>
      </c>
      <c r="V93" s="91">
        <f>U93*F93-U93*E93</f>
        <v>0</v>
      </c>
      <c r="W93" s="91">
        <f>SUM(S93,Q93,O93,M93,K93,I93)</f>
        <v>108</v>
      </c>
      <c r="X93" s="90" t="s">
        <v>97</v>
      </c>
      <c r="Y93" s="92">
        <v>95</v>
      </c>
      <c r="Z93">
        <f>D93*I93</f>
        <v>395</v>
      </c>
    </row>
    <row r="94" spans="1:26" x14ac:dyDescent="0.3">
      <c r="A94" s="93" t="s">
        <v>117</v>
      </c>
      <c r="B94" s="98" t="s">
        <v>118</v>
      </c>
      <c r="C94" s="98" t="s">
        <v>96</v>
      </c>
      <c r="D94" s="99">
        <v>5</v>
      </c>
      <c r="E94" s="95">
        <f>D94*3</f>
        <v>15</v>
      </c>
      <c r="F94" s="95">
        <v>32</v>
      </c>
      <c r="G94" s="95">
        <f>F94-E94</f>
        <v>17</v>
      </c>
      <c r="H94" s="95">
        <f>(CleanedDataset!$F181-CleanedDataset!$E181)/CleanedDataset!$F181</f>
        <v>0.7857142857142857</v>
      </c>
      <c r="I94" s="96">
        <v>82</v>
      </c>
      <c r="J94" s="96">
        <f>I94*F94-I94*E94</f>
        <v>1394</v>
      </c>
      <c r="K94" s="96">
        <v>33</v>
      </c>
      <c r="L94" s="96">
        <f>K94*F94-I94*E94</f>
        <v>-174</v>
      </c>
      <c r="M94" s="96">
        <v>20</v>
      </c>
      <c r="N94" s="96">
        <f>M94*F94-M94*E94</f>
        <v>340</v>
      </c>
      <c r="O94" s="96">
        <v>0</v>
      </c>
      <c r="P94" s="96">
        <f>O94*F94-O94*E94</f>
        <v>0</v>
      </c>
      <c r="Q94" s="96">
        <v>0</v>
      </c>
      <c r="R94" s="96">
        <f>Q94*F94-Q94*E94</f>
        <v>0</v>
      </c>
      <c r="S94" s="96">
        <v>0</v>
      </c>
      <c r="T94" s="96">
        <f>S94*F94-S94*E94</f>
        <v>0</v>
      </c>
      <c r="U94" s="96">
        <v>0</v>
      </c>
      <c r="V94" s="96">
        <f>U94*F94-U94*E94</f>
        <v>0</v>
      </c>
      <c r="W94" s="96">
        <f>SUM(S94,Q94,O94,M94,K94,I94)</f>
        <v>135</v>
      </c>
      <c r="X94" s="95" t="s">
        <v>97</v>
      </c>
      <c r="Y94" s="97">
        <v>92</v>
      </c>
      <c r="Z94">
        <f>D94*I94</f>
        <v>410</v>
      </c>
    </row>
    <row r="95" spans="1:26" x14ac:dyDescent="0.3">
      <c r="A95" s="88" t="s">
        <v>119</v>
      </c>
      <c r="B95" s="100" t="s">
        <v>118</v>
      </c>
      <c r="C95" s="100" t="s">
        <v>96</v>
      </c>
      <c r="D95" s="101">
        <v>7</v>
      </c>
      <c r="E95" s="90">
        <f>D95*3</f>
        <v>21</v>
      </c>
      <c r="F95" s="90">
        <v>45</v>
      </c>
      <c r="G95" s="90">
        <f>F95-E95</f>
        <v>24</v>
      </c>
      <c r="H95" s="90">
        <f>(CleanedDataset!$F192-CleanedDataset!$E192)/CleanedDataset!$F192</f>
        <v>0.82769230769230762</v>
      </c>
      <c r="I95" s="91">
        <v>153</v>
      </c>
      <c r="J95" s="91">
        <f>I95*F95-I95*E95</f>
        <v>3672</v>
      </c>
      <c r="K95" s="91">
        <v>93</v>
      </c>
      <c r="L95" s="91">
        <f>K95*F95-I95*E95</f>
        <v>972</v>
      </c>
      <c r="M95" s="91">
        <v>50</v>
      </c>
      <c r="N95" s="91">
        <f>M95*F95-M95*E95</f>
        <v>1200</v>
      </c>
      <c r="O95" s="91">
        <v>0</v>
      </c>
      <c r="P95" s="91">
        <f>O95*F95-O95*E95</f>
        <v>0</v>
      </c>
      <c r="Q95" s="91">
        <v>0</v>
      </c>
      <c r="R95" s="91">
        <f>Q95*F95-Q95*E95</f>
        <v>0</v>
      </c>
      <c r="S95" s="91">
        <v>0</v>
      </c>
      <c r="T95" s="91">
        <f>S95*F95-S95*E95</f>
        <v>0</v>
      </c>
      <c r="U95" s="91">
        <v>0</v>
      </c>
      <c r="V95" s="91">
        <f>U95*F95-U95*E95</f>
        <v>0</v>
      </c>
      <c r="W95" s="91">
        <f>SUM(S95,Q95,O95,M95,K95,I95)</f>
        <v>296</v>
      </c>
      <c r="X95" s="90" t="s">
        <v>97</v>
      </c>
      <c r="Y95" s="92">
        <v>93</v>
      </c>
      <c r="Z95">
        <f>D95*I95</f>
        <v>1071</v>
      </c>
    </row>
    <row r="96" spans="1:26" x14ac:dyDescent="0.3">
      <c r="A96" s="88" t="s">
        <v>120</v>
      </c>
      <c r="B96" s="100" t="s">
        <v>118</v>
      </c>
      <c r="C96" s="100" t="s">
        <v>96</v>
      </c>
      <c r="D96" s="101">
        <v>8</v>
      </c>
      <c r="E96" s="90">
        <f>D96*3</f>
        <v>24</v>
      </c>
      <c r="F96" s="90">
        <v>51</v>
      </c>
      <c r="G96" s="90">
        <f>F96-E96</f>
        <v>27</v>
      </c>
      <c r="H96" s="90">
        <f>(CleanedDataset!$F182-CleanedDataset!$E182)/CleanedDataset!$F182</f>
        <v>0.7846153846153846</v>
      </c>
      <c r="I96" s="91">
        <v>90</v>
      </c>
      <c r="J96" s="91">
        <f>I96*F96-I96*E96</f>
        <v>2430</v>
      </c>
      <c r="K96" s="91">
        <v>35</v>
      </c>
      <c r="L96" s="91">
        <f>K96*F96-I96*E96</f>
        <v>-375</v>
      </c>
      <c r="M96" s="91">
        <v>15</v>
      </c>
      <c r="N96" s="91">
        <f>M96*F96-M96*E96</f>
        <v>405</v>
      </c>
      <c r="O96" s="91">
        <v>0</v>
      </c>
      <c r="P96" s="91">
        <f>O96*F96-O96*E96</f>
        <v>0</v>
      </c>
      <c r="Q96" s="91">
        <v>0</v>
      </c>
      <c r="R96" s="91">
        <f>Q96*F96-Q96*E96</f>
        <v>0</v>
      </c>
      <c r="S96" s="91">
        <v>0</v>
      </c>
      <c r="T96" s="91">
        <f>S96*F96-S96*E96</f>
        <v>0</v>
      </c>
      <c r="U96" s="91">
        <v>0</v>
      </c>
      <c r="V96" s="91">
        <f>U96*F96-U96*E96</f>
        <v>0</v>
      </c>
      <c r="W96" s="91">
        <f>SUM(S96,Q96,O96,M96,K96,I96)</f>
        <v>140</v>
      </c>
      <c r="X96" s="90" t="s">
        <v>97</v>
      </c>
      <c r="Y96" s="92">
        <v>100</v>
      </c>
      <c r="Z96">
        <f>D96*I96</f>
        <v>720</v>
      </c>
    </row>
    <row r="97" spans="1:26" x14ac:dyDescent="0.3">
      <c r="A97" s="93" t="s">
        <v>121</v>
      </c>
      <c r="B97" s="98" t="s">
        <v>118</v>
      </c>
      <c r="C97" s="98" t="s">
        <v>96</v>
      </c>
      <c r="D97" s="99">
        <v>11</v>
      </c>
      <c r="E97" s="95">
        <f>D97*3</f>
        <v>33</v>
      </c>
      <c r="F97" s="95">
        <v>60</v>
      </c>
      <c r="G97" s="95">
        <f>F97-E97</f>
        <v>27</v>
      </c>
      <c r="H97" s="95">
        <f>(CleanedDataset!$F173-CleanedDataset!$E173)/CleanedDataset!$F173</f>
        <v>0.78181818181818186</v>
      </c>
      <c r="I97" s="96">
        <v>24</v>
      </c>
      <c r="J97" s="96">
        <f>I97*F97-I97*E97</f>
        <v>648</v>
      </c>
      <c r="K97" s="96">
        <v>21</v>
      </c>
      <c r="L97" s="96">
        <f>K97*F97-I97*E97</f>
        <v>468</v>
      </c>
      <c r="M97" s="96">
        <v>3</v>
      </c>
      <c r="N97" s="96">
        <f>M97*F97-M97*E97</f>
        <v>81</v>
      </c>
      <c r="O97" s="96">
        <v>0</v>
      </c>
      <c r="P97" s="96">
        <f>O97*F97-O97*E97</f>
        <v>0</v>
      </c>
      <c r="Q97" s="96">
        <v>0</v>
      </c>
      <c r="R97" s="96">
        <f>Q97*F97-Q97*E97</f>
        <v>0</v>
      </c>
      <c r="S97" s="96">
        <v>0</v>
      </c>
      <c r="T97" s="96">
        <f>S97*F97-S97*E97</f>
        <v>0</v>
      </c>
      <c r="U97" s="96">
        <v>0</v>
      </c>
      <c r="V97" s="96">
        <f>U97*F97-U97*E97</f>
        <v>0</v>
      </c>
      <c r="W97" s="96">
        <f>SUM(S97,Q97,O97,M97,K97,I97)</f>
        <v>48</v>
      </c>
      <c r="X97" s="95" t="s">
        <v>97</v>
      </c>
      <c r="Y97" s="97">
        <v>94</v>
      </c>
      <c r="Z97">
        <f>D97*I97</f>
        <v>264</v>
      </c>
    </row>
    <row r="98" spans="1:26" x14ac:dyDescent="0.3">
      <c r="A98" s="93" t="s">
        <v>122</v>
      </c>
      <c r="B98" s="98" t="s">
        <v>123</v>
      </c>
      <c r="C98" s="98" t="s">
        <v>96</v>
      </c>
      <c r="D98" s="99">
        <v>15</v>
      </c>
      <c r="E98" s="95">
        <f>D98*3</f>
        <v>45</v>
      </c>
      <c r="F98" s="95">
        <v>45</v>
      </c>
      <c r="G98" s="95">
        <f>F98-E98</f>
        <v>0</v>
      </c>
      <c r="H98" s="95">
        <f>(CleanedDataset!$F183-CleanedDataset!$E183)/CleanedDataset!$F183</f>
        <v>0.7</v>
      </c>
      <c r="I98" s="96">
        <v>103</v>
      </c>
      <c r="J98" s="96">
        <f>I98*F98-I98*E98</f>
        <v>0</v>
      </c>
      <c r="K98" s="96">
        <v>77</v>
      </c>
      <c r="L98" s="96">
        <f>K98*F98-I98*E98</f>
        <v>-1170</v>
      </c>
      <c r="M98" s="96">
        <v>4</v>
      </c>
      <c r="N98" s="96">
        <f>M98*F98-M98*E98</f>
        <v>0</v>
      </c>
      <c r="O98" s="96">
        <v>0</v>
      </c>
      <c r="P98" s="96">
        <f>O98*F98-O98*E98</f>
        <v>0</v>
      </c>
      <c r="Q98" s="96">
        <v>0</v>
      </c>
      <c r="R98" s="96">
        <f>Q98*F98-Q98*E98</f>
        <v>0</v>
      </c>
      <c r="S98" s="96">
        <v>0</v>
      </c>
      <c r="T98" s="96">
        <f>S98*F98-S98*E98</f>
        <v>0</v>
      </c>
      <c r="U98" s="96">
        <v>0</v>
      </c>
      <c r="V98" s="96">
        <f>U98*F98-U98*E98</f>
        <v>0</v>
      </c>
      <c r="W98" s="96">
        <f>SUM(S98,Q98,O98,M98,K98,I98)</f>
        <v>184</v>
      </c>
      <c r="X98" s="95" t="s">
        <v>97</v>
      </c>
      <c r="Y98" s="97">
        <v>94</v>
      </c>
      <c r="Z98">
        <f>D98*I98</f>
        <v>1545</v>
      </c>
    </row>
    <row r="99" spans="1:26" x14ac:dyDescent="0.3">
      <c r="A99" s="88" t="s">
        <v>124</v>
      </c>
      <c r="B99" s="100" t="s">
        <v>123</v>
      </c>
      <c r="C99" s="100" t="s">
        <v>96</v>
      </c>
      <c r="D99" s="101">
        <v>15</v>
      </c>
      <c r="E99" s="90">
        <f>D99*3</f>
        <v>45</v>
      </c>
      <c r="F99" s="90">
        <v>48</v>
      </c>
      <c r="G99" s="90">
        <f>F99-E99</f>
        <v>3</v>
      </c>
      <c r="H99" s="90">
        <f>(CleanedDataset!$F176-CleanedDataset!$E176)/CleanedDataset!$F176</f>
        <v>0.75111111111111106</v>
      </c>
      <c r="I99" s="91">
        <v>54</v>
      </c>
      <c r="J99" s="91">
        <f>I99*F99-I99*E99</f>
        <v>162</v>
      </c>
      <c r="K99" s="91">
        <v>0</v>
      </c>
      <c r="L99" s="91">
        <f>K99*F99-I99*E99</f>
        <v>-2430</v>
      </c>
      <c r="M99" s="91">
        <v>0</v>
      </c>
      <c r="N99" s="91">
        <f>M99*F99-M99*E99</f>
        <v>0</v>
      </c>
      <c r="O99" s="91">
        <v>0</v>
      </c>
      <c r="P99" s="91">
        <f>O99*F99-O99*E99</f>
        <v>0</v>
      </c>
      <c r="Q99" s="91">
        <v>0</v>
      </c>
      <c r="R99" s="91">
        <f>Q99*F99-Q99*E99</f>
        <v>0</v>
      </c>
      <c r="S99" s="91">
        <v>0</v>
      </c>
      <c r="T99" s="91">
        <f>S99*F99-S99*E99</f>
        <v>0</v>
      </c>
      <c r="U99" s="91">
        <v>0</v>
      </c>
      <c r="V99" s="91">
        <f>U99*F99-U99*E99</f>
        <v>0</v>
      </c>
      <c r="W99" s="91">
        <f>SUM(S99,Q99,O99,M99,K99,I99)</f>
        <v>54</v>
      </c>
      <c r="X99" s="90" t="s">
        <v>97</v>
      </c>
      <c r="Y99" s="92">
        <v>100</v>
      </c>
      <c r="Z99">
        <f>D99*I99</f>
        <v>810</v>
      </c>
    </row>
    <row r="100" spans="1:26" x14ac:dyDescent="0.3">
      <c r="A100" s="88" t="s">
        <v>125</v>
      </c>
      <c r="B100" s="100" t="s">
        <v>123</v>
      </c>
      <c r="C100" s="100" t="s">
        <v>96</v>
      </c>
      <c r="D100" s="101">
        <v>15</v>
      </c>
      <c r="E100" s="90">
        <f>D100*3</f>
        <v>45</v>
      </c>
      <c r="F100" s="90">
        <v>50</v>
      </c>
      <c r="G100" s="90">
        <f>F100-E100</f>
        <v>5</v>
      </c>
      <c r="H100" s="90">
        <f>(CleanedDataset!$F174-CleanedDataset!$E174)/CleanedDataset!$F174</f>
        <v>0.78181818181818186</v>
      </c>
      <c r="I100" s="91">
        <v>35</v>
      </c>
      <c r="J100" s="91">
        <f>I100*F100-I100*E100</f>
        <v>175</v>
      </c>
      <c r="K100" s="91">
        <v>85</v>
      </c>
      <c r="L100" s="91">
        <f>K100*F100-I100*E100</f>
        <v>2675</v>
      </c>
      <c r="M100" s="91">
        <v>5</v>
      </c>
      <c r="N100" s="91">
        <f>M100*F100-M100*E100</f>
        <v>25</v>
      </c>
      <c r="O100" s="91">
        <v>0</v>
      </c>
      <c r="P100" s="91">
        <f>O100*F100-O100*E100</f>
        <v>0</v>
      </c>
      <c r="Q100" s="91">
        <v>0</v>
      </c>
      <c r="R100" s="91">
        <f>Q100*F100-Q100*E100</f>
        <v>0</v>
      </c>
      <c r="S100" s="91">
        <v>0</v>
      </c>
      <c r="T100" s="91">
        <f>S100*F100-S100*E100</f>
        <v>0</v>
      </c>
      <c r="U100" s="91">
        <v>0</v>
      </c>
      <c r="V100" s="91">
        <f>U100*F100-U100*E100</f>
        <v>0</v>
      </c>
      <c r="W100" s="91">
        <f>SUM(S100,Q100,O100,M100,K100,I100)</f>
        <v>125</v>
      </c>
      <c r="X100" s="90" t="s">
        <v>97</v>
      </c>
      <c r="Y100" s="92">
        <v>93</v>
      </c>
      <c r="Z100">
        <f>D100*I100</f>
        <v>525</v>
      </c>
    </row>
    <row r="101" spans="1:26" x14ac:dyDescent="0.3">
      <c r="A101" s="93" t="s">
        <v>126</v>
      </c>
      <c r="B101" s="98" t="s">
        <v>123</v>
      </c>
      <c r="C101" s="98" t="s">
        <v>96</v>
      </c>
      <c r="D101" s="99">
        <v>15</v>
      </c>
      <c r="E101" s="95">
        <f>D101*3</f>
        <v>45</v>
      </c>
      <c r="F101" s="95">
        <v>50</v>
      </c>
      <c r="G101" s="95">
        <f>F101-E101</f>
        <v>5</v>
      </c>
      <c r="H101" s="95">
        <f>(CleanedDataset!$F197-CleanedDataset!$E197)/CleanedDataset!$F197</f>
        <v>0.7931034482758621</v>
      </c>
      <c r="I101" s="96">
        <v>235</v>
      </c>
      <c r="J101" s="96">
        <f>I101*F101-I101*E101</f>
        <v>1175</v>
      </c>
      <c r="K101" s="96">
        <v>55</v>
      </c>
      <c r="L101" s="96">
        <f>K101*F101-I101*E101</f>
        <v>-7825</v>
      </c>
      <c r="M101" s="96">
        <v>39</v>
      </c>
      <c r="N101" s="96">
        <f>M101*F101-M101*E101</f>
        <v>195</v>
      </c>
      <c r="O101" s="96">
        <v>0</v>
      </c>
      <c r="P101" s="96">
        <f>O101*F101-O101*E101</f>
        <v>0</v>
      </c>
      <c r="Q101" s="96">
        <v>0</v>
      </c>
      <c r="R101" s="96">
        <f>Q101*F101-Q101*E101</f>
        <v>0</v>
      </c>
      <c r="S101" s="96">
        <v>0</v>
      </c>
      <c r="T101" s="96">
        <f>S101*F101-S101*E101</f>
        <v>0</v>
      </c>
      <c r="U101" s="96">
        <v>0</v>
      </c>
      <c r="V101" s="96">
        <f>U101*F101-U101*E101</f>
        <v>0</v>
      </c>
      <c r="W101" s="96">
        <f>SUM(S101,Q101,O101,M101,K101,I101)</f>
        <v>329</v>
      </c>
      <c r="X101" s="95" t="s">
        <v>97</v>
      </c>
      <c r="Y101" s="97">
        <v>90</v>
      </c>
      <c r="Z101">
        <f>D101*I101</f>
        <v>3525</v>
      </c>
    </row>
    <row r="102" spans="1:26" x14ac:dyDescent="0.3">
      <c r="A102" s="93" t="s">
        <v>127</v>
      </c>
      <c r="B102" s="98" t="s">
        <v>128</v>
      </c>
      <c r="C102" s="98" t="s">
        <v>96</v>
      </c>
      <c r="D102" s="99">
        <v>10</v>
      </c>
      <c r="E102" s="95">
        <f>D102*3</f>
        <v>30</v>
      </c>
      <c r="F102" s="95">
        <v>73</v>
      </c>
      <c r="G102" s="95">
        <f>F102-E102</f>
        <v>43</v>
      </c>
      <c r="H102" s="95">
        <f>(CleanedDataset!$F179-CleanedDataset!$E179)/CleanedDataset!$F179</f>
        <v>0.7857142857142857</v>
      </c>
      <c r="I102" s="96">
        <v>70</v>
      </c>
      <c r="J102" s="96">
        <f>I102*F102-I102*E102</f>
        <v>3010</v>
      </c>
      <c r="K102" s="96">
        <v>7</v>
      </c>
      <c r="L102" s="96">
        <f>K102*F102-I102*E102</f>
        <v>-1589</v>
      </c>
      <c r="M102" s="96">
        <v>0</v>
      </c>
      <c r="N102" s="96">
        <f>M102*F102-M102*E102</f>
        <v>0</v>
      </c>
      <c r="O102" s="96">
        <v>0</v>
      </c>
      <c r="P102" s="96">
        <f>O102*F102-O102*E102</f>
        <v>0</v>
      </c>
      <c r="Q102" s="96">
        <v>0</v>
      </c>
      <c r="R102" s="96">
        <f>Q102*F102-Q102*E102</f>
        <v>0</v>
      </c>
      <c r="S102" s="96">
        <v>0</v>
      </c>
      <c r="T102" s="96">
        <f>S102*F102-S102*E102</f>
        <v>0</v>
      </c>
      <c r="U102" s="96">
        <v>0</v>
      </c>
      <c r="V102" s="96">
        <f>U102*F102-U102*E102</f>
        <v>0</v>
      </c>
      <c r="W102" s="96">
        <f>SUM(S102,Q102,O102,M102,K102,I102)</f>
        <v>77</v>
      </c>
      <c r="X102" s="95" t="s">
        <v>97</v>
      </c>
      <c r="Y102" s="97">
        <v>90</v>
      </c>
      <c r="Z102">
        <f>D102*I102</f>
        <v>700</v>
      </c>
    </row>
    <row r="103" spans="1:26" x14ac:dyDescent="0.3">
      <c r="A103" s="93" t="s">
        <v>129</v>
      </c>
      <c r="B103" s="98" t="s">
        <v>128</v>
      </c>
      <c r="C103" s="98" t="s">
        <v>96</v>
      </c>
      <c r="D103" s="99">
        <v>12</v>
      </c>
      <c r="E103" s="95">
        <f>D103*3</f>
        <v>36</v>
      </c>
      <c r="F103" s="95">
        <v>79</v>
      </c>
      <c r="G103" s="95">
        <f>F103-E103</f>
        <v>43</v>
      </c>
      <c r="H103" s="95">
        <f>(CleanedDataset!$F175-CleanedDataset!$E175)/CleanedDataset!$F175</f>
        <v>0.78181818181818186</v>
      </c>
      <c r="I103" s="96">
        <v>35</v>
      </c>
      <c r="J103" s="96">
        <f>I103*F103-I103*E103</f>
        <v>1505</v>
      </c>
      <c r="K103" s="96">
        <v>35</v>
      </c>
      <c r="L103" s="96">
        <f>K103*F103-I103*E103</f>
        <v>1505</v>
      </c>
      <c r="M103" s="96">
        <v>5</v>
      </c>
      <c r="N103" s="96">
        <f>M103*F103-M103*E103</f>
        <v>215</v>
      </c>
      <c r="O103" s="96">
        <v>0</v>
      </c>
      <c r="P103" s="96">
        <f>O103*F103-O103*E103</f>
        <v>0</v>
      </c>
      <c r="Q103" s="96">
        <v>0</v>
      </c>
      <c r="R103" s="96">
        <f>Q103*F103-Q103*E103</f>
        <v>0</v>
      </c>
      <c r="S103" s="96">
        <v>0</v>
      </c>
      <c r="T103" s="96">
        <f>S103*F103-S103*E103</f>
        <v>0</v>
      </c>
      <c r="U103" s="96">
        <v>0</v>
      </c>
      <c r="V103" s="96">
        <f>U103*F103-U103*E103</f>
        <v>0</v>
      </c>
      <c r="W103" s="96">
        <f>SUM(S103,Q103,O103,M103,K103,I103)</f>
        <v>75</v>
      </c>
      <c r="X103" s="95" t="s">
        <v>97</v>
      </c>
      <c r="Y103" s="97">
        <v>92</v>
      </c>
      <c r="Z103">
        <f>D103*I103</f>
        <v>420</v>
      </c>
    </row>
    <row r="104" spans="1:26" x14ac:dyDescent="0.3">
      <c r="A104" s="93" t="s">
        <v>130</v>
      </c>
      <c r="B104" s="98" t="s">
        <v>131</v>
      </c>
      <c r="C104" s="98" t="s">
        <v>96</v>
      </c>
      <c r="D104" s="99">
        <v>15</v>
      </c>
      <c r="E104" s="95">
        <f>D104*3</f>
        <v>45</v>
      </c>
      <c r="F104" s="95">
        <v>85</v>
      </c>
      <c r="G104" s="95">
        <f>F104-E104</f>
        <v>40</v>
      </c>
      <c r="H104" s="95">
        <f>(CleanedDataset!$F191-CleanedDataset!$E191)/CleanedDataset!$F191</f>
        <v>0.65538461538461545</v>
      </c>
      <c r="I104" s="96">
        <v>150</v>
      </c>
      <c r="J104" s="96">
        <f>I104*F104-I104*E104</f>
        <v>6000</v>
      </c>
      <c r="K104" s="96">
        <v>50</v>
      </c>
      <c r="L104" s="96">
        <f>K104*F104-I104*E104</f>
        <v>-2500</v>
      </c>
      <c r="M104" s="96">
        <v>4</v>
      </c>
      <c r="N104" s="96">
        <f>M104*F104-M104*E104</f>
        <v>160</v>
      </c>
      <c r="O104" s="96">
        <v>0</v>
      </c>
      <c r="P104" s="96">
        <f>O104*F104-O104*E104</f>
        <v>0</v>
      </c>
      <c r="Q104" s="96">
        <v>0</v>
      </c>
      <c r="R104" s="96">
        <f>Q104*F104-Q104*E104</f>
        <v>0</v>
      </c>
      <c r="S104" s="96">
        <v>0</v>
      </c>
      <c r="T104" s="96">
        <f>S104*F104-S104*E104</f>
        <v>0</v>
      </c>
      <c r="U104" s="96">
        <v>0</v>
      </c>
      <c r="V104" s="96">
        <f>U104*F104-U104*E104</f>
        <v>0</v>
      </c>
      <c r="W104" s="96">
        <f>SUM(S104,Q104,O104,M104,K104,I104)</f>
        <v>204</v>
      </c>
      <c r="X104" s="95" t="s">
        <v>97</v>
      </c>
      <c r="Y104" s="97">
        <v>95</v>
      </c>
      <c r="Z104">
        <f>D104*I104</f>
        <v>2250</v>
      </c>
    </row>
    <row r="105" spans="1:26" x14ac:dyDescent="0.3">
      <c r="A105" s="88" t="s">
        <v>132</v>
      </c>
      <c r="B105" s="100" t="s">
        <v>131</v>
      </c>
      <c r="C105" s="100" t="s">
        <v>96</v>
      </c>
      <c r="D105" s="101">
        <v>5</v>
      </c>
      <c r="E105" s="90">
        <f>D105*3</f>
        <v>15</v>
      </c>
      <c r="F105" s="90">
        <v>30</v>
      </c>
      <c r="G105" s="90">
        <f>F105-E105</f>
        <v>15</v>
      </c>
      <c r="H105" s="90">
        <f>(CleanedDataset!$F198-CleanedDataset!$E198)/CleanedDataset!$F198</f>
        <v>0.7846153846153846</v>
      </c>
      <c r="I105" s="91">
        <v>235</v>
      </c>
      <c r="J105" s="91">
        <f>I105*F105-I105*E105</f>
        <v>3525</v>
      </c>
      <c r="K105" s="91">
        <v>160</v>
      </c>
      <c r="L105" s="91">
        <f>K105*F105-I105*E105</f>
        <v>1275</v>
      </c>
      <c r="M105" s="91">
        <v>23</v>
      </c>
      <c r="N105" s="91">
        <f>M105*F105-M105*E105</f>
        <v>345</v>
      </c>
      <c r="O105" s="91">
        <v>0</v>
      </c>
      <c r="P105" s="91">
        <f>O105*F105-O105*E105</f>
        <v>0</v>
      </c>
      <c r="Q105" s="91">
        <v>0</v>
      </c>
      <c r="R105" s="91">
        <f>Q105*F105-Q105*E105</f>
        <v>0</v>
      </c>
      <c r="S105" s="91">
        <v>0</v>
      </c>
      <c r="T105" s="91">
        <f>S105*F105-S105*E105</f>
        <v>0</v>
      </c>
      <c r="U105" s="91">
        <v>0</v>
      </c>
      <c r="V105" s="91">
        <f>U105*F105-U105*E105</f>
        <v>0</v>
      </c>
      <c r="W105" s="91">
        <f>SUM(S105,Q105,O105,M105,K105,I105)</f>
        <v>418</v>
      </c>
      <c r="X105" s="90" t="s">
        <v>97</v>
      </c>
      <c r="Y105" s="92">
        <v>99</v>
      </c>
      <c r="Z105">
        <f>D105*I105</f>
        <v>1175</v>
      </c>
    </row>
    <row r="106" spans="1:26" x14ac:dyDescent="0.3">
      <c r="A106" s="88" t="s">
        <v>133</v>
      </c>
      <c r="B106" s="100" t="s">
        <v>131</v>
      </c>
      <c r="C106" s="100" t="s">
        <v>96</v>
      </c>
      <c r="D106" s="101">
        <v>7</v>
      </c>
      <c r="E106" s="90">
        <f>D106*3</f>
        <v>21</v>
      </c>
      <c r="F106" s="90">
        <v>35</v>
      </c>
      <c r="G106" s="90">
        <f>F106-E106</f>
        <v>14</v>
      </c>
      <c r="H106" s="90">
        <f>(CleanedDataset!$F196-CleanedDataset!$E196)/CleanedDataset!$F196</f>
        <v>0.8</v>
      </c>
      <c r="I106" s="91">
        <v>210</v>
      </c>
      <c r="J106" s="91">
        <f>I106*F106-I106*E106</f>
        <v>2940</v>
      </c>
      <c r="K106" s="91">
        <v>172</v>
      </c>
      <c r="L106" s="91">
        <f>K106*F106-I106*E106</f>
        <v>1610</v>
      </c>
      <c r="M106" s="91">
        <v>25</v>
      </c>
      <c r="N106" s="91">
        <f>M106*F106-M106*E106</f>
        <v>350</v>
      </c>
      <c r="O106" s="91">
        <v>0</v>
      </c>
      <c r="P106" s="91">
        <f>O106*F106-O106*E106</f>
        <v>0</v>
      </c>
      <c r="Q106" s="91">
        <v>0</v>
      </c>
      <c r="R106" s="91">
        <f>Q106*F106-Q106*E106</f>
        <v>0</v>
      </c>
      <c r="S106" s="91">
        <v>0</v>
      </c>
      <c r="T106" s="91">
        <f>S106*F106-S106*E106</f>
        <v>0</v>
      </c>
      <c r="U106" s="91">
        <v>0</v>
      </c>
      <c r="V106" s="91">
        <f>U106*F106-U106*E106</f>
        <v>0</v>
      </c>
      <c r="W106" s="91">
        <f>SUM(S106,Q106,O106,M106,K106,I106)</f>
        <v>407</v>
      </c>
      <c r="X106" s="90" t="s">
        <v>97</v>
      </c>
      <c r="Y106" s="92">
        <v>94</v>
      </c>
      <c r="Z106">
        <f>D106*I106</f>
        <v>1470</v>
      </c>
    </row>
    <row r="107" spans="1:26" x14ac:dyDescent="0.3">
      <c r="A107" s="93" t="s">
        <v>134</v>
      </c>
      <c r="B107" s="98" t="s">
        <v>131</v>
      </c>
      <c r="C107" s="98" t="s">
        <v>96</v>
      </c>
      <c r="D107" s="99">
        <v>9</v>
      </c>
      <c r="E107" s="95">
        <f>D107*3</f>
        <v>27</v>
      </c>
      <c r="F107" s="95">
        <v>45</v>
      </c>
      <c r="G107" s="95">
        <f>F107-E107</f>
        <v>18</v>
      </c>
      <c r="H107" s="95">
        <f>(CleanedDataset!$F201-CleanedDataset!$E201)/CleanedDataset!$F201</f>
        <v>0.79466666666666663</v>
      </c>
      <c r="I107" s="96">
        <v>312</v>
      </c>
      <c r="J107" s="96">
        <f>I107*F107-I107*E107</f>
        <v>5616</v>
      </c>
      <c r="K107" s="96">
        <v>108</v>
      </c>
      <c r="L107" s="96">
        <f>K107*F107-I107*E107</f>
        <v>-3564</v>
      </c>
      <c r="M107" s="96">
        <v>30</v>
      </c>
      <c r="N107" s="96">
        <f>M107*F107-M107*E107</f>
        <v>540</v>
      </c>
      <c r="O107" s="96">
        <v>0</v>
      </c>
      <c r="P107" s="96">
        <f>O107*F107-O107*E107</f>
        <v>0</v>
      </c>
      <c r="Q107" s="96">
        <v>0</v>
      </c>
      <c r="R107" s="96">
        <f>Q107*F107-Q107*E107</f>
        <v>0</v>
      </c>
      <c r="S107" s="96">
        <v>0</v>
      </c>
      <c r="T107" s="96">
        <f>S107*F107-S107*E107</f>
        <v>0</v>
      </c>
      <c r="U107" s="96">
        <v>0</v>
      </c>
      <c r="V107" s="96">
        <f>U107*F107-U107*E107</f>
        <v>0</v>
      </c>
      <c r="W107" s="96">
        <f>SUM(S107,Q107,O107,M107,K107,I107)</f>
        <v>450</v>
      </c>
      <c r="X107" s="95" t="s">
        <v>97</v>
      </c>
      <c r="Y107" s="97">
        <v>99</v>
      </c>
      <c r="Z107">
        <f>D107*I107</f>
        <v>2808</v>
      </c>
    </row>
    <row r="108" spans="1:26" x14ac:dyDescent="0.3">
      <c r="A108" s="88" t="s">
        <v>135</v>
      </c>
      <c r="B108" s="100" t="s">
        <v>131</v>
      </c>
      <c r="C108" s="100" t="s">
        <v>96</v>
      </c>
      <c r="D108" s="101">
        <v>10.5</v>
      </c>
      <c r="E108" s="90">
        <f>D108*3</f>
        <v>31.5</v>
      </c>
      <c r="F108" s="90">
        <v>55</v>
      </c>
      <c r="G108" s="90">
        <f>F108-E108</f>
        <v>23.5</v>
      </c>
      <c r="H108" s="90">
        <f>(CleanedDataset!$F200-CleanedDataset!$E200)/CleanedDataset!$F200</f>
        <v>0.79374999999999996</v>
      </c>
      <c r="I108" s="91">
        <v>289</v>
      </c>
      <c r="J108" s="91">
        <f>I108*F108-I108*E108</f>
        <v>6791.5</v>
      </c>
      <c r="K108" s="91">
        <v>193</v>
      </c>
      <c r="L108" s="91">
        <f>K108*F108-I108*E108</f>
        <v>1511.5</v>
      </c>
      <c r="M108" s="91">
        <v>205</v>
      </c>
      <c r="N108" s="91">
        <f>M108*F108-M108*E108</f>
        <v>4817.5</v>
      </c>
      <c r="O108" s="91">
        <v>0</v>
      </c>
      <c r="P108" s="91">
        <f>O108*F108-O108*E108</f>
        <v>0</v>
      </c>
      <c r="Q108" s="91">
        <v>0</v>
      </c>
      <c r="R108" s="91">
        <f>Q108*F108-Q108*E108</f>
        <v>0</v>
      </c>
      <c r="S108" s="91">
        <v>0</v>
      </c>
      <c r="T108" s="91">
        <f>S108*F108-S108*E108</f>
        <v>0</v>
      </c>
      <c r="U108" s="91">
        <v>0</v>
      </c>
      <c r="V108" s="91">
        <f>U108*F108-U108*E108</f>
        <v>0</v>
      </c>
      <c r="W108" s="91">
        <f>SUM(S108,Q108,O108,M108,K108,I108)</f>
        <v>687</v>
      </c>
      <c r="X108" s="90" t="s">
        <v>97</v>
      </c>
      <c r="Y108" s="92">
        <v>91</v>
      </c>
      <c r="Z108">
        <f>D108*I108</f>
        <v>3034.5</v>
      </c>
    </row>
    <row r="109" spans="1:26" x14ac:dyDescent="0.3">
      <c r="A109" s="93" t="s">
        <v>136</v>
      </c>
      <c r="B109" s="98" t="s">
        <v>131</v>
      </c>
      <c r="C109" s="98" t="s">
        <v>96</v>
      </c>
      <c r="D109" s="99">
        <v>12</v>
      </c>
      <c r="E109" s="95">
        <f>D109*3</f>
        <v>36</v>
      </c>
      <c r="F109" s="95">
        <v>65</v>
      </c>
      <c r="G109" s="95">
        <f>F109-E109</f>
        <v>29</v>
      </c>
      <c r="H109" s="95">
        <f>(CleanedDataset!$F199-CleanedDataset!$E199)/CleanedDataset!$F199</f>
        <v>0.8147368421052632</v>
      </c>
      <c r="I109" s="96">
        <v>240</v>
      </c>
      <c r="J109" s="96">
        <f>I109*F109-I109*E109</f>
        <v>6960</v>
      </c>
      <c r="K109" s="96">
        <v>170</v>
      </c>
      <c r="L109" s="96">
        <f>K109*F109-I109*E109</f>
        <v>2410</v>
      </c>
      <c r="M109" s="96">
        <v>15</v>
      </c>
      <c r="N109" s="96">
        <f>M109*F109-M109*E109</f>
        <v>435</v>
      </c>
      <c r="O109" s="96">
        <v>0</v>
      </c>
      <c r="P109" s="96">
        <f>O109*F109-O109*E109</f>
        <v>0</v>
      </c>
      <c r="Q109" s="96">
        <v>0</v>
      </c>
      <c r="R109" s="96">
        <f>Q109*F109-Q109*E109</f>
        <v>0</v>
      </c>
      <c r="S109" s="96">
        <v>0</v>
      </c>
      <c r="T109" s="96">
        <f>S109*F109-S109*E109</f>
        <v>0</v>
      </c>
      <c r="U109" s="96">
        <v>0</v>
      </c>
      <c r="V109" s="96">
        <f>U109*F109-U109*E109</f>
        <v>0</v>
      </c>
      <c r="W109" s="96">
        <f>SUM(S109,Q109,O109,M109,K109,I109)</f>
        <v>425</v>
      </c>
      <c r="X109" s="95" t="s">
        <v>97</v>
      </c>
      <c r="Y109" s="97">
        <v>97</v>
      </c>
      <c r="Z109">
        <f>D109*I109</f>
        <v>2880</v>
      </c>
    </row>
    <row r="110" spans="1:26" x14ac:dyDescent="0.3">
      <c r="A110" s="93" t="s">
        <v>137</v>
      </c>
      <c r="B110" s="98" t="s">
        <v>138</v>
      </c>
      <c r="C110" s="98" t="s">
        <v>96</v>
      </c>
      <c r="D110" s="99">
        <v>13</v>
      </c>
      <c r="E110" s="95">
        <f>D110*3</f>
        <v>39</v>
      </c>
      <c r="F110" s="95">
        <v>75</v>
      </c>
      <c r="G110" s="95">
        <f>F110-E110</f>
        <v>36</v>
      </c>
      <c r="H110" s="95">
        <f>(CleanedDataset!$F171-CleanedDataset!$E171)/CleanedDataset!$F171</f>
        <v>0.7</v>
      </c>
      <c r="I110" s="96">
        <v>13</v>
      </c>
      <c r="J110" s="96">
        <f>I110*F110-I110*E110</f>
        <v>468</v>
      </c>
      <c r="K110" s="96">
        <v>0</v>
      </c>
      <c r="L110" s="96">
        <f>K110*F110-I110*E110</f>
        <v>-507</v>
      </c>
      <c r="M110" s="96">
        <v>0</v>
      </c>
      <c r="N110" s="96">
        <f>M110*F110-M110*E110</f>
        <v>0</v>
      </c>
      <c r="O110" s="96">
        <v>0</v>
      </c>
      <c r="P110" s="96">
        <f>O110*F110-O110*E110</f>
        <v>0</v>
      </c>
      <c r="Q110" s="96">
        <v>0</v>
      </c>
      <c r="R110" s="96">
        <f>Q110*F110-Q110*E110</f>
        <v>0</v>
      </c>
      <c r="S110" s="96">
        <v>0</v>
      </c>
      <c r="T110" s="96">
        <f>S110*F110-S110*E110</f>
        <v>0</v>
      </c>
      <c r="U110" s="96">
        <v>0</v>
      </c>
      <c r="V110" s="96">
        <f>U110*F110-U110*E110</f>
        <v>0</v>
      </c>
      <c r="W110" s="96">
        <f>SUM(S110,Q110,O110,M110,K110,I110)</f>
        <v>13</v>
      </c>
      <c r="X110" s="95" t="s">
        <v>97</v>
      </c>
      <c r="Y110" s="97">
        <v>99</v>
      </c>
      <c r="Z110">
        <f>D110*I110</f>
        <v>169</v>
      </c>
    </row>
    <row r="111" spans="1:26" x14ac:dyDescent="0.3">
      <c r="A111" s="88" t="s">
        <v>139</v>
      </c>
      <c r="B111" s="100" t="s">
        <v>138</v>
      </c>
      <c r="C111" s="100" t="s">
        <v>96</v>
      </c>
      <c r="D111" s="101">
        <v>15</v>
      </c>
      <c r="E111" s="90">
        <f>D111*3</f>
        <v>45</v>
      </c>
      <c r="F111" s="90">
        <v>88</v>
      </c>
      <c r="G111" s="90">
        <f>F111-E111</f>
        <v>43</v>
      </c>
      <c r="H111" s="90">
        <f>(CleanedDataset!$F172-CleanedDataset!$E172)/CleanedDataset!$F172</f>
        <v>0.78181818181818186</v>
      </c>
      <c r="I111" s="91">
        <v>18</v>
      </c>
      <c r="J111" s="91">
        <f>I111*F111-I111*E111</f>
        <v>774</v>
      </c>
      <c r="K111" s="91">
        <v>0</v>
      </c>
      <c r="L111" s="91">
        <f>K111*F111-I111*E111</f>
        <v>-810</v>
      </c>
      <c r="M111" s="91">
        <v>0</v>
      </c>
      <c r="N111" s="91">
        <f>M111*F111-M111*E111</f>
        <v>0</v>
      </c>
      <c r="O111" s="91">
        <v>0</v>
      </c>
      <c r="P111" s="91">
        <f>O111*F111-O111*E111</f>
        <v>0</v>
      </c>
      <c r="Q111" s="91">
        <v>0</v>
      </c>
      <c r="R111" s="91">
        <f>Q111*F111-Q111*E111</f>
        <v>0</v>
      </c>
      <c r="S111" s="91">
        <v>0</v>
      </c>
      <c r="T111" s="91">
        <f>S111*F111-S111*E111</f>
        <v>0</v>
      </c>
      <c r="U111" s="91">
        <v>0</v>
      </c>
      <c r="V111" s="91">
        <f>U111*F111-U111*E111</f>
        <v>0</v>
      </c>
      <c r="W111" s="91">
        <f>SUM(S111,Q111,O111,M111,K111,I111)</f>
        <v>18</v>
      </c>
      <c r="X111" s="90" t="s">
        <v>97</v>
      </c>
      <c r="Y111" s="92">
        <v>90</v>
      </c>
      <c r="Z111">
        <f>D111*I111</f>
        <v>270</v>
      </c>
    </row>
    <row r="112" spans="1:26" x14ac:dyDescent="0.3">
      <c r="A112" s="88" t="s">
        <v>140</v>
      </c>
      <c r="B112" s="100" t="s">
        <v>141</v>
      </c>
      <c r="C112" s="100" t="s">
        <v>96</v>
      </c>
      <c r="D112" s="101">
        <v>9</v>
      </c>
      <c r="E112" s="90">
        <f>D112*3</f>
        <v>27</v>
      </c>
      <c r="F112" s="90">
        <v>64</v>
      </c>
      <c r="G112" s="90">
        <f>F112-E112</f>
        <v>37</v>
      </c>
      <c r="H112" s="90">
        <f>(CleanedDataset!$F170-CleanedDataset!$E170)/CleanedDataset!$F170</f>
        <v>0.67333333333333334</v>
      </c>
      <c r="I112" s="91">
        <v>7</v>
      </c>
      <c r="J112" s="91">
        <f>I112*F112-I112*E112</f>
        <v>259</v>
      </c>
      <c r="K112" s="91">
        <v>25</v>
      </c>
      <c r="L112" s="91">
        <f>K112*F112-I112*E112</f>
        <v>1411</v>
      </c>
      <c r="M112" s="91">
        <v>25</v>
      </c>
      <c r="N112" s="91">
        <f>M112*F112-M112*E112</f>
        <v>925</v>
      </c>
      <c r="O112" s="91">
        <v>0</v>
      </c>
      <c r="P112" s="91">
        <f>O112*F112-O112*E112</f>
        <v>0</v>
      </c>
      <c r="Q112" s="91">
        <v>0</v>
      </c>
      <c r="R112" s="91">
        <f>Q112*F112-Q112*E112</f>
        <v>0</v>
      </c>
      <c r="S112" s="91">
        <v>0</v>
      </c>
      <c r="T112" s="91">
        <f>S112*F112-S112*E112</f>
        <v>0</v>
      </c>
      <c r="U112" s="91">
        <v>0</v>
      </c>
      <c r="V112" s="91">
        <f>U112*F112-U112*E112</f>
        <v>0</v>
      </c>
      <c r="W112" s="91">
        <f>SUM(S112,Q112,O112,M112,K112,I112)</f>
        <v>57</v>
      </c>
      <c r="X112" s="90" t="s">
        <v>97</v>
      </c>
      <c r="Y112" s="92">
        <v>99</v>
      </c>
      <c r="Z112">
        <f>D112*I112</f>
        <v>63</v>
      </c>
    </row>
    <row r="113" spans="1:26" x14ac:dyDescent="0.3">
      <c r="A113" s="88" t="s">
        <v>39</v>
      </c>
      <c r="B113" s="89" t="s">
        <v>40</v>
      </c>
      <c r="C113" s="100" t="s">
        <v>38</v>
      </c>
      <c r="D113" s="90">
        <v>35</v>
      </c>
      <c r="E113" s="90">
        <f>D113*3.2</f>
        <v>112</v>
      </c>
      <c r="F113" s="90">
        <v>180</v>
      </c>
      <c r="G113" s="90">
        <f>F113-E113</f>
        <v>68</v>
      </c>
      <c r="H113" s="90">
        <f>(CleanedDataset!$F94-CleanedDataset!$E94)/CleanedDataset!$F94</f>
        <v>0.53125</v>
      </c>
      <c r="I113" s="91">
        <v>5</v>
      </c>
      <c r="J113" s="91">
        <f>I113*F113-I113*E113</f>
        <v>340</v>
      </c>
      <c r="K113" s="91">
        <v>0</v>
      </c>
      <c r="L113" s="91">
        <f>K113*F113-I113*E113</f>
        <v>-560</v>
      </c>
      <c r="M113" s="91">
        <v>0</v>
      </c>
      <c r="N113" s="91">
        <f>M113*F113-M113*E113</f>
        <v>0</v>
      </c>
      <c r="O113" s="91">
        <v>0</v>
      </c>
      <c r="P113" s="91">
        <f>O113*F113-O113*E113</f>
        <v>0</v>
      </c>
      <c r="Q113" s="91">
        <v>0</v>
      </c>
      <c r="R113" s="91">
        <f>Q113*F113-Q113*E113</f>
        <v>0</v>
      </c>
      <c r="S113" s="91">
        <v>0</v>
      </c>
      <c r="T113" s="91">
        <f>S113*F113-S113*E113</f>
        <v>0</v>
      </c>
      <c r="U113" s="91">
        <v>0</v>
      </c>
      <c r="V113" s="91">
        <f>U113*F113-U113*E113</f>
        <v>0</v>
      </c>
      <c r="W113" s="91">
        <f>SUM(S113,Q113,O113,M113,K113,I113)</f>
        <v>5</v>
      </c>
      <c r="X113" s="90" t="s">
        <v>10</v>
      </c>
      <c r="Y113" s="92">
        <v>98</v>
      </c>
      <c r="Z113">
        <f>D113*I113</f>
        <v>175</v>
      </c>
    </row>
    <row r="114" spans="1:26" x14ac:dyDescent="0.3">
      <c r="A114" s="93" t="s">
        <v>39</v>
      </c>
      <c r="B114" s="94" t="s">
        <v>40</v>
      </c>
      <c r="C114" s="98" t="s">
        <v>17</v>
      </c>
      <c r="D114" s="95">
        <v>35</v>
      </c>
      <c r="E114" s="95">
        <f>D114*3.2</f>
        <v>112</v>
      </c>
      <c r="F114" s="95">
        <v>180</v>
      </c>
      <c r="G114" s="95">
        <f>F114-E114</f>
        <v>68</v>
      </c>
      <c r="H114" s="95">
        <f>(CleanedDataset!$F103-CleanedDataset!$E103)/CleanedDataset!$F103</f>
        <v>0.54430379746835444</v>
      </c>
      <c r="I114" s="96">
        <v>0</v>
      </c>
      <c r="J114" s="96">
        <f>I114*F114-I114*E114</f>
        <v>0</v>
      </c>
      <c r="K114" s="96">
        <v>89</v>
      </c>
      <c r="L114" s="96">
        <f>K114*F114-I114*E114</f>
        <v>16020</v>
      </c>
      <c r="M114" s="96">
        <v>0</v>
      </c>
      <c r="N114" s="96">
        <f>M114*F114-M114*E114</f>
        <v>0</v>
      </c>
      <c r="O114" s="96">
        <v>0</v>
      </c>
      <c r="P114" s="96">
        <f>O114*F114-O114*E114</f>
        <v>0</v>
      </c>
      <c r="Q114" s="96">
        <v>0</v>
      </c>
      <c r="R114" s="96">
        <f>Q114*F114-Q114*E114</f>
        <v>0</v>
      </c>
      <c r="S114" s="96">
        <v>0</v>
      </c>
      <c r="T114" s="96">
        <f>S114*F114-S114*E114</f>
        <v>0</v>
      </c>
      <c r="U114" s="96">
        <v>0</v>
      </c>
      <c r="V114" s="96">
        <f>U114*F114-U114*E114</f>
        <v>0</v>
      </c>
      <c r="W114" s="96">
        <f>SUM(S114,Q114,O114,M114,K114,I114)</f>
        <v>89</v>
      </c>
      <c r="X114" s="95" t="s">
        <v>10</v>
      </c>
      <c r="Y114" s="97">
        <v>92</v>
      </c>
      <c r="Z114">
        <f>D114*I114</f>
        <v>0</v>
      </c>
    </row>
    <row r="115" spans="1:26" x14ac:dyDescent="0.3">
      <c r="A115" s="93" t="s">
        <v>39</v>
      </c>
      <c r="B115" s="94" t="s">
        <v>40</v>
      </c>
      <c r="C115" s="98" t="s">
        <v>41</v>
      </c>
      <c r="D115" s="95">
        <v>35</v>
      </c>
      <c r="E115" s="95">
        <f>D115*3.2</f>
        <v>112</v>
      </c>
      <c r="F115" s="95">
        <v>180</v>
      </c>
      <c r="G115" s="95">
        <f>F115-E115</f>
        <v>68</v>
      </c>
      <c r="H115" s="95">
        <f>(CleanedDataset!$F203-CleanedDataset!$E203)/CleanedDataset!$F203</f>
        <v>0.77599999999999991</v>
      </c>
      <c r="I115" s="96">
        <v>5</v>
      </c>
      <c r="J115" s="96">
        <f>I115*F115-I115*E115</f>
        <v>340</v>
      </c>
      <c r="K115" s="96">
        <v>0</v>
      </c>
      <c r="L115" s="96">
        <f>K115*F115-I115*E115</f>
        <v>-560</v>
      </c>
      <c r="M115" s="96">
        <v>0</v>
      </c>
      <c r="N115" s="96">
        <f>M115*F115-M115*E115</f>
        <v>0</v>
      </c>
      <c r="O115" s="96">
        <v>0</v>
      </c>
      <c r="P115" s="96">
        <f>O115*F115-O115*E115</f>
        <v>0</v>
      </c>
      <c r="Q115" s="96">
        <v>0</v>
      </c>
      <c r="R115" s="96">
        <f>Q115*F115-Q115*E115</f>
        <v>0</v>
      </c>
      <c r="S115" s="96">
        <v>0</v>
      </c>
      <c r="T115" s="96">
        <f>S115*F115-S115*E115</f>
        <v>0</v>
      </c>
      <c r="U115" s="96">
        <v>0</v>
      </c>
      <c r="V115" s="96">
        <f>U115*F115-U115*E115</f>
        <v>0</v>
      </c>
      <c r="W115" s="96">
        <f>SUM(S115,Q115,O115,M115,K115,I115)</f>
        <v>5</v>
      </c>
      <c r="X115" s="95" t="s">
        <v>10</v>
      </c>
      <c r="Y115" s="97">
        <v>97</v>
      </c>
      <c r="Z115">
        <f>D115*I115</f>
        <v>175</v>
      </c>
    </row>
    <row r="116" spans="1:26" x14ac:dyDescent="0.3">
      <c r="A116" s="93" t="s">
        <v>39</v>
      </c>
      <c r="B116" s="94" t="s">
        <v>40</v>
      </c>
      <c r="C116" s="98" t="s">
        <v>9</v>
      </c>
      <c r="D116" s="95">
        <v>35</v>
      </c>
      <c r="E116" s="95">
        <f>D116*2.8</f>
        <v>98</v>
      </c>
      <c r="F116" s="95">
        <v>135</v>
      </c>
      <c r="G116" s="95">
        <f>F116-E116</f>
        <v>37</v>
      </c>
      <c r="H116" s="95">
        <f>(CleanedDataset!$F43-CleanedDataset!$E43)/CleanedDataset!$F43</f>
        <v>0.82352941176470584</v>
      </c>
      <c r="I116" s="96">
        <v>116</v>
      </c>
      <c r="J116" s="96">
        <f>I116*F116-I116*E116</f>
        <v>4292</v>
      </c>
      <c r="K116" s="96">
        <v>164</v>
      </c>
      <c r="L116" s="96">
        <f>K116*F116-I116*E116</f>
        <v>10772</v>
      </c>
      <c r="M116" s="96">
        <v>319</v>
      </c>
      <c r="N116" s="96">
        <f>M116*F116-M116*E116</f>
        <v>11803</v>
      </c>
      <c r="O116" s="96">
        <v>251</v>
      </c>
      <c r="P116" s="96">
        <f>O116*F116-O116*E116</f>
        <v>9287</v>
      </c>
      <c r="Q116" s="96">
        <v>207</v>
      </c>
      <c r="R116" s="96">
        <f>Q116*F116-Q116*E116</f>
        <v>7659</v>
      </c>
      <c r="S116" s="96">
        <v>182</v>
      </c>
      <c r="T116" s="96">
        <f>S116*F116-S116*E116</f>
        <v>6734</v>
      </c>
      <c r="U116" s="96">
        <v>54</v>
      </c>
      <c r="V116" s="96">
        <f>U116*F116-U116*E116</f>
        <v>1998</v>
      </c>
      <c r="W116" s="96">
        <f>SUM(S116,Q116,O116,M116,K116,I116)</f>
        <v>1239</v>
      </c>
      <c r="X116" s="95" t="s">
        <v>10</v>
      </c>
      <c r="Y116" s="97">
        <v>96</v>
      </c>
      <c r="Z116">
        <f>D116*I116</f>
        <v>4060</v>
      </c>
    </row>
    <row r="117" spans="1:26" x14ac:dyDescent="0.3">
      <c r="A117" s="88" t="s">
        <v>82</v>
      </c>
      <c r="B117" s="89" t="s">
        <v>83</v>
      </c>
      <c r="C117" s="89" t="s">
        <v>38</v>
      </c>
      <c r="D117" s="90">
        <v>40</v>
      </c>
      <c r="E117" s="90">
        <f>D117*3.2</f>
        <v>128</v>
      </c>
      <c r="F117" s="90">
        <v>300</v>
      </c>
      <c r="G117" s="90">
        <f>F117-E117</f>
        <v>172</v>
      </c>
      <c r="H117" s="90">
        <f>(CleanedDataset!$F88-CleanedDataset!$E88)/CleanedDataset!$F88</f>
        <v>0.48</v>
      </c>
      <c r="I117" s="91">
        <v>0</v>
      </c>
      <c r="J117" s="91">
        <f>I117*F117-I117*E117</f>
        <v>0</v>
      </c>
      <c r="K117" s="91">
        <v>5</v>
      </c>
      <c r="L117" s="91">
        <f>K117*F117-I117*E117</f>
        <v>1500</v>
      </c>
      <c r="M117" s="91">
        <v>0</v>
      </c>
      <c r="N117" s="91">
        <f>M117*F117-M117*E117</f>
        <v>0</v>
      </c>
      <c r="O117" s="91">
        <v>0</v>
      </c>
      <c r="P117" s="91">
        <f>O117*F117-O117*E117</f>
        <v>0</v>
      </c>
      <c r="Q117" s="91">
        <v>0</v>
      </c>
      <c r="R117" s="91">
        <f>Q117*F117-Q117*E117</f>
        <v>0</v>
      </c>
      <c r="S117" s="91">
        <v>0</v>
      </c>
      <c r="T117" s="91">
        <f>S117*F117-S117*E117</f>
        <v>0</v>
      </c>
      <c r="U117" s="91">
        <v>0</v>
      </c>
      <c r="V117" s="91">
        <f>U117*F117-U117*E117</f>
        <v>0</v>
      </c>
      <c r="W117" s="91">
        <f>SUM(S117,Q117,O117,M117,K117,I117)</f>
        <v>5</v>
      </c>
      <c r="X117" s="90" t="s">
        <v>10</v>
      </c>
      <c r="Y117" s="92">
        <v>99</v>
      </c>
      <c r="Z117">
        <f>D117*I117</f>
        <v>0</v>
      </c>
    </row>
    <row r="118" spans="1:26" x14ac:dyDescent="0.3">
      <c r="A118" s="88" t="s">
        <v>82</v>
      </c>
      <c r="B118" s="89" t="s">
        <v>83</v>
      </c>
      <c r="C118" s="89" t="s">
        <v>17</v>
      </c>
      <c r="D118" s="90">
        <v>40</v>
      </c>
      <c r="E118" s="90">
        <f>D118*3.2</f>
        <v>128</v>
      </c>
      <c r="F118" s="90">
        <v>300</v>
      </c>
      <c r="G118" s="90">
        <f>F118-E118</f>
        <v>172</v>
      </c>
      <c r="H118" s="90">
        <f>(CleanedDataset!$F104-CleanedDataset!$E104)/CleanedDataset!$F104</f>
        <v>0.47058823529411764</v>
      </c>
      <c r="I118" s="91">
        <v>0</v>
      </c>
      <c r="J118" s="91">
        <f>I118*F118-I118*E118</f>
        <v>0</v>
      </c>
      <c r="K118" s="91">
        <v>5</v>
      </c>
      <c r="L118" s="91">
        <f>K118*F118-I118*E118</f>
        <v>1500</v>
      </c>
      <c r="M118" s="91">
        <v>0</v>
      </c>
      <c r="N118" s="91">
        <f>M118*F118-M118*E118</f>
        <v>0</v>
      </c>
      <c r="O118" s="91">
        <v>0</v>
      </c>
      <c r="P118" s="91">
        <f>O118*F118-O118*E118</f>
        <v>0</v>
      </c>
      <c r="Q118" s="91">
        <v>0</v>
      </c>
      <c r="R118" s="91">
        <f>Q118*F118-Q118*E118</f>
        <v>0</v>
      </c>
      <c r="S118" s="91">
        <v>0</v>
      </c>
      <c r="T118" s="91">
        <f>S118*F118-S118*E118</f>
        <v>0</v>
      </c>
      <c r="U118" s="91">
        <v>0</v>
      </c>
      <c r="V118" s="91">
        <f>U118*F118-U118*E118</f>
        <v>0</v>
      </c>
      <c r="W118" s="91">
        <f>SUM(S118,Q118,O118,M118,K118,I118)</f>
        <v>5</v>
      </c>
      <c r="X118" s="90" t="s">
        <v>10</v>
      </c>
      <c r="Y118" s="92">
        <v>94</v>
      </c>
      <c r="Z118">
        <f>D118*I118</f>
        <v>0</v>
      </c>
    </row>
    <row r="119" spans="1:26" x14ac:dyDescent="0.3">
      <c r="A119" s="88" t="s">
        <v>82</v>
      </c>
      <c r="B119" s="89" t="s">
        <v>83</v>
      </c>
      <c r="C119" s="89" t="s">
        <v>43</v>
      </c>
      <c r="D119" s="90">
        <v>40</v>
      </c>
      <c r="E119" s="90">
        <f>D119*3</f>
        <v>120</v>
      </c>
      <c r="F119" s="90">
        <v>250</v>
      </c>
      <c r="G119" s="90">
        <f>F119-E119</f>
        <v>130</v>
      </c>
      <c r="H119" s="90">
        <f>(CleanedDataset!$F68-CleanedDataset!$E68)/CleanedDataset!$F68</f>
        <v>0.7931034482758621</v>
      </c>
      <c r="I119" s="91">
        <v>0</v>
      </c>
      <c r="J119" s="91">
        <f>I119*F119-I119*E119</f>
        <v>0</v>
      </c>
      <c r="K119" s="91">
        <v>5</v>
      </c>
      <c r="L119" s="91">
        <f>K119*F119-I119*E119</f>
        <v>1250</v>
      </c>
      <c r="M119" s="91">
        <v>0</v>
      </c>
      <c r="N119" s="91">
        <f>M119*F119-M119*E119</f>
        <v>0</v>
      </c>
      <c r="O119" s="91">
        <v>0</v>
      </c>
      <c r="P119" s="91">
        <f>O119*F119-O119*E119</f>
        <v>0</v>
      </c>
      <c r="Q119" s="91">
        <v>0</v>
      </c>
      <c r="R119" s="91">
        <f>Q119*F119-Q119*E119</f>
        <v>0</v>
      </c>
      <c r="S119" s="91">
        <v>0</v>
      </c>
      <c r="T119" s="91">
        <f>S119*F119-S119*E119</f>
        <v>0</v>
      </c>
      <c r="U119" s="91">
        <v>0</v>
      </c>
      <c r="V119" s="91">
        <f>U119*F119-U119*E119</f>
        <v>0</v>
      </c>
      <c r="W119" s="91">
        <f>SUM(S119,Q119,O119,M119,K119,I119)</f>
        <v>5</v>
      </c>
      <c r="X119" s="90" t="s">
        <v>10</v>
      </c>
      <c r="Y119" s="92">
        <v>98</v>
      </c>
      <c r="Z119">
        <f>D119*I119</f>
        <v>0</v>
      </c>
    </row>
    <row r="120" spans="1:26" x14ac:dyDescent="0.3">
      <c r="A120" s="93" t="s">
        <v>82</v>
      </c>
      <c r="B120" s="94" t="s">
        <v>83</v>
      </c>
      <c r="C120" s="94" t="s">
        <v>14</v>
      </c>
      <c r="D120" s="95">
        <v>40</v>
      </c>
      <c r="E120" s="95">
        <f>D120*3</f>
        <v>120</v>
      </c>
      <c r="F120" s="95">
        <v>250</v>
      </c>
      <c r="G120" s="95">
        <f>F120-E120</f>
        <v>130</v>
      </c>
      <c r="H120" s="95">
        <f>(CleanedDataset!$F127-CleanedDataset!$E127)/CleanedDataset!$F127</f>
        <v>0.61294117647058821</v>
      </c>
      <c r="I120" s="96">
        <v>0</v>
      </c>
      <c r="J120" s="96">
        <f>I120*F120-I120*E120</f>
        <v>0</v>
      </c>
      <c r="K120" s="96">
        <v>5</v>
      </c>
      <c r="L120" s="96">
        <f>K120*F120-I120*E120</f>
        <v>1250</v>
      </c>
      <c r="M120" s="96">
        <v>0</v>
      </c>
      <c r="N120" s="96">
        <f>M120*F120-M120*E120</f>
        <v>0</v>
      </c>
      <c r="O120" s="96">
        <v>0</v>
      </c>
      <c r="P120" s="96">
        <f>O120*F120-O120*E120</f>
        <v>0</v>
      </c>
      <c r="Q120" s="96">
        <v>0</v>
      </c>
      <c r="R120" s="96">
        <f>Q120*F120-Q120*E120</f>
        <v>0</v>
      </c>
      <c r="S120" s="96">
        <v>0</v>
      </c>
      <c r="T120" s="96">
        <f>S120*F120-S120*E120</f>
        <v>0</v>
      </c>
      <c r="U120" s="96">
        <v>0</v>
      </c>
      <c r="V120" s="96">
        <f>U120*F120-U120*E120</f>
        <v>0</v>
      </c>
      <c r="W120" s="96">
        <f>SUM(S120,Q120,O120,M120,K120,I120)</f>
        <v>5</v>
      </c>
      <c r="X120" s="95" t="s">
        <v>10</v>
      </c>
      <c r="Y120" s="97">
        <v>90</v>
      </c>
      <c r="Z120">
        <f>D120*I120</f>
        <v>0</v>
      </c>
    </row>
    <row r="121" spans="1:26" x14ac:dyDescent="0.3">
      <c r="A121" s="88" t="s">
        <v>82</v>
      </c>
      <c r="B121" s="89" t="s">
        <v>83</v>
      </c>
      <c r="C121" s="89" t="s">
        <v>12</v>
      </c>
      <c r="D121" s="90">
        <v>40</v>
      </c>
      <c r="E121" s="90">
        <f>D121*3</f>
        <v>120</v>
      </c>
      <c r="F121" s="90">
        <v>250</v>
      </c>
      <c r="G121" s="90">
        <f>F121-E121</f>
        <v>130</v>
      </c>
      <c r="H121" s="90">
        <f>(CleanedDataset!$F134-CleanedDataset!$E134)/CleanedDataset!$F134</f>
        <v>0.69439728353140917</v>
      </c>
      <c r="I121" s="91">
        <v>1</v>
      </c>
      <c r="J121" s="91">
        <f>I121*F121-I121*E121</f>
        <v>130</v>
      </c>
      <c r="K121" s="91">
        <v>0</v>
      </c>
      <c r="L121" s="91">
        <f>K121*F121-I121*E121</f>
        <v>-120</v>
      </c>
      <c r="M121" s="91">
        <v>0</v>
      </c>
      <c r="N121" s="91">
        <f>M121*F121-M121*E121</f>
        <v>0</v>
      </c>
      <c r="O121" s="91">
        <v>0</v>
      </c>
      <c r="P121" s="91">
        <f>O121*F121-O121*E121</f>
        <v>0</v>
      </c>
      <c r="Q121" s="91">
        <v>0</v>
      </c>
      <c r="R121" s="91">
        <f>Q121*F121-Q121*E121</f>
        <v>0</v>
      </c>
      <c r="S121" s="91">
        <v>0</v>
      </c>
      <c r="T121" s="91">
        <f>S121*F121-S121*E121</f>
        <v>0</v>
      </c>
      <c r="U121" s="91">
        <v>0</v>
      </c>
      <c r="V121" s="91">
        <f>U121*F121-U121*E121</f>
        <v>0</v>
      </c>
      <c r="W121" s="91">
        <f>SUM(S121,Q121,O121,M121,K121,I121)</f>
        <v>1</v>
      </c>
      <c r="X121" s="90" t="s">
        <v>10</v>
      </c>
      <c r="Y121" s="92">
        <v>100</v>
      </c>
      <c r="Z121">
        <f>D121*I121</f>
        <v>40</v>
      </c>
    </row>
    <row r="122" spans="1:26" x14ac:dyDescent="0.3">
      <c r="A122" s="88" t="s">
        <v>82</v>
      </c>
      <c r="B122" s="89" t="s">
        <v>83</v>
      </c>
      <c r="C122" s="89" t="s">
        <v>9</v>
      </c>
      <c r="D122" s="90">
        <v>40</v>
      </c>
      <c r="E122" s="90">
        <f>D122*2.8</f>
        <v>112</v>
      </c>
      <c r="F122" s="90">
        <v>220</v>
      </c>
      <c r="G122" s="90">
        <f>F122-E122</f>
        <v>108</v>
      </c>
      <c r="H122" s="90">
        <f>(CleanedDataset!$F2-CleanedDataset!$E2)/CleanedDataset!$F2</f>
        <v>0.82079999999999997</v>
      </c>
      <c r="I122" s="91">
        <v>0</v>
      </c>
      <c r="J122" s="91">
        <f>I122*F122-I122*E122</f>
        <v>0</v>
      </c>
      <c r="K122" s="91">
        <v>1</v>
      </c>
      <c r="L122" s="91">
        <f>K122*F122-I122*E122</f>
        <v>220</v>
      </c>
      <c r="M122" s="91">
        <v>0</v>
      </c>
      <c r="N122" s="91">
        <f>M122*F122-M122*E122</f>
        <v>0</v>
      </c>
      <c r="O122" s="91">
        <v>1</v>
      </c>
      <c r="P122" s="91">
        <f>O122*F122-O122*E122</f>
        <v>108</v>
      </c>
      <c r="Q122" s="91">
        <v>38</v>
      </c>
      <c r="R122" s="91">
        <f>Q122*F122-Q122*E122</f>
        <v>4104</v>
      </c>
      <c r="S122" s="91">
        <v>0</v>
      </c>
      <c r="T122" s="91">
        <f>S122*F122-S122*E122</f>
        <v>0</v>
      </c>
      <c r="U122" s="91">
        <v>0</v>
      </c>
      <c r="V122" s="91">
        <f>U122*F122-U122*E122</f>
        <v>0</v>
      </c>
      <c r="W122" s="91">
        <f>SUM(S122,Q122,O122,M122,K122,I122)</f>
        <v>40</v>
      </c>
      <c r="X122" s="90" t="s">
        <v>10</v>
      </c>
      <c r="Y122" s="92">
        <v>98</v>
      </c>
      <c r="Z122">
        <f>D122*I122</f>
        <v>0</v>
      </c>
    </row>
    <row r="123" spans="1:26" x14ac:dyDescent="0.3">
      <c r="A123" s="93" t="s">
        <v>84</v>
      </c>
      <c r="B123" s="94" t="s">
        <v>85</v>
      </c>
      <c r="C123" s="94" t="s">
        <v>38</v>
      </c>
      <c r="D123" s="95">
        <v>47</v>
      </c>
      <c r="E123" s="95">
        <f>D123*3.2</f>
        <v>150.4</v>
      </c>
      <c r="F123" s="95">
        <v>400</v>
      </c>
      <c r="G123" s="95">
        <f>F123-E123</f>
        <v>249.6</v>
      </c>
      <c r="H123" s="95">
        <f>(CleanedDataset!$F89-CleanedDataset!$E89)/CleanedDataset!$F89</f>
        <v>0.43333333333333335</v>
      </c>
      <c r="I123" s="96">
        <v>0</v>
      </c>
      <c r="J123" s="96">
        <f>I123*F123-I123*E123</f>
        <v>0</v>
      </c>
      <c r="K123" s="96">
        <v>1</v>
      </c>
      <c r="L123" s="96">
        <f>K123*F123-I123*E123</f>
        <v>400</v>
      </c>
      <c r="M123" s="96">
        <v>0</v>
      </c>
      <c r="N123" s="96">
        <f>M123*F123-M123*E123</f>
        <v>0</v>
      </c>
      <c r="O123" s="96">
        <v>0</v>
      </c>
      <c r="P123" s="96">
        <f>O123*F123-O123*E123</f>
        <v>0</v>
      </c>
      <c r="Q123" s="96">
        <v>0</v>
      </c>
      <c r="R123" s="96">
        <f>Q123*F123-Q123*E123</f>
        <v>0</v>
      </c>
      <c r="S123" s="96">
        <v>0</v>
      </c>
      <c r="T123" s="96">
        <f>S123*F123-S123*E123</f>
        <v>0</v>
      </c>
      <c r="U123" s="96">
        <v>0</v>
      </c>
      <c r="V123" s="96">
        <f>U123*F123-U123*E123</f>
        <v>0</v>
      </c>
      <c r="W123" s="96">
        <f>SUM(S123,Q123,O123,M123,K123,I123)</f>
        <v>1</v>
      </c>
      <c r="X123" s="95" t="s">
        <v>10</v>
      </c>
      <c r="Y123" s="97">
        <v>90</v>
      </c>
      <c r="Z123">
        <f>D123*I123</f>
        <v>0</v>
      </c>
    </row>
    <row r="124" spans="1:26" x14ac:dyDescent="0.3">
      <c r="A124" s="93" t="s">
        <v>84</v>
      </c>
      <c r="B124" s="94" t="s">
        <v>85</v>
      </c>
      <c r="C124" s="94" t="s">
        <v>17</v>
      </c>
      <c r="D124" s="95">
        <v>47</v>
      </c>
      <c r="E124" s="95">
        <f>D124*3.2</f>
        <v>150.4</v>
      </c>
      <c r="F124" s="95">
        <v>400</v>
      </c>
      <c r="G124" s="95">
        <f>F124-E124</f>
        <v>249.6</v>
      </c>
      <c r="H124" s="95">
        <f>(CleanedDataset!$F111-CleanedDataset!$E111)/CleanedDataset!$F111</f>
        <v>0.48863636363636365</v>
      </c>
      <c r="I124" s="96">
        <v>5</v>
      </c>
      <c r="J124" s="96">
        <f>I124*F124-I124*E124</f>
        <v>1248</v>
      </c>
      <c r="K124" s="96">
        <v>0</v>
      </c>
      <c r="L124" s="96">
        <f>K124*F124-I124*E124</f>
        <v>-752</v>
      </c>
      <c r="M124" s="96">
        <v>0</v>
      </c>
      <c r="N124" s="96">
        <f>M124*F124-M124*E124</f>
        <v>0</v>
      </c>
      <c r="O124" s="96">
        <v>0</v>
      </c>
      <c r="P124" s="96">
        <f>O124*F124-O124*E124</f>
        <v>0</v>
      </c>
      <c r="Q124" s="96">
        <v>0</v>
      </c>
      <c r="R124" s="96">
        <f>Q124*F124-Q124*E124</f>
        <v>0</v>
      </c>
      <c r="S124" s="96">
        <v>0</v>
      </c>
      <c r="T124" s="96">
        <f>S124*F124-S124*E124</f>
        <v>0</v>
      </c>
      <c r="U124" s="96">
        <v>0</v>
      </c>
      <c r="V124" s="96">
        <f>U124*F124-U124*E124</f>
        <v>0</v>
      </c>
      <c r="W124" s="96">
        <f>SUM(S124,Q124,O124,M124,K124,I124)</f>
        <v>5</v>
      </c>
      <c r="X124" s="95" t="s">
        <v>10</v>
      </c>
      <c r="Y124" s="97">
        <v>90</v>
      </c>
      <c r="Z124">
        <f>D124*I124</f>
        <v>235</v>
      </c>
    </row>
    <row r="125" spans="1:26" x14ac:dyDescent="0.3">
      <c r="A125" s="88" t="s">
        <v>84</v>
      </c>
      <c r="B125" s="89" t="s">
        <v>85</v>
      </c>
      <c r="C125" s="89" t="s">
        <v>43</v>
      </c>
      <c r="D125" s="90">
        <v>47</v>
      </c>
      <c r="E125" s="90">
        <f>D125*3</f>
        <v>141</v>
      </c>
      <c r="F125" s="90">
        <v>370</v>
      </c>
      <c r="G125" s="90">
        <f>F125-E125</f>
        <v>229</v>
      </c>
      <c r="H125" s="90">
        <f>(CleanedDataset!$F72-CleanedDataset!$E72)/CleanedDataset!$F72</f>
        <v>0.83333333333333337</v>
      </c>
      <c r="I125" s="91">
        <v>2</v>
      </c>
      <c r="J125" s="91">
        <f>I125*F125-I125*E125</f>
        <v>458</v>
      </c>
      <c r="K125" s="91">
        <v>0</v>
      </c>
      <c r="L125" s="91">
        <f>K125*F125-I125*E125</f>
        <v>-282</v>
      </c>
      <c r="M125" s="91">
        <v>0</v>
      </c>
      <c r="N125" s="91">
        <f>M125*F125-M125*E125</f>
        <v>0</v>
      </c>
      <c r="O125" s="91">
        <v>0</v>
      </c>
      <c r="P125" s="91">
        <f>O125*F125-O125*E125</f>
        <v>0</v>
      </c>
      <c r="Q125" s="91">
        <v>0</v>
      </c>
      <c r="R125" s="91">
        <f>Q125*F125-Q125*E125</f>
        <v>0</v>
      </c>
      <c r="S125" s="91">
        <v>0</v>
      </c>
      <c r="T125" s="91">
        <f>S125*F125-S125*E125</f>
        <v>0</v>
      </c>
      <c r="U125" s="91">
        <v>0</v>
      </c>
      <c r="V125" s="91">
        <f>U125*F125-U125*E125</f>
        <v>0</v>
      </c>
      <c r="W125" s="91">
        <f>SUM(S125,Q125,O125,M125,K125,I125)</f>
        <v>2</v>
      </c>
      <c r="X125" s="90" t="s">
        <v>10</v>
      </c>
      <c r="Y125" s="92">
        <v>99</v>
      </c>
      <c r="Z125">
        <f>D125*I125</f>
        <v>94</v>
      </c>
    </row>
    <row r="126" spans="1:26" x14ac:dyDescent="0.3">
      <c r="A126" s="88" t="s">
        <v>84</v>
      </c>
      <c r="B126" s="89" t="s">
        <v>85</v>
      </c>
      <c r="C126" s="89" t="s">
        <v>12</v>
      </c>
      <c r="D126" s="90">
        <v>47</v>
      </c>
      <c r="E126" s="90">
        <f>D126*3</f>
        <v>141</v>
      </c>
      <c r="F126" s="90">
        <v>370</v>
      </c>
      <c r="G126" s="90">
        <f>F126-E126</f>
        <v>229</v>
      </c>
      <c r="H126" s="90">
        <f>(CleanedDataset!$F138-CleanedDataset!$E138)/CleanedDataset!$F138</f>
        <v>0.55200000000000005</v>
      </c>
      <c r="I126" s="91">
        <v>3</v>
      </c>
      <c r="J126" s="91">
        <f>I126*F126-I126*E126</f>
        <v>687</v>
      </c>
      <c r="K126" s="91">
        <v>0</v>
      </c>
      <c r="L126" s="91">
        <f>K126*F126-I126*E126</f>
        <v>-423</v>
      </c>
      <c r="M126" s="91">
        <v>0</v>
      </c>
      <c r="N126" s="91">
        <f>M126*F126-M126*E126</f>
        <v>0</v>
      </c>
      <c r="O126" s="91">
        <v>0</v>
      </c>
      <c r="P126" s="91">
        <f>O126*F126-O126*E126</f>
        <v>0</v>
      </c>
      <c r="Q126" s="91">
        <v>0</v>
      </c>
      <c r="R126" s="91">
        <f>Q126*F126-Q126*E126</f>
        <v>0</v>
      </c>
      <c r="S126" s="91">
        <v>0</v>
      </c>
      <c r="T126" s="91">
        <f>S126*F126-S126*E126</f>
        <v>0</v>
      </c>
      <c r="U126" s="91">
        <v>0</v>
      </c>
      <c r="V126" s="91">
        <f>U126*F126-U126*E126</f>
        <v>0</v>
      </c>
      <c r="W126" s="91">
        <f>SUM(S126,Q126,O126,M126,K126,I126)</f>
        <v>3</v>
      </c>
      <c r="X126" s="90" t="s">
        <v>10</v>
      </c>
      <c r="Y126" s="92">
        <v>97</v>
      </c>
      <c r="Z126">
        <f>D126*I126</f>
        <v>141</v>
      </c>
    </row>
    <row r="127" spans="1:26" x14ac:dyDescent="0.3">
      <c r="A127" s="93" t="s">
        <v>84</v>
      </c>
      <c r="B127" s="94" t="s">
        <v>85</v>
      </c>
      <c r="C127" s="94" t="s">
        <v>9</v>
      </c>
      <c r="D127" s="95">
        <v>47</v>
      </c>
      <c r="E127" s="95">
        <f>D127*2.8</f>
        <v>131.6</v>
      </c>
      <c r="F127" s="95">
        <v>340</v>
      </c>
      <c r="G127" s="95">
        <f>F127-E127</f>
        <v>208.4</v>
      </c>
      <c r="H127" s="95">
        <f>(CleanedDataset!$F7-CleanedDataset!$E7)/CleanedDataset!$F7</f>
        <v>0.63793103448275867</v>
      </c>
      <c r="I127" s="96">
        <v>2</v>
      </c>
      <c r="J127" s="96">
        <f>I127*F127-I127*E127</f>
        <v>416.8</v>
      </c>
      <c r="K127" s="96">
        <v>34</v>
      </c>
      <c r="L127" s="96">
        <f>K127*F127-I127*E127</f>
        <v>11296.8</v>
      </c>
      <c r="M127" s="96">
        <v>36</v>
      </c>
      <c r="N127" s="96">
        <f>M127*F127-M127*E127</f>
        <v>7502.4000000000005</v>
      </c>
      <c r="O127" s="96">
        <v>2</v>
      </c>
      <c r="P127" s="96">
        <f>O127*F127-O127*E127</f>
        <v>416.8</v>
      </c>
      <c r="Q127" s="96">
        <v>0</v>
      </c>
      <c r="R127" s="96">
        <f>Q127*F127-Q127*E127</f>
        <v>0</v>
      </c>
      <c r="S127" s="96">
        <v>0</v>
      </c>
      <c r="T127" s="96">
        <f>S127*F127-S127*E127</f>
        <v>0</v>
      </c>
      <c r="U127" s="96">
        <v>0</v>
      </c>
      <c r="V127" s="96">
        <f>U127*F127-U127*E127</f>
        <v>0</v>
      </c>
      <c r="W127" s="96">
        <f>SUM(S127,Q127,O127,M127,K127,I127)</f>
        <v>74</v>
      </c>
      <c r="X127" s="95" t="s">
        <v>10</v>
      </c>
      <c r="Y127" s="97">
        <v>92</v>
      </c>
      <c r="Z127">
        <f>D127*I127</f>
        <v>94</v>
      </c>
    </row>
    <row r="128" spans="1:26" x14ac:dyDescent="0.3">
      <c r="A128" s="93" t="s">
        <v>48</v>
      </c>
      <c r="B128" s="94" t="s">
        <v>49</v>
      </c>
      <c r="C128" s="98" t="s">
        <v>21</v>
      </c>
      <c r="D128" s="95">
        <v>55</v>
      </c>
      <c r="E128" s="95">
        <f>D128*3.2</f>
        <v>176</v>
      </c>
      <c r="F128" s="95">
        <v>510</v>
      </c>
      <c r="G128" s="95">
        <f>F128-E128</f>
        <v>334</v>
      </c>
      <c r="H128" s="95">
        <f>(CleanedDataset!$F81-CleanedDataset!$E81)/CleanedDataset!$F81</f>
        <v>0</v>
      </c>
      <c r="I128" s="96">
        <v>53</v>
      </c>
      <c r="J128" s="96">
        <f>I128*F128-I128*E128</f>
        <v>17702</v>
      </c>
      <c r="K128" s="96">
        <v>21</v>
      </c>
      <c r="L128" s="96">
        <f>K128*F128-I128*E128</f>
        <v>1382</v>
      </c>
      <c r="M128" s="96">
        <v>0</v>
      </c>
      <c r="N128" s="96">
        <f>M128*F128-M128*E128</f>
        <v>0</v>
      </c>
      <c r="O128" s="96">
        <v>0</v>
      </c>
      <c r="P128" s="96">
        <f>O128*F128-O128*E128</f>
        <v>0</v>
      </c>
      <c r="Q128" s="96">
        <v>0</v>
      </c>
      <c r="R128" s="96">
        <f>Q128*F128-Q128*E128</f>
        <v>0</v>
      </c>
      <c r="S128" s="96">
        <v>0</v>
      </c>
      <c r="T128" s="96">
        <f>S128*F128-S128*E128</f>
        <v>0</v>
      </c>
      <c r="U128" s="96">
        <v>0</v>
      </c>
      <c r="V128" s="96">
        <f>U128*F128-U128*E128</f>
        <v>0</v>
      </c>
      <c r="W128" s="96">
        <f>SUM(S128,Q128,O128,M128,K128,I128)</f>
        <v>74</v>
      </c>
      <c r="X128" s="95" t="s">
        <v>10</v>
      </c>
      <c r="Y128" s="97">
        <v>99</v>
      </c>
      <c r="Z128">
        <f>D128*I128</f>
        <v>2915</v>
      </c>
    </row>
    <row r="129" spans="1:26" x14ac:dyDescent="0.3">
      <c r="A129" s="88" t="s">
        <v>48</v>
      </c>
      <c r="B129" s="89" t="s">
        <v>49</v>
      </c>
      <c r="C129" s="100" t="s">
        <v>17</v>
      </c>
      <c r="D129" s="90">
        <v>55</v>
      </c>
      <c r="E129" s="90">
        <f>D129*3.2</f>
        <v>176</v>
      </c>
      <c r="F129" s="90">
        <v>510</v>
      </c>
      <c r="G129" s="90">
        <f>F129-E129</f>
        <v>334</v>
      </c>
      <c r="H129" s="90">
        <f>(CleanedDataset!$F116-CleanedDataset!$E116)/CleanedDataset!$F116</f>
        <v>0.27407407407407408</v>
      </c>
      <c r="I129" s="91">
        <v>33</v>
      </c>
      <c r="J129" s="91">
        <f>I129*F129-I129*E129</f>
        <v>11022</v>
      </c>
      <c r="K129" s="91">
        <v>15</v>
      </c>
      <c r="L129" s="91">
        <f>K129*F129-I129*E129</f>
        <v>1842</v>
      </c>
      <c r="M129" s="91">
        <v>0</v>
      </c>
      <c r="N129" s="91">
        <f>M129*F129-M129*E129</f>
        <v>0</v>
      </c>
      <c r="O129" s="91">
        <v>0</v>
      </c>
      <c r="P129" s="91">
        <f>O129*F129-O129*E129</f>
        <v>0</v>
      </c>
      <c r="Q129" s="91">
        <v>0</v>
      </c>
      <c r="R129" s="91">
        <f>Q129*F129-Q129*E129</f>
        <v>0</v>
      </c>
      <c r="S129" s="91">
        <v>0</v>
      </c>
      <c r="T129" s="91">
        <f>S129*F129-S129*E129</f>
        <v>0</v>
      </c>
      <c r="U129" s="91">
        <v>0</v>
      </c>
      <c r="V129" s="91">
        <f>U129*F129-U129*E129</f>
        <v>0</v>
      </c>
      <c r="W129" s="91">
        <f>SUM(S129,Q129,O129,M129,K129,I129)</f>
        <v>48</v>
      </c>
      <c r="X129" s="90" t="s">
        <v>10</v>
      </c>
      <c r="Y129" s="92">
        <v>98</v>
      </c>
      <c r="Z129">
        <f>D129*I129</f>
        <v>1815</v>
      </c>
    </row>
    <row r="130" spans="1:26" x14ac:dyDescent="0.3">
      <c r="A130" s="88" t="s">
        <v>48</v>
      </c>
      <c r="B130" s="89" t="s">
        <v>49</v>
      </c>
      <c r="C130" s="100" t="s">
        <v>12</v>
      </c>
      <c r="D130" s="90">
        <v>55</v>
      </c>
      <c r="E130" s="90">
        <f>D130*3</f>
        <v>165</v>
      </c>
      <c r="F130" s="90">
        <v>400</v>
      </c>
      <c r="G130" s="90">
        <f>F130-E130</f>
        <v>235</v>
      </c>
      <c r="H130" s="90">
        <f>(CleanedDataset!$F144-CleanedDataset!$E144)/CleanedDataset!$F144</f>
        <v>0.55862068965517242</v>
      </c>
      <c r="I130" s="91">
        <v>25</v>
      </c>
      <c r="J130" s="91">
        <f>I130*F130-I130*E130</f>
        <v>5875</v>
      </c>
      <c r="K130" s="91">
        <v>30</v>
      </c>
      <c r="L130" s="91">
        <f>K130*F130-I130*E130</f>
        <v>7875</v>
      </c>
      <c r="M130" s="91">
        <v>23</v>
      </c>
      <c r="N130" s="91">
        <f>M130*F130-M130*E130</f>
        <v>5405</v>
      </c>
      <c r="O130" s="91">
        <v>22</v>
      </c>
      <c r="P130" s="91">
        <f>O130*F130-O130*E130</f>
        <v>5170</v>
      </c>
      <c r="Q130" s="91">
        <v>35</v>
      </c>
      <c r="R130" s="91">
        <f>Q130*F130-Q130*E130</f>
        <v>8225</v>
      </c>
      <c r="S130" s="91">
        <v>135</v>
      </c>
      <c r="T130" s="91">
        <f>S130*F130-S130*E130</f>
        <v>31725</v>
      </c>
      <c r="U130" s="91">
        <v>142</v>
      </c>
      <c r="V130" s="91">
        <f>U130*F130-U130*E130</f>
        <v>33370</v>
      </c>
      <c r="W130" s="91">
        <f>SUM(S130,Q130,O130,M130,K130,I130)</f>
        <v>270</v>
      </c>
      <c r="X130" s="90" t="s">
        <v>10</v>
      </c>
      <c r="Y130" s="92">
        <v>95</v>
      </c>
      <c r="Z130">
        <f>D130*I130</f>
        <v>1375</v>
      </c>
    </row>
    <row r="131" spans="1:26" x14ac:dyDescent="0.3">
      <c r="A131" s="88" t="s">
        <v>48</v>
      </c>
      <c r="B131" s="89" t="s">
        <v>49</v>
      </c>
      <c r="C131" s="100" t="s">
        <v>9</v>
      </c>
      <c r="D131" s="90">
        <v>55</v>
      </c>
      <c r="E131" s="90">
        <f>D131*2.8</f>
        <v>154</v>
      </c>
      <c r="F131" s="90">
        <v>375</v>
      </c>
      <c r="G131" s="90">
        <f>F131-E131</f>
        <v>221</v>
      </c>
      <c r="H131" s="90">
        <f>(CleanedDataset!$F24-CleanedDataset!$E24)/CleanedDataset!$F24</f>
        <v>0.47499999999999998</v>
      </c>
      <c r="I131" s="91">
        <v>36</v>
      </c>
      <c r="J131" s="91">
        <f>I131*F131-I131*E131</f>
        <v>7956</v>
      </c>
      <c r="K131" s="91">
        <v>40</v>
      </c>
      <c r="L131" s="91">
        <f>K131*F131-I131*E131</f>
        <v>9456</v>
      </c>
      <c r="M131" s="91">
        <v>45</v>
      </c>
      <c r="N131" s="91">
        <f>M131*F131-M131*E131</f>
        <v>9945</v>
      </c>
      <c r="O131" s="91">
        <v>141</v>
      </c>
      <c r="P131" s="91">
        <f>O131*F131-O131*E131</f>
        <v>31161</v>
      </c>
      <c r="Q131" s="91">
        <v>156</v>
      </c>
      <c r="R131" s="91">
        <f>Q131*F131-Q131*E131</f>
        <v>34476</v>
      </c>
      <c r="S131" s="91">
        <v>73</v>
      </c>
      <c r="T131" s="91">
        <f>S131*F131-S131*E131</f>
        <v>16133</v>
      </c>
      <c r="U131" s="91">
        <v>39</v>
      </c>
      <c r="V131" s="91">
        <f>U131*F131-U131*E131</f>
        <v>8619</v>
      </c>
      <c r="W131" s="91">
        <f>SUM(S131,Q131,O131,M131,K131,I131)</f>
        <v>491</v>
      </c>
      <c r="X131" s="90" t="s">
        <v>10</v>
      </c>
      <c r="Y131" s="92">
        <v>92</v>
      </c>
      <c r="Z131">
        <f>D131*I131</f>
        <v>1980</v>
      </c>
    </row>
    <row r="132" spans="1:26" x14ac:dyDescent="0.3">
      <c r="A132" s="93" t="s">
        <v>86</v>
      </c>
      <c r="B132" s="94" t="s">
        <v>87</v>
      </c>
      <c r="C132" s="94" t="s">
        <v>38</v>
      </c>
      <c r="D132" s="95">
        <v>60</v>
      </c>
      <c r="E132" s="95">
        <f>D132*3.2</f>
        <v>192</v>
      </c>
      <c r="F132" s="95">
        <v>650</v>
      </c>
      <c r="G132" s="95">
        <f>F132-E132</f>
        <v>458</v>
      </c>
      <c r="H132" s="95">
        <f>(CleanedDataset!$F95-CleanedDataset!$E95)/CleanedDataset!$F95</f>
        <v>0.53333333333333333</v>
      </c>
      <c r="I132" s="96">
        <v>5</v>
      </c>
      <c r="J132" s="96">
        <f>I132*F132-I132*E132</f>
        <v>2290</v>
      </c>
      <c r="K132" s="96">
        <v>0</v>
      </c>
      <c r="L132" s="96">
        <f>K132*F132-I132*E132</f>
        <v>-960</v>
      </c>
      <c r="M132" s="96">
        <v>0</v>
      </c>
      <c r="N132" s="96">
        <f>M132*F132-M132*E132</f>
        <v>0</v>
      </c>
      <c r="O132" s="96">
        <v>0</v>
      </c>
      <c r="P132" s="96">
        <f>O132*F132-O132*E132</f>
        <v>0</v>
      </c>
      <c r="Q132" s="96">
        <v>0</v>
      </c>
      <c r="R132" s="96">
        <f>Q132*F132-Q132*E132</f>
        <v>0</v>
      </c>
      <c r="S132" s="96">
        <v>0</v>
      </c>
      <c r="T132" s="96">
        <f>S132*F132-S132*E132</f>
        <v>0</v>
      </c>
      <c r="U132" s="96">
        <v>0</v>
      </c>
      <c r="V132" s="96">
        <f>U132*F132-U132*E132</f>
        <v>0</v>
      </c>
      <c r="W132" s="96">
        <f>SUM(S132,Q132,O132,M132,K132,I132)</f>
        <v>5</v>
      </c>
      <c r="X132" s="95" t="s">
        <v>10</v>
      </c>
      <c r="Y132" s="97">
        <v>99</v>
      </c>
      <c r="Z132">
        <f>D132*I132</f>
        <v>300</v>
      </c>
    </row>
    <row r="133" spans="1:26" x14ac:dyDescent="0.3">
      <c r="A133" s="88" t="s">
        <v>86</v>
      </c>
      <c r="B133" s="89" t="s">
        <v>87</v>
      </c>
      <c r="C133" s="89" t="s">
        <v>17</v>
      </c>
      <c r="D133" s="90">
        <v>60</v>
      </c>
      <c r="E133" s="90">
        <f>D133*3.2</f>
        <v>192</v>
      </c>
      <c r="F133" s="90">
        <v>650</v>
      </c>
      <c r="G133" s="90">
        <f>F133-E133</f>
        <v>458</v>
      </c>
      <c r="H133" s="90">
        <f>(CleanedDataset!$F108-CleanedDataset!$E108)/CleanedDataset!$F108</f>
        <v>0.42727272727272725</v>
      </c>
      <c r="I133" s="91">
        <v>3</v>
      </c>
      <c r="J133" s="91">
        <f>I133*F133-I133*E133</f>
        <v>1374</v>
      </c>
      <c r="K133" s="91">
        <v>0</v>
      </c>
      <c r="L133" s="91">
        <f>K133*F133-I133*E133</f>
        <v>-576</v>
      </c>
      <c r="M133" s="91">
        <v>0</v>
      </c>
      <c r="N133" s="91">
        <f>M133*F133-M133*E133</f>
        <v>0</v>
      </c>
      <c r="O133" s="91">
        <v>0</v>
      </c>
      <c r="P133" s="91">
        <f>O133*F133-O133*E133</f>
        <v>0</v>
      </c>
      <c r="Q133" s="91">
        <v>0</v>
      </c>
      <c r="R133" s="91">
        <f>Q133*F133-Q133*E133</f>
        <v>0</v>
      </c>
      <c r="S133" s="91">
        <v>0</v>
      </c>
      <c r="T133" s="91">
        <f>S133*F133-S133*E133</f>
        <v>0</v>
      </c>
      <c r="U133" s="91">
        <v>0</v>
      </c>
      <c r="V133" s="91">
        <f>U133*F133-U133*E133</f>
        <v>0</v>
      </c>
      <c r="W133" s="91">
        <f>SUM(S133,Q133,O133,M133,K133,I133)</f>
        <v>3</v>
      </c>
      <c r="X133" s="90" t="s">
        <v>10</v>
      </c>
      <c r="Y133" s="92">
        <v>92</v>
      </c>
      <c r="Z133">
        <f>D133*I133</f>
        <v>180</v>
      </c>
    </row>
    <row r="134" spans="1:26" x14ac:dyDescent="0.3">
      <c r="A134" s="88" t="s">
        <v>86</v>
      </c>
      <c r="B134" s="89" t="s">
        <v>87</v>
      </c>
      <c r="C134" s="89" t="s">
        <v>12</v>
      </c>
      <c r="D134" s="90">
        <v>60</v>
      </c>
      <c r="E134" s="90">
        <f>D134*3</f>
        <v>180</v>
      </c>
      <c r="F134" s="90">
        <v>589</v>
      </c>
      <c r="G134" s="90">
        <f>F134-E134</f>
        <v>409</v>
      </c>
      <c r="H134" s="90">
        <f>(CleanedDataset!$F142-CleanedDataset!$E142)/CleanedDataset!$F142</f>
        <v>0.55862068965517242</v>
      </c>
      <c r="I134" s="91">
        <v>10</v>
      </c>
      <c r="J134" s="91">
        <f>I134*F134-I134*E134</f>
        <v>4090</v>
      </c>
      <c r="K134" s="91">
        <v>0</v>
      </c>
      <c r="L134" s="91">
        <f>K134*F134-I134*E134</f>
        <v>-1800</v>
      </c>
      <c r="M134" s="91">
        <v>0</v>
      </c>
      <c r="N134" s="91">
        <f>M134*F134-M134*E134</f>
        <v>0</v>
      </c>
      <c r="O134" s="91">
        <v>0</v>
      </c>
      <c r="P134" s="91">
        <f>O134*F134-O134*E134</f>
        <v>0</v>
      </c>
      <c r="Q134" s="91">
        <v>0</v>
      </c>
      <c r="R134" s="91">
        <f>Q134*F134-Q134*E134</f>
        <v>0</v>
      </c>
      <c r="S134" s="91">
        <v>0</v>
      </c>
      <c r="T134" s="91">
        <f>S134*F134-S134*E134</f>
        <v>0</v>
      </c>
      <c r="U134" s="91">
        <v>0</v>
      </c>
      <c r="V134" s="91">
        <f>U134*F134-U134*E134</f>
        <v>0</v>
      </c>
      <c r="W134" s="91">
        <f>SUM(S134,Q134,O134,M134,K134,I134)</f>
        <v>10</v>
      </c>
      <c r="X134" s="90" t="s">
        <v>10</v>
      </c>
      <c r="Y134" s="92">
        <v>90</v>
      </c>
      <c r="Z134">
        <f>D134*I134</f>
        <v>600</v>
      </c>
    </row>
    <row r="135" spans="1:26" x14ac:dyDescent="0.3">
      <c r="A135" s="93" t="s">
        <v>86</v>
      </c>
      <c r="B135" s="94" t="s">
        <v>87</v>
      </c>
      <c r="C135" s="94" t="s">
        <v>9</v>
      </c>
      <c r="D135" s="95">
        <v>60</v>
      </c>
      <c r="E135" s="95">
        <f>D135*2.8</f>
        <v>168</v>
      </c>
      <c r="F135" s="95">
        <v>579</v>
      </c>
      <c r="G135" s="95">
        <f>F135-E135</f>
        <v>411</v>
      </c>
      <c r="H135" s="95">
        <f>(CleanedDataset!$F3-CleanedDataset!$E3)/CleanedDataset!$F3</f>
        <v>0.57999999999999996</v>
      </c>
      <c r="I135" s="96">
        <v>0</v>
      </c>
      <c r="J135" s="96">
        <f>I135*F135-I135*E135</f>
        <v>0</v>
      </c>
      <c r="K135" s="96">
        <v>0</v>
      </c>
      <c r="L135" s="96">
        <f>K135*F135-I135*E135</f>
        <v>0</v>
      </c>
      <c r="M135" s="96">
        <v>0</v>
      </c>
      <c r="N135" s="96">
        <f>M135*F135-M135*E135</f>
        <v>0</v>
      </c>
      <c r="O135" s="96">
        <v>0</v>
      </c>
      <c r="P135" s="96">
        <f>O135*F135-O135*E135</f>
        <v>0</v>
      </c>
      <c r="Q135" s="96">
        <v>12</v>
      </c>
      <c r="R135" s="96">
        <f>Q135*F135-Q135*E135</f>
        <v>4932</v>
      </c>
      <c r="S135" s="96">
        <v>0</v>
      </c>
      <c r="T135" s="96">
        <f>S135*F135-S135*E135</f>
        <v>0</v>
      </c>
      <c r="U135" s="96">
        <v>0</v>
      </c>
      <c r="V135" s="96">
        <f>U135*F135-U135*E135</f>
        <v>0</v>
      </c>
      <c r="W135" s="96">
        <f>SUM(S135,Q135,O135,M135,K135,I135)</f>
        <v>12</v>
      </c>
      <c r="X135" s="95" t="s">
        <v>10</v>
      </c>
      <c r="Y135" s="97">
        <v>96</v>
      </c>
      <c r="Z135">
        <f>D135*I135</f>
        <v>0</v>
      </c>
    </row>
    <row r="136" spans="1:26" x14ac:dyDescent="0.3">
      <c r="A136" s="88" t="s">
        <v>18</v>
      </c>
      <c r="B136" s="89" t="s">
        <v>19</v>
      </c>
      <c r="C136" s="89" t="s">
        <v>20</v>
      </c>
      <c r="D136" s="90">
        <v>35</v>
      </c>
      <c r="E136" s="90">
        <f>D136*3.2</f>
        <v>112</v>
      </c>
      <c r="F136" s="90">
        <v>250</v>
      </c>
      <c r="G136" s="90">
        <f>F136-E136</f>
        <v>138</v>
      </c>
      <c r="H136" s="90">
        <f>(CleanedDataset!$F76-CleanedDataset!$E76)/CleanedDataset!$F76</f>
        <v>-0.2</v>
      </c>
      <c r="I136" s="91">
        <v>26</v>
      </c>
      <c r="J136" s="91">
        <f>I136*F136-I136*E136</f>
        <v>3588</v>
      </c>
      <c r="K136" s="91">
        <v>13</v>
      </c>
      <c r="L136" s="91">
        <f>K136*F136-I136*E136</f>
        <v>338</v>
      </c>
      <c r="M136" s="91">
        <v>0</v>
      </c>
      <c r="N136" s="91">
        <f>M136*F136-M136*E136</f>
        <v>0</v>
      </c>
      <c r="O136" s="91">
        <v>0</v>
      </c>
      <c r="P136" s="91">
        <f>O136*F136-O136*E136</f>
        <v>0</v>
      </c>
      <c r="Q136" s="91">
        <v>0</v>
      </c>
      <c r="R136" s="91">
        <f>Q136*F136-Q136*E136</f>
        <v>0</v>
      </c>
      <c r="S136" s="91">
        <v>0</v>
      </c>
      <c r="T136" s="91">
        <f>S136*F136-S136*E136</f>
        <v>0</v>
      </c>
      <c r="U136" s="91">
        <v>0</v>
      </c>
      <c r="V136" s="91">
        <f>U136*F136-U136*E136</f>
        <v>0</v>
      </c>
      <c r="W136" s="91">
        <f>SUM(S136,Q136,O136,M136,K136,I136)</f>
        <v>39</v>
      </c>
      <c r="X136" s="90" t="s">
        <v>10</v>
      </c>
      <c r="Y136" s="92">
        <v>95</v>
      </c>
      <c r="Z136">
        <f>D136*I136</f>
        <v>910</v>
      </c>
    </row>
    <row r="137" spans="1:26" x14ac:dyDescent="0.3">
      <c r="A137" s="93" t="s">
        <v>18</v>
      </c>
      <c r="B137" s="94" t="s">
        <v>19</v>
      </c>
      <c r="C137" s="94" t="s">
        <v>21</v>
      </c>
      <c r="D137" s="95">
        <v>35</v>
      </c>
      <c r="E137" s="95">
        <f>D137*3.2</f>
        <v>112</v>
      </c>
      <c r="F137" s="95">
        <v>250</v>
      </c>
      <c r="G137" s="95">
        <f>F137-E137</f>
        <v>138</v>
      </c>
      <c r="H137" s="95">
        <f>(CleanedDataset!$F83-CleanedDataset!$E83)/CleanedDataset!$F83</f>
        <v>0.56000000000000005</v>
      </c>
      <c r="I137" s="96">
        <v>135</v>
      </c>
      <c r="J137" s="96">
        <f>I137*F137-I137*E137</f>
        <v>18630</v>
      </c>
      <c r="K137" s="96">
        <v>78</v>
      </c>
      <c r="L137" s="96">
        <f>K137*F137-I137*E137</f>
        <v>4380</v>
      </c>
      <c r="M137" s="96">
        <v>0</v>
      </c>
      <c r="N137" s="96">
        <f>M137*F137-M137*E137</f>
        <v>0</v>
      </c>
      <c r="O137" s="96">
        <v>0</v>
      </c>
      <c r="P137" s="96">
        <f>O137*F137-O137*E137</f>
        <v>0</v>
      </c>
      <c r="Q137" s="96">
        <v>0</v>
      </c>
      <c r="R137" s="96">
        <f>Q137*F137-Q137*E137</f>
        <v>0</v>
      </c>
      <c r="S137" s="96">
        <v>0</v>
      </c>
      <c r="T137" s="96">
        <f>S137*F137-S137*E137</f>
        <v>0</v>
      </c>
      <c r="U137" s="96">
        <v>0</v>
      </c>
      <c r="V137" s="96">
        <f>U137*F137-U137*E137</f>
        <v>0</v>
      </c>
      <c r="W137" s="96">
        <f>SUM(S137,Q137,O137,M137,K137,I137)</f>
        <v>213</v>
      </c>
      <c r="X137" s="95" t="s">
        <v>10</v>
      </c>
      <c r="Y137" s="97">
        <v>95</v>
      </c>
      <c r="Z137">
        <f>D137*I137</f>
        <v>4725</v>
      </c>
    </row>
    <row r="138" spans="1:26" x14ac:dyDescent="0.3">
      <c r="A138" s="88" t="s">
        <v>18</v>
      </c>
      <c r="B138" s="89" t="s">
        <v>19</v>
      </c>
      <c r="C138" s="89" t="s">
        <v>22</v>
      </c>
      <c r="D138" s="90">
        <v>35</v>
      </c>
      <c r="E138" s="90">
        <f>D138*3.2</f>
        <v>112</v>
      </c>
      <c r="F138" s="90">
        <v>250</v>
      </c>
      <c r="G138" s="90">
        <f>F138-E138</f>
        <v>138</v>
      </c>
      <c r="H138" s="90">
        <f>(CleanedDataset!$F98-CleanedDataset!$E98)/CleanedDataset!$F98</f>
        <v>0</v>
      </c>
      <c r="I138" s="91">
        <v>15</v>
      </c>
      <c r="J138" s="91">
        <f>I138*F138-I138*E138</f>
        <v>2070</v>
      </c>
      <c r="K138" s="91">
        <v>8</v>
      </c>
      <c r="L138" s="91">
        <f>K138*F138-I138*E138</f>
        <v>320</v>
      </c>
      <c r="M138" s="91">
        <v>0</v>
      </c>
      <c r="N138" s="91">
        <f>M138*F138-M138*E138</f>
        <v>0</v>
      </c>
      <c r="O138" s="91">
        <v>0</v>
      </c>
      <c r="P138" s="91">
        <f>O138*F138-O138*E138</f>
        <v>0</v>
      </c>
      <c r="Q138" s="91">
        <v>0</v>
      </c>
      <c r="R138" s="91">
        <f>Q138*F138-Q138*E138</f>
        <v>0</v>
      </c>
      <c r="S138" s="91">
        <v>0</v>
      </c>
      <c r="T138" s="91">
        <f>S138*F138-S138*E138</f>
        <v>0</v>
      </c>
      <c r="U138" s="91">
        <v>0</v>
      </c>
      <c r="V138" s="91">
        <f>U138*F138-U138*E138</f>
        <v>0</v>
      </c>
      <c r="W138" s="91">
        <f>SUM(S138,Q138,O138,M138,K138,I138)</f>
        <v>23</v>
      </c>
      <c r="X138" s="90" t="s">
        <v>10</v>
      </c>
      <c r="Y138" s="92">
        <v>97</v>
      </c>
      <c r="Z138">
        <f>D138*I138</f>
        <v>525</v>
      </c>
    </row>
    <row r="139" spans="1:26" x14ac:dyDescent="0.3">
      <c r="A139" s="93" t="s">
        <v>18</v>
      </c>
      <c r="B139" s="94" t="s">
        <v>19</v>
      </c>
      <c r="C139" s="94" t="s">
        <v>17</v>
      </c>
      <c r="D139" s="95">
        <v>35</v>
      </c>
      <c r="E139" s="95">
        <f>D139*3.2</f>
        <v>112</v>
      </c>
      <c r="F139" s="95">
        <v>250</v>
      </c>
      <c r="G139" s="95">
        <f>F139-E139</f>
        <v>138</v>
      </c>
      <c r="H139" s="95">
        <f>(CleanedDataset!$F125-CleanedDataset!$E125)/CleanedDataset!$F125</f>
        <v>0.61891891891891893</v>
      </c>
      <c r="I139" s="96">
        <v>76</v>
      </c>
      <c r="J139" s="96">
        <f>I139*F139-I139*E139</f>
        <v>10488</v>
      </c>
      <c r="K139" s="96">
        <v>55</v>
      </c>
      <c r="L139" s="96">
        <f>K139*F139-I139*E139</f>
        <v>5238</v>
      </c>
      <c r="M139" s="96">
        <v>0</v>
      </c>
      <c r="N139" s="96">
        <f>M139*F139-M139*E139</f>
        <v>0</v>
      </c>
      <c r="O139" s="96">
        <v>0</v>
      </c>
      <c r="P139" s="96">
        <f>O139*F139-O139*E139</f>
        <v>0</v>
      </c>
      <c r="Q139" s="96">
        <v>0</v>
      </c>
      <c r="R139" s="96">
        <f>Q139*F139-Q139*E139</f>
        <v>0</v>
      </c>
      <c r="S139" s="96">
        <v>0</v>
      </c>
      <c r="T139" s="96">
        <f>S139*F139-S139*E139</f>
        <v>0</v>
      </c>
      <c r="U139" s="96">
        <v>0</v>
      </c>
      <c r="V139" s="96">
        <f>U139*F139-U139*E139</f>
        <v>0</v>
      </c>
      <c r="W139" s="96">
        <f>SUM(S139,Q139,O139,M139,K139,I139)</f>
        <v>131</v>
      </c>
      <c r="X139" s="95" t="s">
        <v>10</v>
      </c>
      <c r="Y139" s="97">
        <v>95</v>
      </c>
      <c r="Z139">
        <f>D139*I139</f>
        <v>2660</v>
      </c>
    </row>
    <row r="140" spans="1:26" x14ac:dyDescent="0.3">
      <c r="A140" s="88" t="s">
        <v>18</v>
      </c>
      <c r="B140" s="89" t="s">
        <v>19</v>
      </c>
      <c r="C140" s="89" t="s">
        <v>12</v>
      </c>
      <c r="D140" s="90">
        <v>35</v>
      </c>
      <c r="E140" s="90">
        <f>D140*3</f>
        <v>105</v>
      </c>
      <c r="F140" s="90">
        <v>250</v>
      </c>
      <c r="G140" s="90">
        <f>F140-E140</f>
        <v>145</v>
      </c>
      <c r="H140" s="90">
        <f>(CleanedDataset!$F156-CleanedDataset!$E156)/CleanedDataset!$F156</f>
        <v>0.36</v>
      </c>
      <c r="I140" s="91">
        <v>230</v>
      </c>
      <c r="J140" s="91">
        <f>I140*F140-I140*E140</f>
        <v>33350</v>
      </c>
      <c r="K140" s="91">
        <v>187</v>
      </c>
      <c r="L140" s="91">
        <f>K140*F140-I140*E140</f>
        <v>22600</v>
      </c>
      <c r="M140" s="91">
        <v>135</v>
      </c>
      <c r="N140" s="91">
        <f>M140*F140-M140*E140</f>
        <v>19575</v>
      </c>
      <c r="O140" s="91">
        <v>87</v>
      </c>
      <c r="P140" s="91">
        <f>O140*F140-O140*E140</f>
        <v>12615</v>
      </c>
      <c r="Q140" s="91">
        <v>53</v>
      </c>
      <c r="R140" s="91">
        <f>Q140*F140-Q140*E140</f>
        <v>7685</v>
      </c>
      <c r="S140" s="91">
        <v>235</v>
      </c>
      <c r="T140" s="91">
        <f>S140*F140-S140*E140</f>
        <v>34075</v>
      </c>
      <c r="U140" s="91">
        <v>200</v>
      </c>
      <c r="V140" s="91">
        <f>U140*F140-U140*E140</f>
        <v>29000</v>
      </c>
      <c r="W140" s="91">
        <f>SUM(S140,Q140,O140,M140,K140,I140)</f>
        <v>927</v>
      </c>
      <c r="X140" s="90" t="s">
        <v>10</v>
      </c>
      <c r="Y140" s="92">
        <v>96</v>
      </c>
      <c r="Z140">
        <f>D140*I140</f>
        <v>8050</v>
      </c>
    </row>
    <row r="141" spans="1:26" x14ac:dyDescent="0.3">
      <c r="A141" s="88" t="s">
        <v>18</v>
      </c>
      <c r="B141" s="89" t="s">
        <v>19</v>
      </c>
      <c r="C141" s="89" t="s">
        <v>9</v>
      </c>
      <c r="D141" s="90">
        <v>35</v>
      </c>
      <c r="E141" s="90">
        <f>D141*2.8</f>
        <v>98</v>
      </c>
      <c r="F141" s="90">
        <v>185</v>
      </c>
      <c r="G141" s="90">
        <f>F141-E141</f>
        <v>87</v>
      </c>
      <c r="H141" s="90">
        <f>(CleanedDataset!$F42-CleanedDataset!$E42)/CleanedDataset!$F42</f>
        <v>0.83529411764705885</v>
      </c>
      <c r="I141" s="91">
        <v>112</v>
      </c>
      <c r="J141" s="91">
        <f>I141*F141-I141*E141</f>
        <v>9744</v>
      </c>
      <c r="K141" s="91">
        <v>98</v>
      </c>
      <c r="L141" s="91">
        <f>K141*F141-I141*E141</f>
        <v>7154</v>
      </c>
      <c r="M141" s="91">
        <v>92</v>
      </c>
      <c r="N141" s="91">
        <f>M141*F141-M141*E141</f>
        <v>8004</v>
      </c>
      <c r="O141" s="91">
        <v>235</v>
      </c>
      <c r="P141" s="91">
        <f>O141*F141-O141*E141</f>
        <v>20445</v>
      </c>
      <c r="Q141" s="91">
        <v>176</v>
      </c>
      <c r="R141" s="91">
        <f>Q141*F141-Q141*E141</f>
        <v>15312</v>
      </c>
      <c r="S141" s="91">
        <v>88</v>
      </c>
      <c r="T141" s="91">
        <f>S141*F141-S141*E141</f>
        <v>7656</v>
      </c>
      <c r="U141" s="91">
        <v>28</v>
      </c>
      <c r="V141" s="91">
        <f>U141*F141-U141*E141</f>
        <v>2436</v>
      </c>
      <c r="W141" s="91">
        <f>SUM(S141,Q141,O141,M141,K141,I141)</f>
        <v>801</v>
      </c>
      <c r="X141" s="90" t="s">
        <v>10</v>
      </c>
      <c r="Y141" s="92">
        <v>97</v>
      </c>
      <c r="Z141">
        <f>D141*I141</f>
        <v>3920</v>
      </c>
    </row>
    <row r="142" spans="1:26" x14ac:dyDescent="0.3">
      <c r="A142" s="93" t="s">
        <v>88</v>
      </c>
      <c r="B142" s="94" t="s">
        <v>89</v>
      </c>
      <c r="C142" s="94" t="s">
        <v>21</v>
      </c>
      <c r="D142" s="95">
        <v>40</v>
      </c>
      <c r="E142" s="95">
        <f>D142*3.2</f>
        <v>128</v>
      </c>
      <c r="F142" s="95">
        <v>290</v>
      </c>
      <c r="G142" s="95">
        <f>F142-E142</f>
        <v>162</v>
      </c>
      <c r="H142" s="95">
        <f>(CleanedDataset!$F77-CleanedDataset!$E77)/CleanedDataset!$F77</f>
        <v>-0.30666666666666653</v>
      </c>
      <c r="I142" s="96">
        <v>0</v>
      </c>
      <c r="J142" s="96">
        <f>I142*F142-I142*E142</f>
        <v>0</v>
      </c>
      <c r="K142" s="96">
        <v>1</v>
      </c>
      <c r="L142" s="96">
        <f>K142*F142-I142*E142</f>
        <v>290</v>
      </c>
      <c r="M142" s="96">
        <v>0</v>
      </c>
      <c r="N142" s="96">
        <f>M142*F142-M142*E142</f>
        <v>0</v>
      </c>
      <c r="O142" s="96">
        <v>0</v>
      </c>
      <c r="P142" s="96">
        <f>O142*F142-O142*E142</f>
        <v>0</v>
      </c>
      <c r="Q142" s="96">
        <v>0</v>
      </c>
      <c r="R142" s="96">
        <f>Q142*F142-Q142*E142</f>
        <v>0</v>
      </c>
      <c r="S142" s="96">
        <v>0</v>
      </c>
      <c r="T142" s="96">
        <f>S142*F142-S142*E142</f>
        <v>0</v>
      </c>
      <c r="U142" s="96">
        <v>0</v>
      </c>
      <c r="V142" s="96">
        <f>U142*F142-U142*E142</f>
        <v>0</v>
      </c>
      <c r="W142" s="96">
        <f>SUM(S142,Q142,O142,M142,K142,I142)</f>
        <v>1</v>
      </c>
      <c r="X142" s="95" t="s">
        <v>10</v>
      </c>
      <c r="Y142" s="97">
        <v>90</v>
      </c>
      <c r="Z142">
        <f>D142*I142</f>
        <v>0</v>
      </c>
    </row>
    <row r="143" spans="1:26" x14ac:dyDescent="0.3">
      <c r="A143" s="88" t="s">
        <v>88</v>
      </c>
      <c r="B143" s="89" t="s">
        <v>89</v>
      </c>
      <c r="C143" s="89" t="s">
        <v>38</v>
      </c>
      <c r="D143" s="90">
        <v>40</v>
      </c>
      <c r="E143" s="90">
        <f>D143*3.2</f>
        <v>128</v>
      </c>
      <c r="F143" s="90">
        <v>290</v>
      </c>
      <c r="G143" s="90">
        <f>F143-E143</f>
        <v>162</v>
      </c>
      <c r="H143" s="90">
        <f>(CleanedDataset!$F96-CleanedDataset!$E96)/CleanedDataset!$F96</f>
        <v>0.52941176470588236</v>
      </c>
      <c r="I143" s="91">
        <v>5</v>
      </c>
      <c r="J143" s="91">
        <f>I143*F143-I143*E143</f>
        <v>810</v>
      </c>
      <c r="K143" s="91">
        <v>0</v>
      </c>
      <c r="L143" s="91">
        <f>K143*F143-I143*E143</f>
        <v>-640</v>
      </c>
      <c r="M143" s="91">
        <v>0</v>
      </c>
      <c r="N143" s="91">
        <f>M143*F143-M143*E143</f>
        <v>0</v>
      </c>
      <c r="O143" s="91">
        <v>0</v>
      </c>
      <c r="P143" s="91">
        <f>O143*F143-O143*E143</f>
        <v>0</v>
      </c>
      <c r="Q143" s="91">
        <v>0</v>
      </c>
      <c r="R143" s="91">
        <f>Q143*F143-Q143*E143</f>
        <v>0</v>
      </c>
      <c r="S143" s="91">
        <v>0</v>
      </c>
      <c r="T143" s="91">
        <f>S143*F143-S143*E143</f>
        <v>0</v>
      </c>
      <c r="U143" s="91">
        <v>0</v>
      </c>
      <c r="V143" s="91">
        <f>U143*F143-U143*E143</f>
        <v>0</v>
      </c>
      <c r="W143" s="91">
        <f>SUM(S143,Q143,O143,M143,K143,I143)</f>
        <v>5</v>
      </c>
      <c r="X143" s="90" t="s">
        <v>10</v>
      </c>
      <c r="Y143" s="92">
        <v>95</v>
      </c>
      <c r="Z143">
        <f>D143*I143</f>
        <v>200</v>
      </c>
    </row>
    <row r="144" spans="1:26" x14ac:dyDescent="0.3">
      <c r="A144" s="88" t="s">
        <v>88</v>
      </c>
      <c r="B144" s="89" t="s">
        <v>89</v>
      </c>
      <c r="C144" s="89" t="s">
        <v>17</v>
      </c>
      <c r="D144" s="90">
        <v>40</v>
      </c>
      <c r="E144" s="90">
        <f>D144*3.2</f>
        <v>128</v>
      </c>
      <c r="F144" s="90">
        <v>290</v>
      </c>
      <c r="G144" s="90">
        <f>F144-E144</f>
        <v>162</v>
      </c>
      <c r="H144" s="90">
        <f>(CleanedDataset!$F112-CleanedDataset!$E112)/CleanedDataset!$F112</f>
        <v>0.578125</v>
      </c>
      <c r="I144" s="91">
        <v>5</v>
      </c>
      <c r="J144" s="91">
        <f>I144*F144-I144*E144</f>
        <v>810</v>
      </c>
      <c r="K144" s="91">
        <v>0</v>
      </c>
      <c r="L144" s="91">
        <f>K144*F144-I144*E144</f>
        <v>-640</v>
      </c>
      <c r="M144" s="91">
        <v>0</v>
      </c>
      <c r="N144" s="91">
        <f>M144*F144-M144*E144</f>
        <v>0</v>
      </c>
      <c r="O144" s="91">
        <v>0</v>
      </c>
      <c r="P144" s="91">
        <f>O144*F144-O144*E144</f>
        <v>0</v>
      </c>
      <c r="Q144" s="91">
        <v>0</v>
      </c>
      <c r="R144" s="91">
        <f>Q144*F144-Q144*E144</f>
        <v>0</v>
      </c>
      <c r="S144" s="91">
        <v>0</v>
      </c>
      <c r="T144" s="91">
        <f>S144*F144-S144*E144</f>
        <v>0</v>
      </c>
      <c r="U144" s="91">
        <v>0</v>
      </c>
      <c r="V144" s="91">
        <f>U144*F144-U144*E144</f>
        <v>0</v>
      </c>
      <c r="W144" s="91">
        <f>SUM(S144,Q144,O144,M144,K144,I144)</f>
        <v>5</v>
      </c>
      <c r="X144" s="90" t="s">
        <v>10</v>
      </c>
      <c r="Y144" s="92">
        <v>93</v>
      </c>
      <c r="Z144">
        <f>D144*I144</f>
        <v>200</v>
      </c>
    </row>
    <row r="145" spans="1:26" x14ac:dyDescent="0.3">
      <c r="A145" s="93" t="s">
        <v>88</v>
      </c>
      <c r="B145" s="94" t="s">
        <v>89</v>
      </c>
      <c r="C145" s="94" t="s">
        <v>14</v>
      </c>
      <c r="D145" s="95">
        <v>40</v>
      </c>
      <c r="E145" s="95">
        <f>D145*3</f>
        <v>120</v>
      </c>
      <c r="F145" s="95">
        <v>260</v>
      </c>
      <c r="G145" s="95">
        <f>F145-E145</f>
        <v>140</v>
      </c>
      <c r="H145" s="95">
        <f>(CleanedDataset!$F129-CleanedDataset!$E129)/CleanedDataset!$F129</f>
        <v>0.65490196078431373</v>
      </c>
      <c r="I145" s="96">
        <v>1</v>
      </c>
      <c r="J145" s="96">
        <f>I145*F145-I145*E145</f>
        <v>140</v>
      </c>
      <c r="K145" s="96">
        <v>0</v>
      </c>
      <c r="L145" s="96">
        <f>K145*F145-I145*E145</f>
        <v>-120</v>
      </c>
      <c r="M145" s="96">
        <v>0</v>
      </c>
      <c r="N145" s="96">
        <f>M145*F145-M145*E145</f>
        <v>0</v>
      </c>
      <c r="O145" s="96">
        <v>0</v>
      </c>
      <c r="P145" s="96">
        <f>O145*F145-O145*E145</f>
        <v>0</v>
      </c>
      <c r="Q145" s="96">
        <v>0</v>
      </c>
      <c r="R145" s="96">
        <f>Q145*F145-Q145*E145</f>
        <v>0</v>
      </c>
      <c r="S145" s="96">
        <v>0</v>
      </c>
      <c r="T145" s="96">
        <f>S145*F145-S145*E145</f>
        <v>0</v>
      </c>
      <c r="U145" s="96">
        <v>0</v>
      </c>
      <c r="V145" s="96">
        <f>U145*F145-U145*E145</f>
        <v>0</v>
      </c>
      <c r="W145" s="96">
        <f>SUM(S145,Q145,O145,M145,K145,I145)</f>
        <v>1</v>
      </c>
      <c r="X145" s="95" t="s">
        <v>10</v>
      </c>
      <c r="Y145" s="97">
        <v>92</v>
      </c>
      <c r="Z145">
        <f>D145*I145</f>
        <v>40</v>
      </c>
    </row>
    <row r="146" spans="1:26" x14ac:dyDescent="0.3">
      <c r="A146" s="88" t="s">
        <v>88</v>
      </c>
      <c r="B146" s="89" t="s">
        <v>89</v>
      </c>
      <c r="C146" s="89" t="s">
        <v>9</v>
      </c>
      <c r="D146" s="90">
        <v>40</v>
      </c>
      <c r="E146" s="90">
        <f>D146*2.8</f>
        <v>112</v>
      </c>
      <c r="F146" s="90">
        <v>250</v>
      </c>
      <c r="G146" s="90">
        <f>F146-E146</f>
        <v>138</v>
      </c>
      <c r="H146" s="90">
        <f>(CleanedDataset!$F8-CleanedDataset!$E8)/CleanedDataset!$F8</f>
        <v>0.65090909090909088</v>
      </c>
      <c r="I146" s="91">
        <v>5</v>
      </c>
      <c r="J146" s="91">
        <f>I146*F146-I146*E146</f>
        <v>690</v>
      </c>
      <c r="K146" s="91">
        <v>0</v>
      </c>
      <c r="L146" s="91">
        <f>K146*F146-I146*E146</f>
        <v>-560</v>
      </c>
      <c r="M146" s="91">
        <v>0</v>
      </c>
      <c r="N146" s="91">
        <f>M146*F146-M146*E146</f>
        <v>0</v>
      </c>
      <c r="O146" s="91">
        <v>2</v>
      </c>
      <c r="P146" s="91">
        <f>O146*F146-O146*E146</f>
        <v>276</v>
      </c>
      <c r="Q146" s="91">
        <v>52</v>
      </c>
      <c r="R146" s="91">
        <f>Q146*F146-Q146*E146</f>
        <v>7176</v>
      </c>
      <c r="S146" s="91">
        <v>0</v>
      </c>
      <c r="T146" s="91">
        <f>S146*F146-S146*E146</f>
        <v>0</v>
      </c>
      <c r="U146" s="91">
        <v>0</v>
      </c>
      <c r="V146" s="91">
        <f>U146*F146-U146*E146</f>
        <v>0</v>
      </c>
      <c r="W146" s="91">
        <f>SUM(S146,Q146,O146,M146,K146,I146)</f>
        <v>59</v>
      </c>
      <c r="X146" s="90" t="s">
        <v>10</v>
      </c>
      <c r="Y146" s="92">
        <v>95</v>
      </c>
      <c r="Z146">
        <f>D146*I146</f>
        <v>200</v>
      </c>
    </row>
    <row r="147" spans="1:26" x14ac:dyDescent="0.3">
      <c r="A147" s="88" t="s">
        <v>90</v>
      </c>
      <c r="B147" s="89" t="s">
        <v>91</v>
      </c>
      <c r="C147" s="89" t="s">
        <v>38</v>
      </c>
      <c r="D147" s="90">
        <v>47</v>
      </c>
      <c r="E147" s="90">
        <f>D147*3.2</f>
        <v>150.4</v>
      </c>
      <c r="F147" s="90">
        <v>370</v>
      </c>
      <c r="G147" s="90">
        <f>F147-E147</f>
        <v>219.6</v>
      </c>
      <c r="H147" s="90">
        <f>(CleanedDataset!$F90-CleanedDataset!$E90)/CleanedDataset!$F90</f>
        <v>0.46666666666666667</v>
      </c>
      <c r="I147" s="91">
        <v>0</v>
      </c>
      <c r="J147" s="91">
        <f>I147*F147-I147*E147</f>
        <v>0</v>
      </c>
      <c r="K147" s="91">
        <v>1</v>
      </c>
      <c r="L147" s="91">
        <f>K147*F147-I147*E147</f>
        <v>370</v>
      </c>
      <c r="M147" s="91">
        <v>0</v>
      </c>
      <c r="N147" s="91">
        <f>M147*F147-M147*E147</f>
        <v>0</v>
      </c>
      <c r="O147" s="91">
        <v>0</v>
      </c>
      <c r="P147" s="91">
        <f>O147*F147-O147*E147</f>
        <v>0</v>
      </c>
      <c r="Q147" s="91">
        <v>0</v>
      </c>
      <c r="R147" s="91">
        <f>Q147*F147-Q147*E147</f>
        <v>0</v>
      </c>
      <c r="S147" s="91">
        <v>0</v>
      </c>
      <c r="T147" s="91">
        <f>S147*F147-S147*E147</f>
        <v>0</v>
      </c>
      <c r="U147" s="91">
        <v>0</v>
      </c>
      <c r="V147" s="91">
        <f>U147*F147-U147*E147</f>
        <v>0</v>
      </c>
      <c r="W147" s="91">
        <f>SUM(S147,Q147,O147,M147,K147,I147)</f>
        <v>1</v>
      </c>
      <c r="X147" s="90" t="s">
        <v>10</v>
      </c>
      <c r="Y147" s="92">
        <v>93</v>
      </c>
      <c r="Z147">
        <f>D147*I147</f>
        <v>0</v>
      </c>
    </row>
    <row r="148" spans="1:26" x14ac:dyDescent="0.3">
      <c r="A148" s="93" t="s">
        <v>90</v>
      </c>
      <c r="B148" s="94" t="s">
        <v>91</v>
      </c>
      <c r="C148" s="94" t="s">
        <v>17</v>
      </c>
      <c r="D148" s="95">
        <v>47</v>
      </c>
      <c r="E148" s="95">
        <f>D148*3.2</f>
        <v>150.4</v>
      </c>
      <c r="F148" s="95">
        <v>370</v>
      </c>
      <c r="G148" s="95">
        <f>F148-E148</f>
        <v>219.6</v>
      </c>
      <c r="H148" s="95">
        <f>(CleanedDataset!$F105-CleanedDataset!$E105)/CleanedDataset!$F105</f>
        <v>0.5</v>
      </c>
      <c r="I148" s="96">
        <v>1</v>
      </c>
      <c r="J148" s="96">
        <f>I148*F148-I148*E148</f>
        <v>219.6</v>
      </c>
      <c r="K148" s="96">
        <v>0</v>
      </c>
      <c r="L148" s="96">
        <f>K148*F148-I148*E148</f>
        <v>-150.4</v>
      </c>
      <c r="M148" s="96">
        <v>0</v>
      </c>
      <c r="N148" s="96">
        <f>M148*F148-M148*E148</f>
        <v>0</v>
      </c>
      <c r="O148" s="96">
        <v>0</v>
      </c>
      <c r="P148" s="96">
        <f>O148*F148-O148*E148</f>
        <v>0</v>
      </c>
      <c r="Q148" s="96">
        <v>0</v>
      </c>
      <c r="R148" s="96">
        <f>Q148*F148-Q148*E148</f>
        <v>0</v>
      </c>
      <c r="S148" s="96">
        <v>0</v>
      </c>
      <c r="T148" s="96">
        <f>S148*F148-S148*E148</f>
        <v>0</v>
      </c>
      <c r="U148" s="96">
        <v>0</v>
      </c>
      <c r="V148" s="96">
        <f>U148*F148-U148*E148</f>
        <v>0</v>
      </c>
      <c r="W148" s="96">
        <f>SUM(S148,Q148,O148,M148,K148,I148)</f>
        <v>1</v>
      </c>
      <c r="X148" s="95" t="s">
        <v>10</v>
      </c>
      <c r="Y148" s="97">
        <v>99</v>
      </c>
      <c r="Z148">
        <f>D148*I148</f>
        <v>47</v>
      </c>
    </row>
    <row r="149" spans="1:26" x14ac:dyDescent="0.3">
      <c r="A149" s="93" t="s">
        <v>90</v>
      </c>
      <c r="B149" s="94" t="s">
        <v>91</v>
      </c>
      <c r="C149" s="94" t="s">
        <v>12</v>
      </c>
      <c r="D149" s="95">
        <v>47</v>
      </c>
      <c r="E149" s="95">
        <f>D149*3</f>
        <v>141</v>
      </c>
      <c r="F149" s="95">
        <v>340</v>
      </c>
      <c r="G149" s="95">
        <f>F149-E149</f>
        <v>199</v>
      </c>
      <c r="H149" s="95">
        <f>(CleanedDataset!$F135-CleanedDataset!$E135)/CleanedDataset!$F135</f>
        <v>0.7098445595854922</v>
      </c>
      <c r="I149" s="96">
        <v>1</v>
      </c>
      <c r="J149" s="96">
        <f>I149*F149-I149*E149</f>
        <v>199</v>
      </c>
      <c r="K149" s="96">
        <v>0</v>
      </c>
      <c r="L149" s="96">
        <f>K149*F149-I149*E149</f>
        <v>-141</v>
      </c>
      <c r="M149" s="96">
        <v>0</v>
      </c>
      <c r="N149" s="96">
        <f>M149*F149-M149*E149</f>
        <v>0</v>
      </c>
      <c r="O149" s="96">
        <v>0</v>
      </c>
      <c r="P149" s="96">
        <f>O149*F149-O149*E149</f>
        <v>0</v>
      </c>
      <c r="Q149" s="96">
        <v>0</v>
      </c>
      <c r="R149" s="96">
        <f>Q149*F149-Q149*E149</f>
        <v>0</v>
      </c>
      <c r="S149" s="96">
        <v>0</v>
      </c>
      <c r="T149" s="96">
        <f>S149*F149-S149*E149</f>
        <v>0</v>
      </c>
      <c r="U149" s="96">
        <v>0</v>
      </c>
      <c r="V149" s="96">
        <f>U149*F149-U149*E149</f>
        <v>0</v>
      </c>
      <c r="W149" s="96">
        <f>SUM(S149,Q149,O149,M149,K149,I149)</f>
        <v>1</v>
      </c>
      <c r="X149" s="95" t="s">
        <v>10</v>
      </c>
      <c r="Y149" s="97">
        <v>91</v>
      </c>
      <c r="Z149">
        <f>D149*I149</f>
        <v>47</v>
      </c>
    </row>
    <row r="150" spans="1:26" x14ac:dyDescent="0.3">
      <c r="A150" s="88" t="s">
        <v>90</v>
      </c>
      <c r="B150" s="89" t="s">
        <v>91</v>
      </c>
      <c r="C150" s="89" t="s">
        <v>9</v>
      </c>
      <c r="D150" s="90">
        <v>47</v>
      </c>
      <c r="E150" s="90">
        <f>D150*2.8</f>
        <v>131.6</v>
      </c>
      <c r="F150" s="90">
        <v>315</v>
      </c>
      <c r="G150" s="90">
        <f>F150-E150</f>
        <v>183.4</v>
      </c>
      <c r="H150" s="90">
        <f>(CleanedDataset!$F4-CleanedDataset!$E4)/CleanedDataset!$F4</f>
        <v>0.62666666666666671</v>
      </c>
      <c r="I150" s="91">
        <v>0</v>
      </c>
      <c r="J150" s="91">
        <f>I150*F150-I150*E150</f>
        <v>0</v>
      </c>
      <c r="K150" s="91">
        <v>0</v>
      </c>
      <c r="L150" s="91">
        <f>K150*F150-I150*E150</f>
        <v>0</v>
      </c>
      <c r="M150" s="91">
        <v>0</v>
      </c>
      <c r="N150" s="91">
        <f>M150*F150-M150*E150</f>
        <v>0</v>
      </c>
      <c r="O150" s="91">
        <v>1</v>
      </c>
      <c r="P150" s="91">
        <f>O150*F150-O150*E150</f>
        <v>183.4</v>
      </c>
      <c r="Q150" s="91">
        <v>0</v>
      </c>
      <c r="R150" s="91">
        <f>Q150*F150-Q150*E150</f>
        <v>0</v>
      </c>
      <c r="S150" s="91">
        <v>0</v>
      </c>
      <c r="T150" s="91">
        <f>S150*F150-S150*E150</f>
        <v>0</v>
      </c>
      <c r="U150" s="91">
        <v>0</v>
      </c>
      <c r="V150" s="91">
        <f>U150*F150-U150*E150</f>
        <v>0</v>
      </c>
      <c r="W150" s="91">
        <f>SUM(S150,Q150,O150,M150,K150,I150)</f>
        <v>1</v>
      </c>
      <c r="X150" s="90" t="s">
        <v>10</v>
      </c>
      <c r="Y150" s="92">
        <v>93</v>
      </c>
      <c r="Z150">
        <f>D150*I150</f>
        <v>0</v>
      </c>
    </row>
    <row r="151" spans="1:26" x14ac:dyDescent="0.3">
      <c r="A151" s="93" t="s">
        <v>92</v>
      </c>
      <c r="B151" s="94" t="s">
        <v>93</v>
      </c>
      <c r="C151" s="94" t="s">
        <v>38</v>
      </c>
      <c r="D151" s="95">
        <v>55</v>
      </c>
      <c r="E151" s="95">
        <f>D151*3.2</f>
        <v>176</v>
      </c>
      <c r="F151" s="95">
        <v>500</v>
      </c>
      <c r="G151" s="95">
        <f>F151-E151</f>
        <v>324</v>
      </c>
      <c r="H151" s="95">
        <f>(CleanedDataset!$F91-CleanedDataset!$E91)/CleanedDataset!$F91</f>
        <v>0.5</v>
      </c>
      <c r="I151" s="96">
        <v>0</v>
      </c>
      <c r="J151" s="96">
        <f>I151*F151-I151*E151</f>
        <v>0</v>
      </c>
      <c r="K151" s="96">
        <v>1</v>
      </c>
      <c r="L151" s="96">
        <f>K151*F151-I151*E151</f>
        <v>500</v>
      </c>
      <c r="M151" s="96">
        <v>0</v>
      </c>
      <c r="N151" s="96">
        <f>M151*F151-M151*E151</f>
        <v>0</v>
      </c>
      <c r="O151" s="96">
        <v>0</v>
      </c>
      <c r="P151" s="96">
        <f>O151*F151-O151*E151</f>
        <v>0</v>
      </c>
      <c r="Q151" s="96">
        <v>0</v>
      </c>
      <c r="R151" s="96">
        <f>Q151*F151-Q151*E151</f>
        <v>0</v>
      </c>
      <c r="S151" s="96">
        <v>0</v>
      </c>
      <c r="T151" s="96">
        <f>S151*F151-S151*E151</f>
        <v>0</v>
      </c>
      <c r="U151" s="96">
        <v>0</v>
      </c>
      <c r="V151" s="96">
        <f>U151*F151-U151*E151</f>
        <v>0</v>
      </c>
      <c r="W151" s="96">
        <f>SUM(S151,Q151,O151,M151,K151,I151)</f>
        <v>1</v>
      </c>
      <c r="X151" s="95" t="s">
        <v>10</v>
      </c>
      <c r="Y151" s="97">
        <v>93</v>
      </c>
      <c r="Z151">
        <f>D151*I151</f>
        <v>0</v>
      </c>
    </row>
    <row r="152" spans="1:26" x14ac:dyDescent="0.3">
      <c r="A152" s="88" t="s">
        <v>92</v>
      </c>
      <c r="B152" s="89" t="s">
        <v>93</v>
      </c>
      <c r="C152" s="89" t="s">
        <v>17</v>
      </c>
      <c r="D152" s="90">
        <v>55</v>
      </c>
      <c r="E152" s="90">
        <f>D152*3.2</f>
        <v>176</v>
      </c>
      <c r="F152" s="90">
        <v>500</v>
      </c>
      <c r="G152" s="90">
        <f>F152-E152</f>
        <v>324</v>
      </c>
      <c r="H152" s="90">
        <f>(CleanedDataset!$F106-CleanedDataset!$E106)/CleanedDataset!$F106</f>
        <v>0.4</v>
      </c>
      <c r="I152" s="91">
        <v>1</v>
      </c>
      <c r="J152" s="91">
        <f>I152*F152-I152*E152</f>
        <v>324</v>
      </c>
      <c r="K152" s="91">
        <v>0</v>
      </c>
      <c r="L152" s="91">
        <f>K152*F152-I152*E152</f>
        <v>-176</v>
      </c>
      <c r="M152" s="91">
        <v>0</v>
      </c>
      <c r="N152" s="91">
        <f>M152*F152-M152*E152</f>
        <v>0</v>
      </c>
      <c r="O152" s="91">
        <v>0</v>
      </c>
      <c r="P152" s="91">
        <f>O152*F152-O152*E152</f>
        <v>0</v>
      </c>
      <c r="Q152" s="91">
        <v>0</v>
      </c>
      <c r="R152" s="91">
        <f>Q152*F152-Q152*E152</f>
        <v>0</v>
      </c>
      <c r="S152" s="91">
        <v>0</v>
      </c>
      <c r="T152" s="91">
        <f>S152*F152-S152*E152</f>
        <v>0</v>
      </c>
      <c r="U152" s="91">
        <v>0</v>
      </c>
      <c r="V152" s="91">
        <f>U152*F152-U152*E152</f>
        <v>0</v>
      </c>
      <c r="W152" s="91">
        <f>SUM(S152,Q152,O152,M152,K152,I152)</f>
        <v>1</v>
      </c>
      <c r="X152" s="90" t="s">
        <v>10</v>
      </c>
      <c r="Y152" s="92">
        <v>100</v>
      </c>
      <c r="Z152">
        <f>D152*I152</f>
        <v>55</v>
      </c>
    </row>
    <row r="153" spans="1:26" x14ac:dyDescent="0.3">
      <c r="A153" s="88" t="s">
        <v>92</v>
      </c>
      <c r="B153" s="89" t="s">
        <v>93</v>
      </c>
      <c r="C153" s="89" t="s">
        <v>12</v>
      </c>
      <c r="D153" s="90">
        <v>55</v>
      </c>
      <c r="E153" s="90">
        <f>D153*3</f>
        <v>165</v>
      </c>
      <c r="F153" s="90">
        <v>470</v>
      </c>
      <c r="G153" s="90">
        <f>F153-E153</f>
        <v>305</v>
      </c>
      <c r="H153" s="90">
        <f>(CleanedDataset!$F136-CleanedDataset!$E136)/CleanedDataset!$F136</f>
        <v>0.55200000000000005</v>
      </c>
      <c r="I153" s="91">
        <v>2</v>
      </c>
      <c r="J153" s="91">
        <f>I153*F153-I153*E153</f>
        <v>610</v>
      </c>
      <c r="K153" s="91">
        <v>0</v>
      </c>
      <c r="L153" s="91">
        <f>K153*F153-I153*E153</f>
        <v>-330</v>
      </c>
      <c r="M153" s="91">
        <v>0</v>
      </c>
      <c r="N153" s="91">
        <f>M153*F153-M153*E153</f>
        <v>0</v>
      </c>
      <c r="O153" s="91">
        <v>0</v>
      </c>
      <c r="P153" s="91">
        <f>O153*F153-O153*E153</f>
        <v>0</v>
      </c>
      <c r="Q153" s="91">
        <v>0</v>
      </c>
      <c r="R153" s="91">
        <f>Q153*F153-Q153*E153</f>
        <v>0</v>
      </c>
      <c r="S153" s="91">
        <v>0</v>
      </c>
      <c r="T153" s="91">
        <f>S153*F153-S153*E153</f>
        <v>0</v>
      </c>
      <c r="U153" s="91">
        <v>0</v>
      </c>
      <c r="V153" s="91">
        <f>U153*F153-U153*E153</f>
        <v>0</v>
      </c>
      <c r="W153" s="91">
        <f>SUM(S153,Q153,O153,M153,K153,I153)</f>
        <v>2</v>
      </c>
      <c r="X153" s="90" t="s">
        <v>10</v>
      </c>
      <c r="Y153" s="92">
        <v>96</v>
      </c>
      <c r="Z153">
        <f>D153*I153</f>
        <v>110</v>
      </c>
    </row>
    <row r="154" spans="1:26" x14ac:dyDescent="0.3">
      <c r="A154" s="88" t="s">
        <v>92</v>
      </c>
      <c r="B154" s="89" t="s">
        <v>93</v>
      </c>
      <c r="C154" s="89" t="s">
        <v>9</v>
      </c>
      <c r="D154" s="90">
        <v>55</v>
      </c>
      <c r="E154" s="90">
        <f>D154*2.8</f>
        <v>154</v>
      </c>
      <c r="F154" s="90">
        <v>450</v>
      </c>
      <c r="G154" s="90">
        <f>F154-E154</f>
        <v>296</v>
      </c>
      <c r="H154" s="90">
        <f>(CleanedDataset!$F10-CleanedDataset!$E10)/CleanedDataset!$F10</f>
        <v>0.58000000000000007</v>
      </c>
      <c r="I154" s="91">
        <v>7</v>
      </c>
      <c r="J154" s="91">
        <f>I154*F154-I154*E154</f>
        <v>2072</v>
      </c>
      <c r="K154" s="91">
        <v>2</v>
      </c>
      <c r="L154" s="91">
        <f>K154*F154-I154*E154</f>
        <v>-178</v>
      </c>
      <c r="M154" s="91">
        <v>3</v>
      </c>
      <c r="N154" s="91">
        <f>M154*F154-M154*E154</f>
        <v>888</v>
      </c>
      <c r="O154" s="91">
        <v>1</v>
      </c>
      <c r="P154" s="91">
        <f>O154*F154-O154*E154</f>
        <v>296</v>
      </c>
      <c r="Q154" s="91">
        <v>8</v>
      </c>
      <c r="R154" s="91">
        <f>Q154*F154-Q154*E154</f>
        <v>2368</v>
      </c>
      <c r="S154" s="91">
        <v>0</v>
      </c>
      <c r="T154" s="91">
        <f>S154*F154-S154*E154</f>
        <v>0</v>
      </c>
      <c r="U154" s="91">
        <v>0</v>
      </c>
      <c r="V154" s="91">
        <f>U154*F154-U154*E154</f>
        <v>0</v>
      </c>
      <c r="W154" s="91">
        <f>SUM(S154,Q154,O154,M154,K154,I154)</f>
        <v>21</v>
      </c>
      <c r="X154" s="90" t="s">
        <v>10</v>
      </c>
      <c r="Y154" s="92">
        <v>95</v>
      </c>
      <c r="Z154">
        <f>D154*I154</f>
        <v>385</v>
      </c>
    </row>
    <row r="155" spans="1:26" x14ac:dyDescent="0.3">
      <c r="A155" s="88" t="s">
        <v>142</v>
      </c>
      <c r="B155" s="89" t="s">
        <v>143</v>
      </c>
      <c r="C155" s="100" t="s">
        <v>9</v>
      </c>
      <c r="D155" s="90">
        <v>40</v>
      </c>
      <c r="E155" s="90">
        <f>D155*2.8</f>
        <v>112</v>
      </c>
      <c r="F155" s="90">
        <v>450</v>
      </c>
      <c r="G155" s="90">
        <f>F155-E155</f>
        <v>338</v>
      </c>
      <c r="H155" s="90">
        <f>(CleanedDataset!$F54-CleanedDataset!$E54)/CleanedDataset!$F54</f>
        <v>0.67919799498746869</v>
      </c>
      <c r="I155" s="91">
        <v>487</v>
      </c>
      <c r="J155" s="91">
        <f>I155*F155-I155*E155</f>
        <v>164606</v>
      </c>
      <c r="K155" s="91">
        <v>450</v>
      </c>
      <c r="L155" s="91">
        <f>K155*F155-I155*E155</f>
        <v>147956</v>
      </c>
      <c r="M155" s="91">
        <v>954</v>
      </c>
      <c r="N155" s="91">
        <f>M155*F155-M155*E155</f>
        <v>322452</v>
      </c>
      <c r="O155" s="91">
        <v>25</v>
      </c>
      <c r="P155" s="91">
        <f>O155*F155-O155*E155</f>
        <v>8450</v>
      </c>
      <c r="Q155" s="91">
        <v>0</v>
      </c>
      <c r="R155" s="91">
        <f>Q155*F155-Q155*E155</f>
        <v>0</v>
      </c>
      <c r="S155" s="91">
        <v>0</v>
      </c>
      <c r="T155" s="91">
        <f>S155*F155-S155*E155</f>
        <v>0</v>
      </c>
      <c r="U155" s="91">
        <v>0</v>
      </c>
      <c r="V155" s="91">
        <f>U155*F155-U155*E155</f>
        <v>0</v>
      </c>
      <c r="W155" s="91">
        <f>SUM(S155,Q155,O155,M155,K155,I155)</f>
        <v>1916</v>
      </c>
      <c r="X155" s="90" t="s">
        <v>144</v>
      </c>
      <c r="Y155" s="92">
        <v>90</v>
      </c>
      <c r="Z155">
        <f>D155*I155</f>
        <v>19480</v>
      </c>
    </row>
    <row r="156" spans="1:26" x14ac:dyDescent="0.3">
      <c r="A156" s="93" t="s">
        <v>52</v>
      </c>
      <c r="B156" s="98" t="s">
        <v>53</v>
      </c>
      <c r="C156" s="98" t="s">
        <v>21</v>
      </c>
      <c r="D156" s="95">
        <v>30</v>
      </c>
      <c r="E156" s="95">
        <f>D156*3.2</f>
        <v>96</v>
      </c>
      <c r="F156" s="95">
        <v>150</v>
      </c>
      <c r="G156" s="95">
        <f>F156-E156</f>
        <v>54</v>
      </c>
      <c r="H156" s="95">
        <f>(CleanedDataset!$F79-CleanedDataset!$E79)/CleanedDataset!$F79</f>
        <v>-0.25263157894736826</v>
      </c>
      <c r="I156" s="96">
        <v>26</v>
      </c>
      <c r="J156" s="96">
        <f>I156*F156-I156*E156</f>
        <v>1404</v>
      </c>
      <c r="K156" s="96">
        <v>25</v>
      </c>
      <c r="L156" s="96">
        <f>K156*F156-I156*E156</f>
        <v>1254</v>
      </c>
      <c r="M156" s="96">
        <v>0</v>
      </c>
      <c r="N156" s="96">
        <f>M156*F156-M156*E156</f>
        <v>0</v>
      </c>
      <c r="O156" s="96">
        <v>0</v>
      </c>
      <c r="P156" s="96">
        <f>O156*F156-O156*E156</f>
        <v>0</v>
      </c>
      <c r="Q156" s="96">
        <v>0</v>
      </c>
      <c r="R156" s="96">
        <f>Q156*F156-Q156*E156</f>
        <v>0</v>
      </c>
      <c r="S156" s="96">
        <v>0</v>
      </c>
      <c r="T156" s="96">
        <f>S156*F156-S156*E156</f>
        <v>0</v>
      </c>
      <c r="U156" s="96">
        <v>0</v>
      </c>
      <c r="V156" s="96">
        <f>U156*F156-U156*E156</f>
        <v>0</v>
      </c>
      <c r="W156" s="96">
        <f>SUM(S156,Q156,O156,M156,K156,I156)</f>
        <v>51</v>
      </c>
      <c r="X156" s="95" t="s">
        <v>10</v>
      </c>
      <c r="Y156" s="97">
        <v>100</v>
      </c>
      <c r="Z156">
        <f>D156*I156</f>
        <v>780</v>
      </c>
    </row>
    <row r="157" spans="1:26" x14ac:dyDescent="0.3">
      <c r="A157" s="88" t="s">
        <v>52</v>
      </c>
      <c r="B157" s="100" t="s">
        <v>53</v>
      </c>
      <c r="C157" s="100" t="s">
        <v>43</v>
      </c>
      <c r="D157" s="90">
        <v>30</v>
      </c>
      <c r="E157" s="90">
        <f>D157*3</f>
        <v>90</v>
      </c>
      <c r="F157" s="90">
        <v>120</v>
      </c>
      <c r="G157" s="90">
        <f>F157-E157</f>
        <v>30</v>
      </c>
      <c r="H157" s="90">
        <f>(CleanedDataset!$F74-CleanedDataset!$E74)/CleanedDataset!$F74</f>
        <v>0.80588235294117649</v>
      </c>
      <c r="I157" s="91">
        <v>8</v>
      </c>
      <c r="J157" s="91">
        <f>I157*F157-I157*E157</f>
        <v>240</v>
      </c>
      <c r="K157" s="91">
        <v>0</v>
      </c>
      <c r="L157" s="91">
        <f>K157*F157-I157*E157</f>
        <v>-720</v>
      </c>
      <c r="M157" s="91">
        <v>0</v>
      </c>
      <c r="N157" s="91">
        <f>M157*F157-M157*E157</f>
        <v>0</v>
      </c>
      <c r="O157" s="91">
        <v>0</v>
      </c>
      <c r="P157" s="91">
        <f>O157*F157-O157*E157</f>
        <v>0</v>
      </c>
      <c r="Q157" s="91">
        <v>0</v>
      </c>
      <c r="R157" s="91">
        <f>Q157*F157-Q157*E157</f>
        <v>0</v>
      </c>
      <c r="S157" s="91">
        <v>0</v>
      </c>
      <c r="T157" s="91">
        <f>S157*F157-S157*E157</f>
        <v>0</v>
      </c>
      <c r="U157" s="91">
        <v>0</v>
      </c>
      <c r="V157" s="91">
        <f>U157*F157-U157*E157</f>
        <v>0</v>
      </c>
      <c r="W157" s="91">
        <f>SUM(S157,Q157,O157,M157,K157,I157)</f>
        <v>8</v>
      </c>
      <c r="X157" s="90" t="s">
        <v>10</v>
      </c>
      <c r="Y157" s="92">
        <v>97</v>
      </c>
      <c r="Z157">
        <f>D157*I157</f>
        <v>240</v>
      </c>
    </row>
    <row r="158" spans="1:26" x14ac:dyDescent="0.3">
      <c r="A158" s="93" t="s">
        <v>52</v>
      </c>
      <c r="B158" s="98" t="s">
        <v>53</v>
      </c>
      <c r="C158" s="98" t="s">
        <v>17</v>
      </c>
      <c r="D158" s="95">
        <v>30</v>
      </c>
      <c r="E158" s="95">
        <f>D158*3.2</f>
        <v>96</v>
      </c>
      <c r="F158" s="95">
        <v>120</v>
      </c>
      <c r="G158" s="95">
        <f>F158-E158</f>
        <v>24</v>
      </c>
      <c r="H158" s="95">
        <f>(CleanedDataset!$F121-CleanedDataset!$E121)/CleanedDataset!$F121</f>
        <v>0.52</v>
      </c>
      <c r="I158" s="96">
        <v>42</v>
      </c>
      <c r="J158" s="96">
        <f>I158*F158-I158*E158</f>
        <v>1008</v>
      </c>
      <c r="K158" s="96">
        <v>47</v>
      </c>
      <c r="L158" s="96">
        <f>K158*F158-I158*E158</f>
        <v>1608</v>
      </c>
      <c r="M158" s="96">
        <v>12</v>
      </c>
      <c r="N158" s="96">
        <f>M158*F158-M158*E158</f>
        <v>288</v>
      </c>
      <c r="O158" s="96">
        <v>7</v>
      </c>
      <c r="P158" s="96">
        <f>O158*F158-O158*E158</f>
        <v>168</v>
      </c>
      <c r="Q158" s="96">
        <v>71</v>
      </c>
      <c r="R158" s="96">
        <f>Q158*F158-Q158*E158</f>
        <v>1704</v>
      </c>
      <c r="S158" s="96">
        <v>29</v>
      </c>
      <c r="T158" s="96">
        <f>S158*F158-S158*E158</f>
        <v>696</v>
      </c>
      <c r="U158" s="96">
        <v>31</v>
      </c>
      <c r="V158" s="96">
        <f>U158*F158-U158*E158</f>
        <v>744</v>
      </c>
      <c r="W158" s="96">
        <f>SUM(S158,Q158,O158,M158,K158,I158)</f>
        <v>208</v>
      </c>
      <c r="X158" s="95" t="s">
        <v>10</v>
      </c>
      <c r="Y158" s="97">
        <v>96</v>
      </c>
      <c r="Z158">
        <f>D158*I158</f>
        <v>1260</v>
      </c>
    </row>
    <row r="159" spans="1:26" x14ac:dyDescent="0.3">
      <c r="A159" s="93" t="s">
        <v>52</v>
      </c>
      <c r="B159" s="98" t="s">
        <v>53</v>
      </c>
      <c r="C159" s="98" t="s">
        <v>14</v>
      </c>
      <c r="D159" s="95">
        <v>30</v>
      </c>
      <c r="E159" s="95">
        <f>D159*3</f>
        <v>90</v>
      </c>
      <c r="F159" s="95">
        <v>120</v>
      </c>
      <c r="G159" s="95">
        <f>F159-E159</f>
        <v>30</v>
      </c>
      <c r="H159" s="95">
        <f>(CleanedDataset!$F131-CleanedDataset!$E131)/CleanedDataset!$F131</f>
        <v>0.58933333333333338</v>
      </c>
      <c r="I159" s="96">
        <v>5</v>
      </c>
      <c r="J159" s="96">
        <f>I159*F159-I159*E159</f>
        <v>150</v>
      </c>
      <c r="K159" s="96">
        <v>0</v>
      </c>
      <c r="L159" s="96">
        <f>K159*F159-I159*E159</f>
        <v>-450</v>
      </c>
      <c r="M159" s="96">
        <v>0</v>
      </c>
      <c r="N159" s="96">
        <f>M159*F159-M159*E159</f>
        <v>0</v>
      </c>
      <c r="O159" s="96">
        <v>0</v>
      </c>
      <c r="P159" s="96">
        <f>O159*F159-O159*E159</f>
        <v>0</v>
      </c>
      <c r="Q159" s="96">
        <v>0</v>
      </c>
      <c r="R159" s="96">
        <f>Q159*F159-Q159*E159</f>
        <v>0</v>
      </c>
      <c r="S159" s="96">
        <v>0</v>
      </c>
      <c r="T159" s="96">
        <f>S159*F159-S159*E159</f>
        <v>0</v>
      </c>
      <c r="U159" s="96">
        <v>0</v>
      </c>
      <c r="V159" s="96">
        <f>U159*F159-U159*E159</f>
        <v>0</v>
      </c>
      <c r="W159" s="96">
        <f>SUM(S159,Q159,O159,M159,K159,I159)</f>
        <v>5</v>
      </c>
      <c r="X159" s="95" t="s">
        <v>10</v>
      </c>
      <c r="Y159" s="97">
        <v>96</v>
      </c>
      <c r="Z159">
        <f>D159*I159</f>
        <v>150</v>
      </c>
    </row>
    <row r="160" spans="1:26" x14ac:dyDescent="0.3">
      <c r="A160" s="93" t="s">
        <v>165</v>
      </c>
      <c r="B160" s="94" t="s">
        <v>166</v>
      </c>
      <c r="C160" s="98" t="s">
        <v>9</v>
      </c>
      <c r="D160" s="95">
        <v>30</v>
      </c>
      <c r="E160" s="95">
        <f>D160*2.8</f>
        <v>84</v>
      </c>
      <c r="F160" s="95">
        <v>280</v>
      </c>
      <c r="G160" s="95">
        <f>F160-E160</f>
        <v>196</v>
      </c>
      <c r="H160" s="95">
        <f>(CleanedDataset!$F13-CleanedDataset!$E13)/CleanedDataset!$F13</f>
        <v>0.71382113821138216</v>
      </c>
      <c r="I160" s="96">
        <v>12</v>
      </c>
      <c r="J160" s="96">
        <f>I160*F160-I160*E160</f>
        <v>2352</v>
      </c>
      <c r="K160" s="96">
        <v>12</v>
      </c>
      <c r="L160" s="96">
        <f>K160*F160-I160*E160</f>
        <v>2352</v>
      </c>
      <c r="M160" s="96">
        <v>9</v>
      </c>
      <c r="N160" s="96">
        <f>M160*F160-M160*E160</f>
        <v>1764</v>
      </c>
      <c r="O160" s="96">
        <v>10</v>
      </c>
      <c r="P160" s="96">
        <f>O160*F160-O160*E160</f>
        <v>1960</v>
      </c>
      <c r="Q160" s="96">
        <v>13</v>
      </c>
      <c r="R160" s="96">
        <f>Q160*F160-Q160*E160</f>
        <v>2548</v>
      </c>
      <c r="S160" s="96">
        <v>13</v>
      </c>
      <c r="T160" s="96">
        <f>S160*F160-S160*E160</f>
        <v>2548</v>
      </c>
      <c r="U160" s="96">
        <v>15</v>
      </c>
      <c r="V160" s="96">
        <f>U160*F160-U160*E160</f>
        <v>2940</v>
      </c>
      <c r="W160" s="96">
        <f>SUM(S160,Q160,O160,M160,K160,I160)</f>
        <v>69</v>
      </c>
      <c r="X160" s="95" t="s">
        <v>144</v>
      </c>
      <c r="Y160" s="97">
        <v>93</v>
      </c>
      <c r="Z160">
        <f>D160*I160</f>
        <v>360</v>
      </c>
    </row>
    <row r="161" spans="1:26" x14ac:dyDescent="0.3">
      <c r="A161" s="88" t="s">
        <v>151</v>
      </c>
      <c r="B161" s="89" t="s">
        <v>152</v>
      </c>
      <c r="C161" s="100" t="s">
        <v>9</v>
      </c>
      <c r="D161" s="90">
        <v>30</v>
      </c>
      <c r="E161" s="90">
        <f>D161*2.8</f>
        <v>84</v>
      </c>
      <c r="F161" s="90">
        <v>250</v>
      </c>
      <c r="G161" s="90">
        <f>F161-E161</f>
        <v>166</v>
      </c>
      <c r="H161" s="90">
        <f>(CleanedDataset!$F38-CleanedDataset!$E38)/CleanedDataset!$F38</f>
        <v>0.66400000000000003</v>
      </c>
      <c r="I161" s="91">
        <v>70</v>
      </c>
      <c r="J161" s="91">
        <f>I161*F161-I161*E161</f>
        <v>11620</v>
      </c>
      <c r="K161" s="91">
        <v>55</v>
      </c>
      <c r="L161" s="91">
        <f>K161*F161-I161*E161</f>
        <v>7870</v>
      </c>
      <c r="M161" s="91">
        <v>30</v>
      </c>
      <c r="N161" s="91">
        <f>M161*F161-M161*E161</f>
        <v>4980</v>
      </c>
      <c r="O161" s="91">
        <v>55</v>
      </c>
      <c r="P161" s="91">
        <f>O161*F161-O161*E161</f>
        <v>9130</v>
      </c>
      <c r="Q161" s="91">
        <v>168</v>
      </c>
      <c r="R161" s="91">
        <f>Q161*F161-Q161*E161</f>
        <v>27888</v>
      </c>
      <c r="S161" s="91">
        <v>213</v>
      </c>
      <c r="T161" s="91">
        <f>S161*F161-S161*E161</f>
        <v>35358</v>
      </c>
      <c r="U161" s="91">
        <v>230</v>
      </c>
      <c r="V161" s="91">
        <f>U161*F161-U161*E161</f>
        <v>38180</v>
      </c>
      <c r="W161" s="91">
        <f>SUM(S161,Q161,O161,M161,K161,I161)</f>
        <v>591</v>
      </c>
      <c r="X161" s="90" t="s">
        <v>144</v>
      </c>
      <c r="Y161" s="92">
        <v>90</v>
      </c>
      <c r="Z161">
        <f>D161*I161</f>
        <v>2100</v>
      </c>
    </row>
    <row r="162" spans="1:26" x14ac:dyDescent="0.3">
      <c r="A162" s="88" t="s">
        <v>179</v>
      </c>
      <c r="B162" s="89" t="s">
        <v>180</v>
      </c>
      <c r="C162" s="100" t="s">
        <v>9</v>
      </c>
      <c r="D162" s="90">
        <v>7</v>
      </c>
      <c r="E162" s="90">
        <f>D162*2.8</f>
        <v>19.599999999999998</v>
      </c>
      <c r="F162" s="90">
        <v>120</v>
      </c>
      <c r="G162" s="90">
        <f>F162-E162</f>
        <v>100.4</v>
      </c>
      <c r="H162" s="90">
        <f>(CleanedDataset!$F12-CleanedDataset!$E12)/CleanedDataset!$F12</f>
        <v>0.6080000000000001</v>
      </c>
      <c r="I162" s="91">
        <v>10</v>
      </c>
      <c r="J162" s="91">
        <f>I162*F162-I162*E162</f>
        <v>1004</v>
      </c>
      <c r="K162" s="91">
        <v>0</v>
      </c>
      <c r="L162" s="91">
        <f>K162*F162-I162*E162</f>
        <v>-195.99999999999997</v>
      </c>
      <c r="M162" s="91">
        <v>0</v>
      </c>
      <c r="N162" s="91">
        <f>M162*F162-M162*E162</f>
        <v>0</v>
      </c>
      <c r="O162" s="91">
        <v>0</v>
      </c>
      <c r="P162" s="91">
        <f>O162*F162-O162*E162</f>
        <v>0</v>
      </c>
      <c r="Q162" s="91">
        <v>0</v>
      </c>
      <c r="R162" s="91">
        <f>Q162*F162-Q162*E162</f>
        <v>0</v>
      </c>
      <c r="S162" s="91">
        <v>0</v>
      </c>
      <c r="T162" s="91">
        <f>S162*F162-S162*E162</f>
        <v>0</v>
      </c>
      <c r="U162" s="91">
        <v>0</v>
      </c>
      <c r="V162" s="91">
        <f>U162*F162-U162*E162</f>
        <v>0</v>
      </c>
      <c r="W162" s="91">
        <f>SUM(S162,Q162,O162,M162,K162,I162)</f>
        <v>10</v>
      </c>
      <c r="X162" s="90" t="s">
        <v>144</v>
      </c>
      <c r="Y162" s="92">
        <v>98</v>
      </c>
      <c r="Z162">
        <f>D162*I162</f>
        <v>70</v>
      </c>
    </row>
    <row r="163" spans="1:26" x14ac:dyDescent="0.3">
      <c r="A163" s="93" t="s">
        <v>175</v>
      </c>
      <c r="B163" s="94" t="s">
        <v>176</v>
      </c>
      <c r="C163" s="98" t="s">
        <v>9</v>
      </c>
      <c r="D163" s="95">
        <v>30</v>
      </c>
      <c r="E163" s="95">
        <f>D163*2.8</f>
        <v>84</v>
      </c>
      <c r="F163" s="95">
        <v>300</v>
      </c>
      <c r="G163" s="95">
        <f>F163-E163</f>
        <v>216</v>
      </c>
      <c r="H163" s="95">
        <f>(CleanedDataset!$F21-CleanedDataset!$E21)/CleanedDataset!$F21</f>
        <v>0.7</v>
      </c>
      <c r="I163" s="96">
        <v>25</v>
      </c>
      <c r="J163" s="96">
        <f>I163*F163-I163*E163</f>
        <v>5400</v>
      </c>
      <c r="K163" s="96">
        <v>30</v>
      </c>
      <c r="L163" s="96">
        <f>K163*F163-I163*E163</f>
        <v>6900</v>
      </c>
      <c r="M163" s="96">
        <v>10</v>
      </c>
      <c r="N163" s="96">
        <f>M163*F163-M163*E163</f>
        <v>2160</v>
      </c>
      <c r="O163" s="96">
        <v>20</v>
      </c>
      <c r="P163" s="96">
        <f>O163*F163-O163*E163</f>
        <v>4320</v>
      </c>
      <c r="Q163" s="96">
        <v>43</v>
      </c>
      <c r="R163" s="96">
        <f>Q163*F163-Q163*E163</f>
        <v>9288</v>
      </c>
      <c r="S163" s="96">
        <v>55</v>
      </c>
      <c r="T163" s="96">
        <f>S163*F163-S163*E163</f>
        <v>11880</v>
      </c>
      <c r="U163" s="96">
        <v>10</v>
      </c>
      <c r="V163" s="96">
        <f>U163*F163-U163*E163</f>
        <v>2160</v>
      </c>
      <c r="W163" s="96">
        <f>SUM(S163,Q163,O163,M163,K163,I163)</f>
        <v>183</v>
      </c>
      <c r="X163" s="95" t="s">
        <v>144</v>
      </c>
      <c r="Y163" s="97">
        <v>98</v>
      </c>
      <c r="Z163">
        <f>D163*I163</f>
        <v>750</v>
      </c>
    </row>
    <row r="164" spans="1:26" x14ac:dyDescent="0.3">
      <c r="A164" s="88" t="s">
        <v>159</v>
      </c>
      <c r="B164" s="89" t="s">
        <v>160</v>
      </c>
      <c r="C164" s="100" t="s">
        <v>9</v>
      </c>
      <c r="D164" s="90">
        <v>30</v>
      </c>
      <c r="E164" s="90">
        <f>D164*2.8</f>
        <v>84</v>
      </c>
      <c r="F164" s="90">
        <v>250</v>
      </c>
      <c r="G164" s="90">
        <f>F164-E164</f>
        <v>166</v>
      </c>
      <c r="H164" s="90">
        <f>(CleanedDataset!$F16-CleanedDataset!$E16)/CleanedDataset!$F16</f>
        <v>0.7094339622641509</v>
      </c>
      <c r="I164" s="91">
        <v>15</v>
      </c>
      <c r="J164" s="91">
        <f>I164*F164-I164*E164</f>
        <v>2490</v>
      </c>
      <c r="K164" s="91">
        <v>10</v>
      </c>
      <c r="L164" s="91">
        <f>K164*F164-I164*E164</f>
        <v>1240</v>
      </c>
      <c r="M164" s="91">
        <v>8</v>
      </c>
      <c r="N164" s="91">
        <f>M164*F164-M164*E164</f>
        <v>1328</v>
      </c>
      <c r="O164" s="91">
        <v>10</v>
      </c>
      <c r="P164" s="91">
        <f>O164*F164-O164*E164</f>
        <v>1660</v>
      </c>
      <c r="Q164" s="91">
        <v>25</v>
      </c>
      <c r="R164" s="91">
        <f>Q164*F164-Q164*E164</f>
        <v>4150</v>
      </c>
      <c r="S164" s="91">
        <v>10</v>
      </c>
      <c r="T164" s="91">
        <f>S164*F164-S164*E164</f>
        <v>1660</v>
      </c>
      <c r="U164" s="91">
        <v>3</v>
      </c>
      <c r="V164" s="91">
        <f>U164*F164-U164*E164</f>
        <v>498</v>
      </c>
      <c r="W164" s="91">
        <f>SUM(S164,Q164,O164,M164,K164,I164)</f>
        <v>78</v>
      </c>
      <c r="X164" s="90" t="s">
        <v>144</v>
      </c>
      <c r="Y164" s="92">
        <v>96</v>
      </c>
      <c r="Z164">
        <f>D164*I164</f>
        <v>450</v>
      </c>
    </row>
    <row r="165" spans="1:26" x14ac:dyDescent="0.3">
      <c r="A165" s="93" t="s">
        <v>181</v>
      </c>
      <c r="B165" s="94" t="s">
        <v>170</v>
      </c>
      <c r="C165" s="98" t="s">
        <v>9</v>
      </c>
      <c r="D165" s="95">
        <v>5</v>
      </c>
      <c r="E165" s="95">
        <f>D165*2.8</f>
        <v>14</v>
      </c>
      <c r="F165" s="95">
        <v>100</v>
      </c>
      <c r="G165" s="95">
        <f>F165-E165</f>
        <v>86</v>
      </c>
      <c r="H165" s="95">
        <f>(CleanedDataset!$F9-CleanedDataset!$E9)/CleanedDataset!$F9</f>
        <v>0.64</v>
      </c>
      <c r="I165" s="96">
        <v>5</v>
      </c>
      <c r="J165" s="96">
        <f>I165*F165-I165*E165</f>
        <v>430</v>
      </c>
      <c r="K165" s="96">
        <v>7</v>
      </c>
      <c r="L165" s="96">
        <f>K165*F165-I165*E165</f>
        <v>630</v>
      </c>
      <c r="M165" s="96">
        <v>3</v>
      </c>
      <c r="N165" s="96">
        <f>M165*F165-M165*E165</f>
        <v>258</v>
      </c>
      <c r="O165" s="96">
        <v>8</v>
      </c>
      <c r="P165" s="96">
        <f>O165*F165-O165*E165</f>
        <v>688</v>
      </c>
      <c r="Q165" s="96">
        <v>0</v>
      </c>
      <c r="R165" s="96">
        <f>Q165*F165-Q165*E165</f>
        <v>0</v>
      </c>
      <c r="S165" s="96">
        <v>0</v>
      </c>
      <c r="T165" s="96">
        <f>S165*F165-S165*E165</f>
        <v>0</v>
      </c>
      <c r="U165" s="96">
        <v>0</v>
      </c>
      <c r="V165" s="96">
        <f>U165*F165-U165*E165</f>
        <v>0</v>
      </c>
      <c r="W165" s="96">
        <f>SUM(S165,Q165,O165,M165,K165,I165)</f>
        <v>23</v>
      </c>
      <c r="X165" s="95" t="s">
        <v>144</v>
      </c>
      <c r="Y165" s="97">
        <v>91</v>
      </c>
      <c r="Z165">
        <f>D165*I165</f>
        <v>25</v>
      </c>
    </row>
    <row r="166" spans="1:26" x14ac:dyDescent="0.3">
      <c r="A166" s="88" t="s">
        <v>169</v>
      </c>
      <c r="B166" s="89" t="s">
        <v>170</v>
      </c>
      <c r="C166" s="100" t="s">
        <v>9</v>
      </c>
      <c r="D166" s="90">
        <v>6</v>
      </c>
      <c r="E166" s="90">
        <f>D166*2.8</f>
        <v>16.799999999999997</v>
      </c>
      <c r="F166" s="90">
        <v>130</v>
      </c>
      <c r="G166" s="90">
        <f>F166-E166</f>
        <v>113.2</v>
      </c>
      <c r="H166" s="90">
        <f>(CleanedDataset!$F40-CleanedDataset!$E40)/CleanedDataset!$F40</f>
        <v>0.61818181818181817</v>
      </c>
      <c r="I166" s="91">
        <v>85</v>
      </c>
      <c r="J166" s="91">
        <f>I166*F166-I166*E166</f>
        <v>9622</v>
      </c>
      <c r="K166" s="91">
        <v>34</v>
      </c>
      <c r="L166" s="91">
        <f>K166*F166-I166*E166</f>
        <v>2992</v>
      </c>
      <c r="M166" s="91">
        <v>33</v>
      </c>
      <c r="N166" s="91">
        <f>M166*F166-M166*E166</f>
        <v>3735.6000000000004</v>
      </c>
      <c r="O166" s="91">
        <v>10</v>
      </c>
      <c r="P166" s="91">
        <f>O166*F166-O166*E166</f>
        <v>1132</v>
      </c>
      <c r="Q166" s="91">
        <v>0</v>
      </c>
      <c r="R166" s="91">
        <f>Q166*F166-Q166*E166</f>
        <v>0</v>
      </c>
      <c r="S166" s="91">
        <v>0</v>
      </c>
      <c r="T166" s="91">
        <f>S166*F166-S166*E166</f>
        <v>0</v>
      </c>
      <c r="U166" s="91">
        <v>0</v>
      </c>
      <c r="V166" s="91">
        <f>U166*F166-U166*E166</f>
        <v>0</v>
      </c>
      <c r="W166" s="91">
        <f>SUM(S166,Q166,O166,M166,K166,I166)</f>
        <v>162</v>
      </c>
      <c r="X166" s="90" t="s">
        <v>144</v>
      </c>
      <c r="Y166" s="92">
        <v>92</v>
      </c>
      <c r="Z166">
        <f>D166*I166</f>
        <v>510</v>
      </c>
    </row>
    <row r="167" spans="1:26" x14ac:dyDescent="0.3">
      <c r="A167" s="93" t="s">
        <v>171</v>
      </c>
      <c r="B167" s="94" t="s">
        <v>172</v>
      </c>
      <c r="C167" s="98" t="s">
        <v>9</v>
      </c>
      <c r="D167" s="95">
        <v>25</v>
      </c>
      <c r="E167" s="95">
        <f>D167*2.8</f>
        <v>70</v>
      </c>
      <c r="F167" s="95">
        <v>99</v>
      </c>
      <c r="G167" s="95">
        <f>F167-E167</f>
        <v>29</v>
      </c>
      <c r="H167" s="95">
        <f>(CleanedDataset!$F37-CleanedDataset!$E37)/CleanedDataset!$F37</f>
        <v>0.75</v>
      </c>
      <c r="I167" s="96">
        <v>65</v>
      </c>
      <c r="J167" s="96">
        <f>I167*F167-I167*E167</f>
        <v>1885</v>
      </c>
      <c r="K167" s="96">
        <v>50</v>
      </c>
      <c r="L167" s="96">
        <f>K167*F167-I167*E167</f>
        <v>400</v>
      </c>
      <c r="M167" s="96">
        <v>95</v>
      </c>
      <c r="N167" s="96">
        <f>M167*F167-M167*E167</f>
        <v>2755</v>
      </c>
      <c r="O167" s="96">
        <v>89</v>
      </c>
      <c r="P167" s="96">
        <f>O167*F167-O167*E167</f>
        <v>2581</v>
      </c>
      <c r="Q167" s="96">
        <v>66</v>
      </c>
      <c r="R167" s="96">
        <f>Q167*F167-Q167*E167</f>
        <v>1914</v>
      </c>
      <c r="S167" s="96">
        <v>30</v>
      </c>
      <c r="T167" s="96">
        <f>S167*F167-S167*E167</f>
        <v>870</v>
      </c>
      <c r="U167" s="96">
        <v>0</v>
      </c>
      <c r="V167" s="96">
        <f>U167*F167-U167*E167</f>
        <v>0</v>
      </c>
      <c r="W167" s="96">
        <f>SUM(S167,Q167,O167,M167,K167,I167)</f>
        <v>395</v>
      </c>
      <c r="X167" s="95" t="s">
        <v>144</v>
      </c>
      <c r="Y167" s="97">
        <v>93</v>
      </c>
      <c r="Z167">
        <f>D167*I167</f>
        <v>1625</v>
      </c>
    </row>
    <row r="168" spans="1:26" x14ac:dyDescent="0.3">
      <c r="A168" s="93" t="s">
        <v>153</v>
      </c>
      <c r="B168" s="94" t="s">
        <v>154</v>
      </c>
      <c r="C168" s="98" t="s">
        <v>9</v>
      </c>
      <c r="D168" s="95">
        <v>25</v>
      </c>
      <c r="E168" s="95">
        <f>D168*2.8</f>
        <v>70</v>
      </c>
      <c r="F168" s="95">
        <v>180</v>
      </c>
      <c r="G168" s="95">
        <f>F168-E168</f>
        <v>110</v>
      </c>
      <c r="H168" s="95">
        <f>(CleanedDataset!$F27-CleanedDataset!$E27)/CleanedDataset!$F27</f>
        <v>0.34666666666666673</v>
      </c>
      <c r="I168" s="96">
        <v>40</v>
      </c>
      <c r="J168" s="96">
        <f>I168*F168-I168*E168</f>
        <v>4400</v>
      </c>
      <c r="K168" s="96">
        <v>30</v>
      </c>
      <c r="L168" s="96">
        <f>K168*F168-I168*E168</f>
        <v>2600</v>
      </c>
      <c r="M168" s="96">
        <v>0</v>
      </c>
      <c r="N168" s="96">
        <f>M168*F168-M168*E168</f>
        <v>0</v>
      </c>
      <c r="O168" s="96">
        <v>0</v>
      </c>
      <c r="P168" s="96">
        <f>O168*F168-O168*E168</f>
        <v>0</v>
      </c>
      <c r="Q168" s="96">
        <v>0</v>
      </c>
      <c r="R168" s="96">
        <f>Q168*F168-Q168*E168</f>
        <v>0</v>
      </c>
      <c r="S168" s="96">
        <v>0</v>
      </c>
      <c r="T168" s="96">
        <f>S168*F168-S168*E168</f>
        <v>0</v>
      </c>
      <c r="U168" s="96">
        <v>0</v>
      </c>
      <c r="V168" s="96">
        <f>U168*F168-U168*E168</f>
        <v>0</v>
      </c>
      <c r="W168" s="96">
        <f>SUM(S168,Q168,O168,M168,K168,I168)</f>
        <v>70</v>
      </c>
      <c r="X168" s="95" t="s">
        <v>144</v>
      </c>
      <c r="Y168" s="97">
        <v>91</v>
      </c>
      <c r="Z168">
        <f>D168*I168</f>
        <v>1000</v>
      </c>
    </row>
    <row r="169" spans="1:26" x14ac:dyDescent="0.3">
      <c r="A169" s="88" t="s">
        <v>147</v>
      </c>
      <c r="B169" s="89" t="s">
        <v>148</v>
      </c>
      <c r="C169" s="100" t="s">
        <v>9</v>
      </c>
      <c r="D169" s="90">
        <v>10</v>
      </c>
      <c r="E169" s="90">
        <f>D169*2.8</f>
        <v>28</v>
      </c>
      <c r="F169" s="90">
        <v>55</v>
      </c>
      <c r="G169" s="90">
        <f>F169-E169</f>
        <v>27</v>
      </c>
      <c r="H169" s="90">
        <f>(CleanedDataset!$F46-CleanedDataset!$E46)/CleanedDataset!$F46</f>
        <v>0.69387755102040816</v>
      </c>
      <c r="I169" s="91">
        <v>200</v>
      </c>
      <c r="J169" s="91">
        <f>I169*F169-I169*E169</f>
        <v>5400</v>
      </c>
      <c r="K169" s="91">
        <v>233</v>
      </c>
      <c r="L169" s="91">
        <f>K169*F169-I169*E169</f>
        <v>7215</v>
      </c>
      <c r="M169" s="91">
        <v>150</v>
      </c>
      <c r="N169" s="91">
        <f>M169*F169-M169*E169</f>
        <v>4050</v>
      </c>
      <c r="O169" s="91">
        <v>200</v>
      </c>
      <c r="P169" s="91">
        <f>O169*F169-O169*E169</f>
        <v>5400</v>
      </c>
      <c r="Q169" s="91">
        <v>148</v>
      </c>
      <c r="R169" s="91">
        <f>Q169*F169-Q169*E169</f>
        <v>3996</v>
      </c>
      <c r="S169" s="91">
        <v>150</v>
      </c>
      <c r="T169" s="91">
        <f>S169*F169-S169*E169</f>
        <v>4050</v>
      </c>
      <c r="U169" s="91">
        <v>170</v>
      </c>
      <c r="V169" s="91">
        <f>U169*F169-U169*E169</f>
        <v>4590</v>
      </c>
      <c r="W169" s="91">
        <f>SUM(S169,Q169,O169,M169,K169,I169)</f>
        <v>1081</v>
      </c>
      <c r="X169" s="90" t="s">
        <v>144</v>
      </c>
      <c r="Y169" s="92">
        <v>96</v>
      </c>
      <c r="Z169">
        <f>D169*I169</f>
        <v>2000</v>
      </c>
    </row>
    <row r="170" spans="1:26" x14ac:dyDescent="0.3">
      <c r="A170" s="88" t="s">
        <v>157</v>
      </c>
      <c r="B170" s="89" t="s">
        <v>158</v>
      </c>
      <c r="C170" s="100" t="s">
        <v>9</v>
      </c>
      <c r="D170" s="90">
        <v>35</v>
      </c>
      <c r="E170" s="90">
        <f>D170*2.8</f>
        <v>98</v>
      </c>
      <c r="F170" s="90">
        <v>300</v>
      </c>
      <c r="G170" s="90">
        <f>F170-E170</f>
        <v>202</v>
      </c>
      <c r="H170" s="90">
        <f>(CleanedDataset!$F18-CleanedDataset!$E18)/CleanedDataset!$F18</f>
        <v>0.70285714285714285</v>
      </c>
      <c r="I170" s="91">
        <v>19</v>
      </c>
      <c r="J170" s="91">
        <f>I170*F170-I170*E170</f>
        <v>3838</v>
      </c>
      <c r="K170" s="91">
        <v>41</v>
      </c>
      <c r="L170" s="91">
        <f>K170*F170-I170*E170</f>
        <v>10438</v>
      </c>
      <c r="M170" s="91">
        <v>40</v>
      </c>
      <c r="N170" s="91">
        <f>M170*F170-M170*E170</f>
        <v>8080</v>
      </c>
      <c r="O170" s="91">
        <v>23</v>
      </c>
      <c r="P170" s="91">
        <f>O170*F170-O170*E170</f>
        <v>4646</v>
      </c>
      <c r="Q170" s="91">
        <v>70</v>
      </c>
      <c r="R170" s="91">
        <f>Q170*F170-Q170*E170</f>
        <v>14140</v>
      </c>
      <c r="S170" s="91">
        <v>22</v>
      </c>
      <c r="T170" s="91">
        <f>S170*F170-S170*E170</f>
        <v>4444</v>
      </c>
      <c r="U170" s="91">
        <v>25</v>
      </c>
      <c r="V170" s="91">
        <f>U170*F170-U170*E170</f>
        <v>5050</v>
      </c>
      <c r="W170" s="91">
        <f>SUM(S170,Q170,O170,M170,K170,I170)</f>
        <v>215</v>
      </c>
      <c r="X170" s="90" t="s">
        <v>144</v>
      </c>
      <c r="Y170" s="92">
        <v>97</v>
      </c>
      <c r="Z170">
        <f>D170*I170</f>
        <v>665</v>
      </c>
    </row>
    <row r="171" spans="1:26" x14ac:dyDescent="0.3">
      <c r="A171" s="93" t="s">
        <v>80</v>
      </c>
      <c r="B171" s="98" t="s">
        <v>81</v>
      </c>
      <c r="C171" s="98" t="s">
        <v>12</v>
      </c>
      <c r="D171" s="95">
        <v>6</v>
      </c>
      <c r="E171" s="95">
        <f>D171*3</f>
        <v>18</v>
      </c>
      <c r="F171" s="95">
        <v>60</v>
      </c>
      <c r="G171" s="95">
        <f>F171-E171</f>
        <v>42</v>
      </c>
      <c r="H171" s="95">
        <f>(CleanedDataset!$F161-CleanedDataset!$E161)/CleanedDataset!$F161</f>
        <v>0.66400000000000003</v>
      </c>
      <c r="I171" s="96">
        <v>444</v>
      </c>
      <c r="J171" s="96">
        <f>I171*F171-I171*E171</f>
        <v>18648</v>
      </c>
      <c r="K171" s="96">
        <v>294</v>
      </c>
      <c r="L171" s="96">
        <f>K171*F171-I171*E171</f>
        <v>9648</v>
      </c>
      <c r="M171" s="96">
        <v>180</v>
      </c>
      <c r="N171" s="96">
        <f>M171*F171-M171*E171</f>
        <v>7560</v>
      </c>
      <c r="O171" s="96">
        <v>222</v>
      </c>
      <c r="P171" s="96">
        <f>O171*F171-O171*E171</f>
        <v>9324</v>
      </c>
      <c r="Q171" s="96">
        <v>493</v>
      </c>
      <c r="R171" s="96">
        <f>Q171*F171-Q171*E171</f>
        <v>20706</v>
      </c>
      <c r="S171" s="96">
        <v>450</v>
      </c>
      <c r="T171" s="96">
        <f>S171*F171-S171*E171</f>
        <v>18900</v>
      </c>
      <c r="U171" s="96">
        <v>0</v>
      </c>
      <c r="V171" s="96">
        <f>U171*F171-U171*E171</f>
        <v>0</v>
      </c>
      <c r="W171" s="96">
        <f>SUM(S171,Q171,O171,M171,K171,I171)</f>
        <v>2083</v>
      </c>
      <c r="X171" s="95" t="s">
        <v>10</v>
      </c>
      <c r="Y171" s="97">
        <v>96</v>
      </c>
      <c r="Z171">
        <f>D171*I171</f>
        <v>2664</v>
      </c>
    </row>
    <row r="172" spans="1:26" x14ac:dyDescent="0.3">
      <c r="A172" s="93" t="s">
        <v>42</v>
      </c>
      <c r="B172" s="94" t="s">
        <v>35</v>
      </c>
      <c r="C172" s="98" t="s">
        <v>43</v>
      </c>
      <c r="D172" s="95">
        <v>4</v>
      </c>
      <c r="E172" s="95">
        <f>D172*3</f>
        <v>12</v>
      </c>
      <c r="F172" s="95">
        <v>55</v>
      </c>
      <c r="G172" s="95">
        <f>F172-E172</f>
        <v>43</v>
      </c>
      <c r="H172" s="95">
        <f>(CleanedDataset!$F63-CleanedDataset!$E63)/CleanedDataset!$F63</f>
        <v>0.50909090909090904</v>
      </c>
      <c r="I172" s="96">
        <v>0</v>
      </c>
      <c r="J172" s="96">
        <f>I172*F172-I172*E172</f>
        <v>0</v>
      </c>
      <c r="K172" s="96">
        <v>5</v>
      </c>
      <c r="L172" s="96">
        <f>K172*F172-I172*E172</f>
        <v>275</v>
      </c>
      <c r="M172" s="96">
        <v>0</v>
      </c>
      <c r="N172" s="96">
        <f>M172*F172-M172*E172</f>
        <v>0</v>
      </c>
      <c r="O172" s="96">
        <v>0</v>
      </c>
      <c r="P172" s="96">
        <f>O172*F172-O172*E172</f>
        <v>0</v>
      </c>
      <c r="Q172" s="96">
        <v>0</v>
      </c>
      <c r="R172" s="96">
        <f>Q172*F172-Q172*E172</f>
        <v>0</v>
      </c>
      <c r="S172" s="96">
        <v>0</v>
      </c>
      <c r="T172" s="96">
        <f>S172*F172-S172*E172</f>
        <v>0</v>
      </c>
      <c r="U172" s="96">
        <v>0</v>
      </c>
      <c r="V172" s="96">
        <f>U172*F172-U172*E172</f>
        <v>0</v>
      </c>
      <c r="W172" s="96">
        <f>SUM(S172,Q172,O172,M172,K172,I172)</f>
        <v>5</v>
      </c>
      <c r="X172" s="95" t="s">
        <v>10</v>
      </c>
      <c r="Y172" s="97">
        <v>100</v>
      </c>
      <c r="Z172">
        <f>D172*I172</f>
        <v>0</v>
      </c>
    </row>
    <row r="173" spans="1:26" x14ac:dyDescent="0.3">
      <c r="A173" s="88" t="s">
        <v>42</v>
      </c>
      <c r="B173" s="89" t="s">
        <v>35</v>
      </c>
      <c r="C173" s="100" t="s">
        <v>13</v>
      </c>
      <c r="D173" s="90">
        <v>4</v>
      </c>
      <c r="E173" s="90">
        <f>D173*3</f>
        <v>12</v>
      </c>
      <c r="F173" s="90">
        <v>55</v>
      </c>
      <c r="G173" s="90">
        <f>F173-E173</f>
        <v>43</v>
      </c>
      <c r="H173" s="90">
        <f>(CleanedDataset!$F100-CleanedDataset!$E100)/CleanedDataset!$F100</f>
        <v>0.1</v>
      </c>
      <c r="I173" s="91">
        <v>0</v>
      </c>
      <c r="J173" s="91">
        <f>I173*F173-I173*E173</f>
        <v>0</v>
      </c>
      <c r="K173" s="91">
        <v>5</v>
      </c>
      <c r="L173" s="91">
        <f>K173*F173-I173*E173</f>
        <v>275</v>
      </c>
      <c r="M173" s="91">
        <v>0</v>
      </c>
      <c r="N173" s="91">
        <f>M173*F173-M173*E173</f>
        <v>0</v>
      </c>
      <c r="O173" s="91">
        <v>0</v>
      </c>
      <c r="P173" s="91">
        <f>O173*F173-O173*E173</f>
        <v>0</v>
      </c>
      <c r="Q173" s="91">
        <v>0</v>
      </c>
      <c r="R173" s="91">
        <f>Q173*F173-Q173*E173</f>
        <v>0</v>
      </c>
      <c r="S173" s="91">
        <v>0</v>
      </c>
      <c r="T173" s="91">
        <f>S173*F173-S173*E173</f>
        <v>0</v>
      </c>
      <c r="U173" s="91">
        <v>0</v>
      </c>
      <c r="V173" s="91">
        <f>U173*F173-U173*E173</f>
        <v>0</v>
      </c>
      <c r="W173" s="91">
        <f>SUM(S173,Q173,O173,M173,K173,I173)</f>
        <v>5</v>
      </c>
      <c r="X173" s="90" t="s">
        <v>10</v>
      </c>
      <c r="Y173" s="92">
        <v>100</v>
      </c>
      <c r="Z173">
        <f>D173*I173</f>
        <v>0</v>
      </c>
    </row>
    <row r="174" spans="1:26" x14ac:dyDescent="0.3">
      <c r="A174" s="88" t="s">
        <v>42</v>
      </c>
      <c r="B174" s="89" t="s">
        <v>35</v>
      </c>
      <c r="C174" s="100" t="s">
        <v>14</v>
      </c>
      <c r="D174" s="90">
        <v>4</v>
      </c>
      <c r="E174" s="90">
        <f>D174*3</f>
        <v>12</v>
      </c>
      <c r="F174" s="90">
        <v>55</v>
      </c>
      <c r="G174" s="90">
        <f>F174-E174</f>
        <v>43</v>
      </c>
      <c r="H174" s="90">
        <f>(CleanedDataset!$F130-CleanedDataset!$E130)/CleanedDataset!$F130</f>
        <v>0.58750000000000002</v>
      </c>
      <c r="I174" s="91">
        <v>5</v>
      </c>
      <c r="J174" s="91">
        <f>I174*F174-I174*E174</f>
        <v>215</v>
      </c>
      <c r="K174" s="91">
        <v>0</v>
      </c>
      <c r="L174" s="91">
        <f>K174*F174-I174*E174</f>
        <v>-60</v>
      </c>
      <c r="M174" s="91">
        <v>0</v>
      </c>
      <c r="N174" s="91">
        <f>M174*F174-M174*E174</f>
        <v>0</v>
      </c>
      <c r="O174" s="91">
        <v>0</v>
      </c>
      <c r="P174" s="91">
        <f>O174*F174-O174*E174</f>
        <v>0</v>
      </c>
      <c r="Q174" s="91">
        <v>0</v>
      </c>
      <c r="R174" s="91">
        <f>Q174*F174-Q174*E174</f>
        <v>0</v>
      </c>
      <c r="S174" s="91">
        <v>0</v>
      </c>
      <c r="T174" s="91">
        <f>S174*F174-S174*E174</f>
        <v>0</v>
      </c>
      <c r="U174" s="91">
        <v>0</v>
      </c>
      <c r="V174" s="91">
        <f>U174*F174-U174*E174</f>
        <v>0</v>
      </c>
      <c r="W174" s="91">
        <f>SUM(S174,Q174,O174,M174,K174,I174)</f>
        <v>5</v>
      </c>
      <c r="X174" s="90" t="s">
        <v>10</v>
      </c>
      <c r="Y174" s="92">
        <v>95</v>
      </c>
      <c r="Z174">
        <f>D174*I174</f>
        <v>20</v>
      </c>
    </row>
    <row r="175" spans="1:26" x14ac:dyDescent="0.3">
      <c r="A175" s="88" t="s">
        <v>42</v>
      </c>
      <c r="B175" s="89" t="s">
        <v>35</v>
      </c>
      <c r="C175" s="100" t="s">
        <v>12</v>
      </c>
      <c r="D175" s="90">
        <v>4</v>
      </c>
      <c r="E175" s="90">
        <f>D175*3</f>
        <v>12</v>
      </c>
      <c r="F175" s="90">
        <v>55</v>
      </c>
      <c r="G175" s="90">
        <f>F175-E175</f>
        <v>43</v>
      </c>
      <c r="H175" s="90">
        <f>(CleanedDataset!$F168-CleanedDataset!$E168)/CleanedDataset!$F168</f>
        <v>0.61111111111111116</v>
      </c>
      <c r="I175" s="91">
        <v>1450</v>
      </c>
      <c r="J175" s="91">
        <f>I175*F175-I175*E175</f>
        <v>62350</v>
      </c>
      <c r="K175" s="91">
        <v>834</v>
      </c>
      <c r="L175" s="91">
        <f>K175*F175-I175*E175</f>
        <v>28470</v>
      </c>
      <c r="M175" s="91">
        <v>620</v>
      </c>
      <c r="N175" s="91">
        <f>M175*F175-M175*E175</f>
        <v>26660</v>
      </c>
      <c r="O175" s="91">
        <v>348</v>
      </c>
      <c r="P175" s="91">
        <f>O175*F175-O175*E175</f>
        <v>14964</v>
      </c>
      <c r="Q175" s="91">
        <v>930</v>
      </c>
      <c r="R175" s="91">
        <f>Q175*F175-Q175*E175</f>
        <v>39990</v>
      </c>
      <c r="S175" s="91">
        <v>870</v>
      </c>
      <c r="T175" s="91">
        <f>S175*F175-S175*E175</f>
        <v>37410</v>
      </c>
      <c r="U175" s="91">
        <v>850</v>
      </c>
      <c r="V175" s="91">
        <f>U175*F175-U175*E175</f>
        <v>36550</v>
      </c>
      <c r="W175" s="91">
        <f>SUM(S175,Q175,O175,M175,K175,I175)</f>
        <v>5052</v>
      </c>
      <c r="X175" s="90" t="s">
        <v>10</v>
      </c>
      <c r="Y175" s="92">
        <v>96</v>
      </c>
      <c r="Z175">
        <f>D175*I175</f>
        <v>5800</v>
      </c>
    </row>
    <row r="176" spans="1:26" x14ac:dyDescent="0.3">
      <c r="A176" s="93" t="s">
        <v>42</v>
      </c>
      <c r="B176" s="94" t="s">
        <v>35</v>
      </c>
      <c r="C176" s="98" t="s">
        <v>9</v>
      </c>
      <c r="D176" s="95">
        <v>4</v>
      </c>
      <c r="E176" s="95">
        <f>D176*2.8</f>
        <v>11.2</v>
      </c>
      <c r="F176" s="95">
        <v>45</v>
      </c>
      <c r="G176" s="95">
        <f>F176-E176</f>
        <v>33.799999999999997</v>
      </c>
      <c r="H176" s="95">
        <f>(CleanedDataset!$F59-CleanedDataset!$E59)/CleanedDataset!$F59</f>
        <v>0.65538461538461545</v>
      </c>
      <c r="I176" s="96">
        <v>962</v>
      </c>
      <c r="J176" s="96">
        <f>I176*F176-I176*E176</f>
        <v>32515.599999999999</v>
      </c>
      <c r="K176" s="96">
        <v>1465</v>
      </c>
      <c r="L176" s="96">
        <f>K176*F176-I176*E176</f>
        <v>55150.6</v>
      </c>
      <c r="M176" s="96">
        <v>1334</v>
      </c>
      <c r="N176" s="96">
        <f>M176*F176-M176*E176</f>
        <v>45089.2</v>
      </c>
      <c r="O176" s="96">
        <v>2383</v>
      </c>
      <c r="P176" s="96">
        <f>O176*F176-O176*E176</f>
        <v>80545.399999999994</v>
      </c>
      <c r="Q176" s="96">
        <v>1525</v>
      </c>
      <c r="R176" s="96">
        <f>Q176*F176-Q176*E176</f>
        <v>51545</v>
      </c>
      <c r="S176" s="96">
        <v>1582</v>
      </c>
      <c r="T176" s="96">
        <f>S176*F176-S176*E176</f>
        <v>53471.600000000006</v>
      </c>
      <c r="U176" s="96">
        <v>1539</v>
      </c>
      <c r="V176" s="96">
        <f>U176*F176-U176*E176</f>
        <v>52018.2</v>
      </c>
      <c r="W176" s="96">
        <f>SUM(S176,Q176,O176,M176,K176,I176)</f>
        <v>9251</v>
      </c>
      <c r="X176" s="95" t="s">
        <v>10</v>
      </c>
      <c r="Y176" s="97">
        <v>100</v>
      </c>
      <c r="Z176">
        <f>D176*I176</f>
        <v>3848</v>
      </c>
    </row>
    <row r="177" spans="1:26" x14ac:dyDescent="0.3">
      <c r="A177" s="93" t="s">
        <v>64</v>
      </c>
      <c r="B177" s="94" t="s">
        <v>62</v>
      </c>
      <c r="C177" s="98" t="s">
        <v>12</v>
      </c>
      <c r="D177" s="95">
        <v>3.5</v>
      </c>
      <c r="E177" s="95">
        <f>D177*3</f>
        <v>10.5</v>
      </c>
      <c r="F177" s="95">
        <v>35</v>
      </c>
      <c r="G177" s="95">
        <f>F177-E177</f>
        <v>24.5</v>
      </c>
      <c r="H177" s="95">
        <f>(CleanedDataset!$F163-CleanedDataset!$E163)/CleanedDataset!$F163</f>
        <v>0.72</v>
      </c>
      <c r="I177" s="96">
        <v>530</v>
      </c>
      <c r="J177" s="96">
        <f>I177*F177-I177*E177</f>
        <v>12985</v>
      </c>
      <c r="K177" s="96">
        <v>480</v>
      </c>
      <c r="L177" s="96">
        <f>K177*F177-I177*E177</f>
        <v>11235</v>
      </c>
      <c r="M177" s="96">
        <v>257</v>
      </c>
      <c r="N177" s="96">
        <f>M177*F177-M177*E177</f>
        <v>6296.5</v>
      </c>
      <c r="O177" s="96">
        <v>200</v>
      </c>
      <c r="P177" s="96">
        <f>O177*F177-O177*E177</f>
        <v>4900</v>
      </c>
      <c r="Q177" s="96">
        <v>230</v>
      </c>
      <c r="R177" s="96">
        <f>Q177*F177-Q177*E177</f>
        <v>5635</v>
      </c>
      <c r="S177" s="96">
        <v>580</v>
      </c>
      <c r="T177" s="96">
        <f>S177*F177-S177*E177</f>
        <v>14210</v>
      </c>
      <c r="U177" s="96">
        <v>578</v>
      </c>
      <c r="V177" s="96">
        <f>U177*F177-U177*E177</f>
        <v>14161</v>
      </c>
      <c r="W177" s="96">
        <f>SUM(S177,Q177,O177,M177,K177,I177)</f>
        <v>2277</v>
      </c>
      <c r="X177" s="95" t="s">
        <v>10</v>
      </c>
      <c r="Y177" s="97">
        <v>95</v>
      </c>
      <c r="Z177">
        <f>D177*I177</f>
        <v>1855</v>
      </c>
    </row>
    <row r="178" spans="1:26" x14ac:dyDescent="0.3">
      <c r="A178" s="88" t="s">
        <v>64</v>
      </c>
      <c r="B178" s="89" t="s">
        <v>62</v>
      </c>
      <c r="C178" s="100" t="s">
        <v>9</v>
      </c>
      <c r="D178" s="90">
        <v>3.5</v>
      </c>
      <c r="E178" s="90">
        <f>D178*2.8</f>
        <v>9.7999999999999989</v>
      </c>
      <c r="F178" s="90">
        <v>25</v>
      </c>
      <c r="G178" s="90">
        <f>F178-E178</f>
        <v>15.200000000000001</v>
      </c>
      <c r="H178" s="90">
        <f>(CleanedDataset!$F52-CleanedDataset!$E52)/CleanedDataset!$F52</f>
        <v>0.57999999999999996</v>
      </c>
      <c r="I178" s="91">
        <v>382</v>
      </c>
      <c r="J178" s="91">
        <f>I178*F178-I178*E178</f>
        <v>5806.4000000000005</v>
      </c>
      <c r="K178" s="91">
        <v>425</v>
      </c>
      <c r="L178" s="91">
        <f>K178*F178-I178*E178</f>
        <v>6881.4000000000005</v>
      </c>
      <c r="M178" s="91">
        <v>323</v>
      </c>
      <c r="N178" s="91">
        <f>M178*F178-M178*E178</f>
        <v>4909.6000000000004</v>
      </c>
      <c r="O178" s="91">
        <v>238</v>
      </c>
      <c r="P178" s="91">
        <f>O178*F178-O178*E178</f>
        <v>3617.6000000000004</v>
      </c>
      <c r="Q178" s="91">
        <v>484</v>
      </c>
      <c r="R178" s="91">
        <f>Q178*F178-Q178*E178</f>
        <v>7356.8</v>
      </c>
      <c r="S178" s="91">
        <v>394</v>
      </c>
      <c r="T178" s="91">
        <f>S178*F178-S178*E178</f>
        <v>5988.8000000000011</v>
      </c>
      <c r="U178" s="91">
        <v>213</v>
      </c>
      <c r="V178" s="91">
        <f>U178*F178-U178*E178</f>
        <v>3237.6000000000004</v>
      </c>
      <c r="W178" s="91">
        <f>SUM(S178,Q178,O178,M178,K178,I178)</f>
        <v>2246</v>
      </c>
      <c r="X178" s="90" t="s">
        <v>10</v>
      </c>
      <c r="Y178" s="92">
        <v>97</v>
      </c>
      <c r="Z178">
        <f>D178*I178</f>
        <v>1337</v>
      </c>
    </row>
    <row r="179" spans="1:26" x14ac:dyDescent="0.3">
      <c r="A179" s="88" t="s">
        <v>34</v>
      </c>
      <c r="B179" s="100" t="s">
        <v>35</v>
      </c>
      <c r="C179" s="100" t="s">
        <v>25</v>
      </c>
      <c r="D179" s="90">
        <v>5</v>
      </c>
      <c r="E179" s="90">
        <f>D179*3</f>
        <v>15</v>
      </c>
      <c r="F179" s="90">
        <v>70</v>
      </c>
      <c r="G179" s="90">
        <f>F179-E179</f>
        <v>55</v>
      </c>
      <c r="H179" s="90">
        <f>(CleanedDataset!$F86-CleanedDataset!$E86)/CleanedDataset!$F86</f>
        <v>0.66666666666666663</v>
      </c>
      <c r="I179" s="91">
        <v>15</v>
      </c>
      <c r="J179" s="91">
        <f>I179*F179-I179*E179</f>
        <v>825</v>
      </c>
      <c r="K179" s="91">
        <v>0</v>
      </c>
      <c r="L179" s="91">
        <f>K179*F179-I179*E179</f>
        <v>-225</v>
      </c>
      <c r="M179" s="91">
        <v>0</v>
      </c>
      <c r="N179" s="91">
        <f>M179*F179-M179*E179</f>
        <v>0</v>
      </c>
      <c r="O179" s="91">
        <v>0</v>
      </c>
      <c r="P179" s="91">
        <f>O179*F179-O179*E179</f>
        <v>0</v>
      </c>
      <c r="Q179" s="91">
        <v>0</v>
      </c>
      <c r="R179" s="91">
        <f>Q179*F179-Q179*E179</f>
        <v>0</v>
      </c>
      <c r="S179" s="91">
        <v>0</v>
      </c>
      <c r="T179" s="91">
        <f>S179*F179-S179*E179</f>
        <v>0</v>
      </c>
      <c r="U179" s="91">
        <v>0</v>
      </c>
      <c r="V179" s="91">
        <f>U179*F179-U179*E179</f>
        <v>0</v>
      </c>
      <c r="W179" s="91">
        <f>SUM(S179,Q179,O179,M179,K179,I179)</f>
        <v>15</v>
      </c>
      <c r="X179" s="90" t="s">
        <v>10</v>
      </c>
      <c r="Y179" s="92">
        <v>99</v>
      </c>
      <c r="Z179">
        <f>D179*I179</f>
        <v>75</v>
      </c>
    </row>
    <row r="180" spans="1:26" x14ac:dyDescent="0.3">
      <c r="A180" s="88" t="s">
        <v>34</v>
      </c>
      <c r="B180" s="100" t="s">
        <v>35</v>
      </c>
      <c r="C180" s="100" t="s">
        <v>14</v>
      </c>
      <c r="D180" s="90">
        <v>5</v>
      </c>
      <c r="E180" s="90">
        <f>D180*3</f>
        <v>15</v>
      </c>
      <c r="F180" s="90">
        <v>70</v>
      </c>
      <c r="G180" s="90">
        <f>F180-E180</f>
        <v>55</v>
      </c>
      <c r="H180" s="90">
        <f>(CleanedDataset!$F132-CleanedDataset!$E132)/CleanedDataset!$F132</f>
        <v>0.70461538461538464</v>
      </c>
      <c r="I180" s="91">
        <v>23</v>
      </c>
      <c r="J180" s="91">
        <f>I180*F180-I180*E180</f>
        <v>1265</v>
      </c>
      <c r="K180" s="91">
        <v>5</v>
      </c>
      <c r="L180" s="91">
        <f>K180*F180-I180*E180</f>
        <v>5</v>
      </c>
      <c r="M180" s="91">
        <v>0</v>
      </c>
      <c r="N180" s="91">
        <f>M180*F180-M180*E180</f>
        <v>0</v>
      </c>
      <c r="O180" s="91">
        <v>0</v>
      </c>
      <c r="P180" s="91">
        <f>O180*F180-O180*E180</f>
        <v>0</v>
      </c>
      <c r="Q180" s="91">
        <v>0</v>
      </c>
      <c r="R180" s="91">
        <f>Q180*F180-Q180*E180</f>
        <v>0</v>
      </c>
      <c r="S180" s="91">
        <v>0</v>
      </c>
      <c r="T180" s="91">
        <f>S180*F180-S180*E180</f>
        <v>0</v>
      </c>
      <c r="U180" s="91">
        <v>0</v>
      </c>
      <c r="V180" s="91">
        <f>U180*F180-U180*E180</f>
        <v>0</v>
      </c>
      <c r="W180" s="91">
        <f>SUM(S180,Q180,O180,M180,K180,I180)</f>
        <v>28</v>
      </c>
      <c r="X180" s="90" t="s">
        <v>10</v>
      </c>
      <c r="Y180" s="92">
        <v>93</v>
      </c>
      <c r="Z180">
        <f>D180*I180</f>
        <v>115</v>
      </c>
    </row>
    <row r="181" spans="1:26" x14ac:dyDescent="0.3">
      <c r="A181" s="93" t="s">
        <v>34</v>
      </c>
      <c r="B181" s="98" t="s">
        <v>35</v>
      </c>
      <c r="C181" s="98" t="s">
        <v>12</v>
      </c>
      <c r="D181" s="95">
        <v>5</v>
      </c>
      <c r="E181" s="95">
        <f>D181*3</f>
        <v>15</v>
      </c>
      <c r="F181" s="95">
        <v>70</v>
      </c>
      <c r="G181" s="95">
        <f>F181-E181</f>
        <v>55</v>
      </c>
      <c r="H181" s="95">
        <f>(CleanedDataset!$F165-CleanedDataset!$E165)/CleanedDataset!$F165</f>
        <v>0.86</v>
      </c>
      <c r="I181" s="96">
        <v>890</v>
      </c>
      <c r="J181" s="96">
        <f>I181*F181-I181*E181</f>
        <v>48950</v>
      </c>
      <c r="K181" s="96">
        <v>765</v>
      </c>
      <c r="L181" s="96">
        <f>K181*F181-I181*E181</f>
        <v>40200</v>
      </c>
      <c r="M181" s="96">
        <v>521</v>
      </c>
      <c r="N181" s="96">
        <f>M181*F181-M181*E181</f>
        <v>28655</v>
      </c>
      <c r="O181" s="96">
        <v>220</v>
      </c>
      <c r="P181" s="96">
        <f>O181*F181-O181*E181</f>
        <v>12100</v>
      </c>
      <c r="Q181" s="96">
        <v>349</v>
      </c>
      <c r="R181" s="96">
        <f>Q181*F181-Q181*E181</f>
        <v>19195</v>
      </c>
      <c r="S181" s="96">
        <v>1385</v>
      </c>
      <c r="T181" s="96">
        <f>S181*F181-S181*E181</f>
        <v>76175</v>
      </c>
      <c r="U181" s="96">
        <v>1290</v>
      </c>
      <c r="V181" s="96">
        <f>U181*F181-U181*E181</f>
        <v>70950</v>
      </c>
      <c r="W181" s="96">
        <f>SUM(S181,Q181,O181,M181,K181,I181)</f>
        <v>4130</v>
      </c>
      <c r="X181" s="95" t="s">
        <v>10</v>
      </c>
      <c r="Y181" s="97">
        <v>93</v>
      </c>
      <c r="Z181">
        <f>D181*I181</f>
        <v>4450</v>
      </c>
    </row>
    <row r="182" spans="1:26" x14ac:dyDescent="0.3">
      <c r="A182" s="93" t="s">
        <v>34</v>
      </c>
      <c r="B182" s="98" t="s">
        <v>35</v>
      </c>
      <c r="C182" s="98" t="s">
        <v>9</v>
      </c>
      <c r="D182" s="95">
        <v>5</v>
      </c>
      <c r="E182" s="95">
        <f>D182*2.8</f>
        <v>14</v>
      </c>
      <c r="F182" s="95">
        <v>65</v>
      </c>
      <c r="G182" s="95">
        <f>F182-E182</f>
        <v>51</v>
      </c>
      <c r="H182" s="95">
        <f>(CleanedDataset!$F57-CleanedDataset!$E57)/CleanedDataset!$F57</f>
        <v>0.69882352941176473</v>
      </c>
      <c r="I182" s="96">
        <v>728</v>
      </c>
      <c r="J182" s="96">
        <f>I182*F182-I182*E182</f>
        <v>37128</v>
      </c>
      <c r="K182" s="96">
        <v>871</v>
      </c>
      <c r="L182" s="96">
        <f>K182*F182-I182*E182</f>
        <v>46423</v>
      </c>
      <c r="M182" s="96">
        <v>913</v>
      </c>
      <c r="N182" s="96">
        <f>M182*F182-M182*E182</f>
        <v>46563</v>
      </c>
      <c r="O182" s="96">
        <v>1800</v>
      </c>
      <c r="P182" s="96">
        <f>O182*F182-O182*E182</f>
        <v>91800</v>
      </c>
      <c r="Q182" s="96">
        <v>1315</v>
      </c>
      <c r="R182" s="96">
        <f>Q182*F182-Q182*E182</f>
        <v>67065</v>
      </c>
      <c r="S182" s="96">
        <v>577</v>
      </c>
      <c r="T182" s="96">
        <f>S182*F182-S182*E182</f>
        <v>29427</v>
      </c>
      <c r="U182" s="96">
        <v>573</v>
      </c>
      <c r="V182" s="96">
        <f>U182*F182-U182*E182</f>
        <v>29223</v>
      </c>
      <c r="W182" s="96">
        <f>SUM(S182,Q182,O182,M182,K182,I182)</f>
        <v>6204</v>
      </c>
      <c r="X182" s="95" t="s">
        <v>10</v>
      </c>
      <c r="Y182" s="97">
        <v>93</v>
      </c>
      <c r="Z182">
        <f>D182*I182</f>
        <v>3640</v>
      </c>
    </row>
    <row r="183" spans="1:26" x14ac:dyDescent="0.3">
      <c r="A183" s="88" t="s">
        <v>61</v>
      </c>
      <c r="B183" s="89" t="s">
        <v>62</v>
      </c>
      <c r="C183" s="100" t="s">
        <v>43</v>
      </c>
      <c r="D183" s="90">
        <v>3.5</v>
      </c>
      <c r="E183" s="90">
        <f>D183*3</f>
        <v>10.5</v>
      </c>
      <c r="F183" s="90">
        <v>35</v>
      </c>
      <c r="G183" s="90">
        <f>F183-E183</f>
        <v>24.5</v>
      </c>
      <c r="H183" s="90">
        <f>(CleanedDataset!$F64-CleanedDataset!$E64)/CleanedDataset!$F64</f>
        <v>0.44</v>
      </c>
      <c r="I183" s="91">
        <v>0</v>
      </c>
      <c r="J183" s="91">
        <f>I183*F183-I183*E183</f>
        <v>0</v>
      </c>
      <c r="K183" s="91">
        <v>13</v>
      </c>
      <c r="L183" s="91">
        <f>K183*F183-I183*E183</f>
        <v>455</v>
      </c>
      <c r="M183" s="91">
        <v>0</v>
      </c>
      <c r="N183" s="91">
        <f>M183*F183-M183*E183</f>
        <v>0</v>
      </c>
      <c r="O183" s="91">
        <v>0</v>
      </c>
      <c r="P183" s="91">
        <f>O183*F183-O183*E183</f>
        <v>0</v>
      </c>
      <c r="Q183" s="91">
        <v>0</v>
      </c>
      <c r="R183" s="91">
        <f>Q183*F183-Q183*E183</f>
        <v>0</v>
      </c>
      <c r="S183" s="91">
        <v>0</v>
      </c>
      <c r="T183" s="91">
        <f>S183*F183-S183*E183</f>
        <v>0</v>
      </c>
      <c r="U183" s="91">
        <v>0</v>
      </c>
      <c r="V183" s="91">
        <f>U183*F183-U183*E183</f>
        <v>0</v>
      </c>
      <c r="W183" s="91">
        <f>SUM(S183,Q183,O183,M183,K183,I183)</f>
        <v>13</v>
      </c>
      <c r="X183" s="90" t="s">
        <v>10</v>
      </c>
      <c r="Y183" s="92">
        <v>100</v>
      </c>
      <c r="Z183">
        <f>D183*I183</f>
        <v>0</v>
      </c>
    </row>
    <row r="184" spans="1:26" x14ac:dyDescent="0.3">
      <c r="A184" s="88" t="s">
        <v>61</v>
      </c>
      <c r="B184" s="89" t="s">
        <v>62</v>
      </c>
      <c r="C184" s="100" t="s">
        <v>12</v>
      </c>
      <c r="D184" s="90">
        <v>3.5</v>
      </c>
      <c r="E184" s="90">
        <f>D184*3</f>
        <v>10.5</v>
      </c>
      <c r="F184" s="90">
        <v>35</v>
      </c>
      <c r="G184" s="90">
        <f>F184-E184</f>
        <v>24.5</v>
      </c>
      <c r="H184" s="90">
        <f>(CleanedDataset!$F160-CleanedDataset!$E160)/CleanedDataset!$F160</f>
        <v>0.7</v>
      </c>
      <c r="I184" s="91">
        <v>433</v>
      </c>
      <c r="J184" s="91">
        <f>I184*F184-I184*E184</f>
        <v>10608.5</v>
      </c>
      <c r="K184" s="91">
        <v>350</v>
      </c>
      <c r="L184" s="91">
        <f>K184*F184-I184*E184</f>
        <v>7703.5</v>
      </c>
      <c r="M184" s="91">
        <v>235</v>
      </c>
      <c r="N184" s="91">
        <f>M184*F184-M184*E184</f>
        <v>5757.5</v>
      </c>
      <c r="O184" s="91">
        <v>170</v>
      </c>
      <c r="P184" s="91">
        <f>O184*F184-O184*E184</f>
        <v>4165</v>
      </c>
      <c r="Q184" s="91">
        <v>55</v>
      </c>
      <c r="R184" s="91">
        <f>Q184*F184-Q184*E184</f>
        <v>1347.5</v>
      </c>
      <c r="S184" s="91">
        <v>135</v>
      </c>
      <c r="T184" s="91">
        <f>S184*F184-S184*E184</f>
        <v>3307.5</v>
      </c>
      <c r="U184" s="91">
        <v>120</v>
      </c>
      <c r="V184" s="91">
        <f>U184*F184-U184*E184</f>
        <v>2940</v>
      </c>
      <c r="W184" s="91">
        <f>SUM(S184,Q184,O184,M184,K184,I184)</f>
        <v>1378</v>
      </c>
      <c r="X184" s="90" t="s">
        <v>10</v>
      </c>
      <c r="Y184" s="92">
        <v>99</v>
      </c>
      <c r="Z184">
        <f>D184*I184</f>
        <v>1515.5</v>
      </c>
    </row>
    <row r="185" spans="1:26" x14ac:dyDescent="0.3">
      <c r="A185" s="93" t="s">
        <v>61</v>
      </c>
      <c r="B185" s="94" t="s">
        <v>62</v>
      </c>
      <c r="C185" s="98" t="s">
        <v>9</v>
      </c>
      <c r="D185" s="95">
        <v>3.5</v>
      </c>
      <c r="E185" s="95">
        <f>D185*2.8</f>
        <v>9.7999999999999989</v>
      </c>
      <c r="F185" s="95">
        <v>28</v>
      </c>
      <c r="G185" s="95">
        <f>F185-E185</f>
        <v>18.200000000000003</v>
      </c>
      <c r="H185" s="95">
        <f>(CleanedDataset!$F49-CleanedDataset!$E49)/CleanedDataset!$F49</f>
        <v>0.73417721518987344</v>
      </c>
      <c r="I185" s="96">
        <v>299</v>
      </c>
      <c r="J185" s="96">
        <f>I185*F185-I185*E185</f>
        <v>5441.8</v>
      </c>
      <c r="K185" s="96">
        <v>83</v>
      </c>
      <c r="L185" s="96">
        <f>K185*F185-I185*E185</f>
        <v>-606.19999999999982</v>
      </c>
      <c r="M185" s="96">
        <v>176</v>
      </c>
      <c r="N185" s="96">
        <f>M185*F185-M185*E185</f>
        <v>3203.2000000000003</v>
      </c>
      <c r="O185" s="96">
        <v>400</v>
      </c>
      <c r="P185" s="96">
        <f>O185*F185-O185*E185</f>
        <v>7280</v>
      </c>
      <c r="Q185" s="96">
        <v>427</v>
      </c>
      <c r="R185" s="96">
        <f>Q185*F185-Q185*E185</f>
        <v>7771.4000000000005</v>
      </c>
      <c r="S185" s="96">
        <v>459</v>
      </c>
      <c r="T185" s="96">
        <f>S185*F185-S185*E185</f>
        <v>8353.7999999999993</v>
      </c>
      <c r="U185" s="96">
        <v>369</v>
      </c>
      <c r="V185" s="96">
        <f>U185*F185-U185*E185</f>
        <v>6715.8</v>
      </c>
      <c r="W185" s="96">
        <f>SUM(S185,Q185,O185,M185,K185,I185)</f>
        <v>1844</v>
      </c>
      <c r="X185" s="95" t="s">
        <v>10</v>
      </c>
      <c r="Y185" s="97">
        <v>99</v>
      </c>
      <c r="Z185">
        <f>D185*I185</f>
        <v>1046.5</v>
      </c>
    </row>
    <row r="186" spans="1:26" x14ac:dyDescent="0.3">
      <c r="A186" s="93" t="s">
        <v>76</v>
      </c>
      <c r="B186" s="98" t="s">
        <v>59</v>
      </c>
      <c r="C186" s="98" t="s">
        <v>43</v>
      </c>
      <c r="D186" s="95">
        <v>6</v>
      </c>
      <c r="E186" s="95">
        <f>D186*3</f>
        <v>18</v>
      </c>
      <c r="F186" s="95">
        <v>70</v>
      </c>
      <c r="G186" s="95">
        <f>F186-E186</f>
        <v>52</v>
      </c>
      <c r="H186" s="95">
        <f>(CleanedDataset!$F67-CleanedDataset!$E67)/CleanedDataset!$F67</f>
        <v>0.68499999999999994</v>
      </c>
      <c r="I186" s="96">
        <v>0</v>
      </c>
      <c r="J186" s="96">
        <f>I186*F186-I186*E186</f>
        <v>0</v>
      </c>
      <c r="K186" s="96">
        <v>3</v>
      </c>
      <c r="L186" s="96">
        <f>K186*F186-I186*E186</f>
        <v>210</v>
      </c>
      <c r="M186" s="96">
        <v>0</v>
      </c>
      <c r="N186" s="96">
        <f>M186*F186-M186*E186</f>
        <v>0</v>
      </c>
      <c r="O186" s="96">
        <v>0</v>
      </c>
      <c r="P186" s="96">
        <f>O186*F186-O186*E186</f>
        <v>0</v>
      </c>
      <c r="Q186" s="96">
        <v>0</v>
      </c>
      <c r="R186" s="96">
        <f>Q186*F186-Q186*E186</f>
        <v>0</v>
      </c>
      <c r="S186" s="96">
        <v>0</v>
      </c>
      <c r="T186" s="96">
        <f>S186*F186-S186*E186</f>
        <v>0</v>
      </c>
      <c r="U186" s="96">
        <v>0</v>
      </c>
      <c r="V186" s="96">
        <f>U186*F186-U186*E186</f>
        <v>0</v>
      </c>
      <c r="W186" s="96">
        <f>SUM(S186,Q186,O186,M186,K186,I186)</f>
        <v>3</v>
      </c>
      <c r="X186" s="95" t="s">
        <v>10</v>
      </c>
      <c r="Y186" s="97">
        <v>90</v>
      </c>
      <c r="Z186">
        <f>D186*I186</f>
        <v>0</v>
      </c>
    </row>
    <row r="187" spans="1:26" x14ac:dyDescent="0.3">
      <c r="A187" s="93" t="s">
        <v>76</v>
      </c>
      <c r="B187" s="98" t="s">
        <v>59</v>
      </c>
      <c r="C187" s="98" t="s">
        <v>12</v>
      </c>
      <c r="D187" s="95">
        <v>6</v>
      </c>
      <c r="E187" s="95">
        <f>D187*3</f>
        <v>18</v>
      </c>
      <c r="F187" s="95">
        <v>70</v>
      </c>
      <c r="G187" s="95">
        <f>F187-E187</f>
        <v>52</v>
      </c>
      <c r="H187" s="95">
        <f>(CleanedDataset!$F137-CleanedDataset!$E137)/CleanedDataset!$F137</f>
        <v>0.55200000000000005</v>
      </c>
      <c r="I187" s="96">
        <v>3</v>
      </c>
      <c r="J187" s="96">
        <f>I187*F187-I187*E187</f>
        <v>156</v>
      </c>
      <c r="K187" s="96">
        <v>0</v>
      </c>
      <c r="L187" s="96">
        <f>K187*F187-I187*E187</f>
        <v>-54</v>
      </c>
      <c r="M187" s="96">
        <v>0</v>
      </c>
      <c r="N187" s="96">
        <f>M187*F187-M187*E187</f>
        <v>0</v>
      </c>
      <c r="O187" s="96">
        <v>0</v>
      </c>
      <c r="P187" s="96">
        <f>O187*F187-O187*E187</f>
        <v>0</v>
      </c>
      <c r="Q187" s="96">
        <v>0</v>
      </c>
      <c r="R187" s="96">
        <f>Q187*F187-Q187*E187</f>
        <v>0</v>
      </c>
      <c r="S187" s="96">
        <v>0</v>
      </c>
      <c r="T187" s="96">
        <f>S187*F187-S187*E187</f>
        <v>0</v>
      </c>
      <c r="U187" s="96">
        <v>0</v>
      </c>
      <c r="V187" s="96">
        <f>U187*F187-U187*E187</f>
        <v>0</v>
      </c>
      <c r="W187" s="96">
        <f>SUM(S187,Q187,O187,M187,K187,I187)</f>
        <v>3</v>
      </c>
      <c r="X187" s="95" t="s">
        <v>10</v>
      </c>
      <c r="Y187" s="97">
        <v>94</v>
      </c>
      <c r="Z187">
        <f>D187*I187</f>
        <v>18</v>
      </c>
    </row>
    <row r="188" spans="1:26" x14ac:dyDescent="0.3">
      <c r="A188" s="93" t="s">
        <v>76</v>
      </c>
      <c r="B188" s="98" t="s">
        <v>59</v>
      </c>
      <c r="C188" s="98" t="s">
        <v>9</v>
      </c>
      <c r="D188" s="95">
        <v>6</v>
      </c>
      <c r="E188" s="95">
        <f>D188*2.8</f>
        <v>16.799999999999997</v>
      </c>
      <c r="F188" s="95">
        <v>60</v>
      </c>
      <c r="G188" s="95">
        <f>F188-E188</f>
        <v>43.2</v>
      </c>
      <c r="H188" s="95">
        <f>(CleanedDataset!$F11-CleanedDataset!$E11)/CleanedDataset!$F11</f>
        <v>0.7</v>
      </c>
      <c r="I188" s="96">
        <v>10</v>
      </c>
      <c r="J188" s="96">
        <f>I188*F188-I188*E188</f>
        <v>432</v>
      </c>
      <c r="K188" s="96">
        <v>10</v>
      </c>
      <c r="L188" s="96">
        <f>K188*F188-I188*E188</f>
        <v>432</v>
      </c>
      <c r="M188" s="96">
        <v>12</v>
      </c>
      <c r="N188" s="96">
        <f>M188*F188-M188*E188</f>
        <v>518.40000000000009</v>
      </c>
      <c r="O188" s="96">
        <v>13</v>
      </c>
      <c r="P188" s="96">
        <f>O188*F188-O188*E188</f>
        <v>561.6</v>
      </c>
      <c r="Q188" s="96">
        <v>36</v>
      </c>
      <c r="R188" s="96">
        <f>Q188*F188-Q188*E188</f>
        <v>1555.2</v>
      </c>
      <c r="S188" s="96">
        <v>34</v>
      </c>
      <c r="T188" s="96">
        <f>S188*F188-S188*E188</f>
        <v>1468.8000000000002</v>
      </c>
      <c r="U188" s="96">
        <v>0</v>
      </c>
      <c r="V188" s="96">
        <f>U188*F188-U188*E188</f>
        <v>0</v>
      </c>
      <c r="W188" s="96">
        <f>SUM(S188,Q188,O188,M188,K188,I188)</f>
        <v>115</v>
      </c>
      <c r="X188" s="95" t="s">
        <v>10</v>
      </c>
      <c r="Y188" s="97">
        <v>98</v>
      </c>
      <c r="Z188">
        <f>D188*I188</f>
        <v>60</v>
      </c>
    </row>
    <row r="189" spans="1:26" x14ac:dyDescent="0.3">
      <c r="A189" s="88" t="s">
        <v>63</v>
      </c>
      <c r="B189" s="89" t="s">
        <v>59</v>
      </c>
      <c r="C189" s="100" t="s">
        <v>17</v>
      </c>
      <c r="D189" s="90">
        <v>8</v>
      </c>
      <c r="E189" s="90">
        <f>D189*3.2</f>
        <v>25.6</v>
      </c>
      <c r="F189" s="90">
        <v>80</v>
      </c>
      <c r="G189" s="90">
        <f>F189-E189</f>
        <v>54.4</v>
      </c>
      <c r="H189" s="90">
        <f>(CleanedDataset!$F120-CleanedDataset!$E120)/CleanedDataset!$F120</f>
        <v>0.52</v>
      </c>
      <c r="I189" s="91">
        <v>35</v>
      </c>
      <c r="J189" s="91">
        <f>I189*F189-I189*E189</f>
        <v>1904</v>
      </c>
      <c r="K189" s="91">
        <v>23</v>
      </c>
      <c r="L189" s="91">
        <f>K189*F189-I189*E189</f>
        <v>944</v>
      </c>
      <c r="M189" s="91">
        <v>0</v>
      </c>
      <c r="N189" s="91">
        <f>M189*F189-M189*E189</f>
        <v>0</v>
      </c>
      <c r="O189" s="91">
        <v>0</v>
      </c>
      <c r="P189" s="91">
        <f>O189*F189-O189*E189</f>
        <v>0</v>
      </c>
      <c r="Q189" s="91">
        <v>0</v>
      </c>
      <c r="R189" s="91">
        <f>Q189*F189-Q189*E189</f>
        <v>0</v>
      </c>
      <c r="S189" s="91">
        <v>0</v>
      </c>
      <c r="T189" s="91">
        <f>S189*F189-S189*E189</f>
        <v>0</v>
      </c>
      <c r="U189" s="91">
        <v>0</v>
      </c>
      <c r="V189" s="91">
        <f>U189*F189-U189*E189</f>
        <v>0</v>
      </c>
      <c r="W189" s="91">
        <f>SUM(S189,Q189,O189,M189,K189,I189)</f>
        <v>58</v>
      </c>
      <c r="X189" s="90" t="s">
        <v>10</v>
      </c>
      <c r="Y189" s="92">
        <v>93</v>
      </c>
      <c r="Z189">
        <f>D189*I189</f>
        <v>280</v>
      </c>
    </row>
    <row r="190" spans="1:26" x14ac:dyDescent="0.3">
      <c r="A190" s="88" t="s">
        <v>63</v>
      </c>
      <c r="B190" s="89" t="s">
        <v>59</v>
      </c>
      <c r="C190" s="100" t="s">
        <v>12</v>
      </c>
      <c r="D190" s="90">
        <v>8</v>
      </c>
      <c r="E190" s="90">
        <f>D190*3</f>
        <v>24</v>
      </c>
      <c r="F190" s="90">
        <v>80</v>
      </c>
      <c r="G190" s="90">
        <f>F190-E190</f>
        <v>56</v>
      </c>
      <c r="H190" s="90">
        <f>(CleanedDataset!$F154-CleanedDataset!$E154)/CleanedDataset!$F154</f>
        <v>0.65777777777777779</v>
      </c>
      <c r="I190" s="91">
        <v>189</v>
      </c>
      <c r="J190" s="91">
        <f>I190*F190-I190*E190</f>
        <v>10584</v>
      </c>
      <c r="K190" s="91">
        <v>144</v>
      </c>
      <c r="L190" s="91">
        <f>K190*F190-I190*E190</f>
        <v>6984</v>
      </c>
      <c r="M190" s="91">
        <v>64</v>
      </c>
      <c r="N190" s="91">
        <f>M190*F190-M190*E190</f>
        <v>3584</v>
      </c>
      <c r="O190" s="91">
        <v>0</v>
      </c>
      <c r="P190" s="91">
        <f>O190*F190-O190*E190</f>
        <v>0</v>
      </c>
      <c r="Q190" s="91">
        <v>87</v>
      </c>
      <c r="R190" s="91">
        <f>Q190*F190-Q190*E190</f>
        <v>4872</v>
      </c>
      <c r="S190" s="91">
        <v>153</v>
      </c>
      <c r="T190" s="91">
        <f>S190*F190-S190*E190</f>
        <v>8568</v>
      </c>
      <c r="U190" s="91">
        <v>145</v>
      </c>
      <c r="V190" s="91">
        <f>U190*F190-U190*E190</f>
        <v>8120</v>
      </c>
      <c r="W190" s="91">
        <f>SUM(S190,Q190,O190,M190,K190,I190)</f>
        <v>637</v>
      </c>
      <c r="X190" s="90" t="s">
        <v>10</v>
      </c>
      <c r="Y190" s="92">
        <v>98</v>
      </c>
      <c r="Z190">
        <f>D190*I190</f>
        <v>1512</v>
      </c>
    </row>
    <row r="191" spans="1:26" x14ac:dyDescent="0.3">
      <c r="A191" s="93" t="s">
        <v>63</v>
      </c>
      <c r="B191" s="94" t="s">
        <v>59</v>
      </c>
      <c r="C191" s="98" t="s">
        <v>9</v>
      </c>
      <c r="D191" s="95">
        <v>8</v>
      </c>
      <c r="E191" s="95">
        <f>D191*2.8</f>
        <v>22.4</v>
      </c>
      <c r="F191" s="95">
        <v>65</v>
      </c>
      <c r="G191" s="95">
        <f>F191-E191</f>
        <v>42.6</v>
      </c>
      <c r="H191" s="95">
        <f>(CleanedDataset!$F45-CleanedDataset!$E45)/CleanedDataset!$F45</f>
        <v>0.69387755102040816</v>
      </c>
      <c r="I191" s="96">
        <v>163</v>
      </c>
      <c r="J191" s="96">
        <f>I191*F191-I191*E191</f>
        <v>6943.8</v>
      </c>
      <c r="K191" s="96">
        <v>33</v>
      </c>
      <c r="L191" s="96">
        <f>K191*F191-I191*E191</f>
        <v>-1506.1999999999998</v>
      </c>
      <c r="M191" s="96">
        <v>68</v>
      </c>
      <c r="N191" s="96">
        <f>M191*F191-M191*E191</f>
        <v>2896.8</v>
      </c>
      <c r="O191" s="96">
        <v>32</v>
      </c>
      <c r="P191" s="96">
        <f>O191*F191-O191*E191</f>
        <v>1363.2</v>
      </c>
      <c r="Q191" s="96">
        <v>138</v>
      </c>
      <c r="R191" s="96">
        <f>Q191*F191-Q191*E191</f>
        <v>5878.8</v>
      </c>
      <c r="S191" s="96">
        <v>386</v>
      </c>
      <c r="T191" s="96">
        <f>S191*F191-S191*E191</f>
        <v>16443.599999999999</v>
      </c>
      <c r="U191" s="96">
        <v>233</v>
      </c>
      <c r="V191" s="96">
        <f>U191*F191-U191*E191</f>
        <v>9925.7999999999993</v>
      </c>
      <c r="W191" s="96">
        <f>SUM(S191,Q191,O191,M191,K191,I191)</f>
        <v>820</v>
      </c>
      <c r="X191" s="95" t="s">
        <v>10</v>
      </c>
      <c r="Y191" s="97">
        <v>91</v>
      </c>
      <c r="Z191">
        <f>D191*I191</f>
        <v>1304</v>
      </c>
    </row>
    <row r="192" spans="1:26" x14ac:dyDescent="0.3">
      <c r="A192" s="88" t="s">
        <v>58</v>
      </c>
      <c r="B192" s="89" t="s">
        <v>59</v>
      </c>
      <c r="C192" s="100" t="s">
        <v>17</v>
      </c>
      <c r="D192" s="90">
        <v>3.5</v>
      </c>
      <c r="E192" s="90">
        <f>D192*3.2</f>
        <v>11.200000000000001</v>
      </c>
      <c r="F192" s="90">
        <v>65</v>
      </c>
      <c r="G192" s="90">
        <f>F192-E192</f>
        <v>53.8</v>
      </c>
      <c r="H192" s="90">
        <f>(CleanedDataset!$F118-CleanedDataset!$E118)/CleanedDataset!$F118</f>
        <v>0.57333333333333336</v>
      </c>
      <c r="I192" s="91">
        <v>35</v>
      </c>
      <c r="J192" s="91">
        <f>I192*F192-I192*E192</f>
        <v>1883</v>
      </c>
      <c r="K192" s="91">
        <v>0</v>
      </c>
      <c r="L192" s="91">
        <f>K192*F192-I192*E192</f>
        <v>-392.00000000000006</v>
      </c>
      <c r="M192" s="91">
        <v>0</v>
      </c>
      <c r="N192" s="91">
        <f>M192*F192-M192*E192</f>
        <v>0</v>
      </c>
      <c r="O192" s="91">
        <v>0</v>
      </c>
      <c r="P192" s="91">
        <f>O192*F192-O192*E192</f>
        <v>0</v>
      </c>
      <c r="Q192" s="91">
        <v>0</v>
      </c>
      <c r="R192" s="91">
        <f>Q192*F192-Q192*E192</f>
        <v>0</v>
      </c>
      <c r="S192" s="91">
        <v>0</v>
      </c>
      <c r="T192" s="91">
        <f>S192*F192-S192*E192</f>
        <v>0</v>
      </c>
      <c r="U192" s="91">
        <v>0</v>
      </c>
      <c r="V192" s="91">
        <f>U192*F192-U192*E192</f>
        <v>0</v>
      </c>
      <c r="W192" s="91">
        <f>SUM(S192,Q192,O192,M192,K192,I192)</f>
        <v>35</v>
      </c>
      <c r="X192" s="90" t="s">
        <v>10</v>
      </c>
      <c r="Y192" s="92">
        <v>96</v>
      </c>
      <c r="Z192">
        <f>D192*I192</f>
        <v>122.5</v>
      </c>
    </row>
    <row r="193" spans="1:26" x14ac:dyDescent="0.3">
      <c r="A193" s="93" t="s">
        <v>58</v>
      </c>
      <c r="B193" s="94" t="s">
        <v>59</v>
      </c>
      <c r="C193" s="98" t="s">
        <v>25</v>
      </c>
      <c r="D193" s="95">
        <v>3.5</v>
      </c>
      <c r="E193" s="95">
        <f>D193*3</f>
        <v>10.5</v>
      </c>
      <c r="F193" s="95">
        <v>50</v>
      </c>
      <c r="G193" s="95">
        <f>F193-E193</f>
        <v>39.5</v>
      </c>
      <c r="H193" s="95">
        <f>(CleanedDataset!$F85-CleanedDataset!$E85)/CleanedDataset!$F85</f>
        <v>0.29411764705882354</v>
      </c>
      <c r="I193" s="96">
        <v>3</v>
      </c>
      <c r="J193" s="96">
        <f>I193*F193-I193*E193</f>
        <v>118.5</v>
      </c>
      <c r="K193" s="96">
        <v>0</v>
      </c>
      <c r="L193" s="96">
        <f>K193*F193-I193*E193</f>
        <v>-31.5</v>
      </c>
      <c r="M193" s="96">
        <v>0</v>
      </c>
      <c r="N193" s="96">
        <f>M193*F193-M193*E193</f>
        <v>0</v>
      </c>
      <c r="O193" s="96">
        <v>0</v>
      </c>
      <c r="P193" s="96">
        <f>O193*F193-O193*E193</f>
        <v>0</v>
      </c>
      <c r="Q193" s="96">
        <v>0</v>
      </c>
      <c r="R193" s="96">
        <f>Q193*F193-Q193*E193</f>
        <v>0</v>
      </c>
      <c r="S193" s="96">
        <v>0</v>
      </c>
      <c r="T193" s="96">
        <f>S193*F193-S193*E193</f>
        <v>0</v>
      </c>
      <c r="U193" s="96">
        <v>0</v>
      </c>
      <c r="V193" s="96">
        <f>U193*F193-U193*E193</f>
        <v>0</v>
      </c>
      <c r="W193" s="96">
        <f>SUM(S193,Q193,O193,M193,K193,I193)</f>
        <v>3</v>
      </c>
      <c r="X193" s="95" t="s">
        <v>10</v>
      </c>
      <c r="Y193" s="97">
        <v>93</v>
      </c>
      <c r="Z193">
        <f>D193*I193</f>
        <v>10.5</v>
      </c>
    </row>
    <row r="194" spans="1:26" x14ac:dyDescent="0.3">
      <c r="A194" s="93" t="s">
        <v>58</v>
      </c>
      <c r="B194" s="94" t="s">
        <v>59</v>
      </c>
      <c r="C194" s="98" t="s">
        <v>12</v>
      </c>
      <c r="D194" s="95">
        <v>3.5</v>
      </c>
      <c r="E194" s="95">
        <f>D194*3</f>
        <v>10.5</v>
      </c>
      <c r="F194" s="95">
        <v>50</v>
      </c>
      <c r="G194" s="95">
        <f>F194-E194</f>
        <v>39.5</v>
      </c>
      <c r="H194" s="95">
        <f>(CleanedDataset!$F139-CleanedDataset!$E139)/CleanedDataset!$F139</f>
        <v>0.55200000000000005</v>
      </c>
      <c r="I194" s="96">
        <v>5</v>
      </c>
      <c r="J194" s="96">
        <f>I194*F194-I194*E194</f>
        <v>197.5</v>
      </c>
      <c r="K194" s="96">
        <v>0</v>
      </c>
      <c r="L194" s="96">
        <f>K194*F194-I194*E194</f>
        <v>-52.5</v>
      </c>
      <c r="M194" s="96">
        <v>0</v>
      </c>
      <c r="N194" s="96">
        <f>M194*F194-M194*E194</f>
        <v>0</v>
      </c>
      <c r="O194" s="96">
        <v>0</v>
      </c>
      <c r="P194" s="96">
        <f>O194*F194-O194*E194</f>
        <v>0</v>
      </c>
      <c r="Q194" s="96">
        <v>0</v>
      </c>
      <c r="R194" s="96">
        <f>Q194*F194-Q194*E194</f>
        <v>0</v>
      </c>
      <c r="S194" s="96">
        <v>0</v>
      </c>
      <c r="T194" s="96">
        <f>S194*F194-S194*E194</f>
        <v>0</v>
      </c>
      <c r="U194" s="96">
        <v>0</v>
      </c>
      <c r="V194" s="96">
        <f>U194*F194-U194*E194</f>
        <v>0</v>
      </c>
      <c r="W194" s="96">
        <f>SUM(S194,Q194,O194,M194,K194,I194)</f>
        <v>5</v>
      </c>
      <c r="X194" s="95" t="s">
        <v>10</v>
      </c>
      <c r="Y194" s="97">
        <v>92</v>
      </c>
      <c r="Z194">
        <f>D194*I194</f>
        <v>17.5</v>
      </c>
    </row>
    <row r="195" spans="1:26" x14ac:dyDescent="0.3">
      <c r="A195" s="88" t="s">
        <v>58</v>
      </c>
      <c r="B195" s="89" t="s">
        <v>59</v>
      </c>
      <c r="C195" s="100" t="s">
        <v>9</v>
      </c>
      <c r="D195" s="90">
        <v>3.5</v>
      </c>
      <c r="E195" s="90">
        <f>D195*2.8</f>
        <v>9.7999999999999989</v>
      </c>
      <c r="F195" s="90">
        <v>35</v>
      </c>
      <c r="G195" s="90">
        <f>F195-E195</f>
        <v>25.200000000000003</v>
      </c>
      <c r="H195" s="90">
        <f>(CleanedDataset!$F36-CleanedDataset!$E36)/CleanedDataset!$F36</f>
        <v>0.77272727272727271</v>
      </c>
      <c r="I195" s="91">
        <v>62</v>
      </c>
      <c r="J195" s="91">
        <f>I195*F195-I195*E195</f>
        <v>1562.4</v>
      </c>
      <c r="K195" s="91">
        <v>36</v>
      </c>
      <c r="L195" s="91">
        <f>K195*F195-I195*E195</f>
        <v>652.40000000000009</v>
      </c>
      <c r="M195" s="91">
        <v>46</v>
      </c>
      <c r="N195" s="91">
        <f>M195*F195-M195*E195</f>
        <v>1159.2</v>
      </c>
      <c r="O195" s="91">
        <v>34</v>
      </c>
      <c r="P195" s="91">
        <f>O195*F195-O195*E195</f>
        <v>856.8</v>
      </c>
      <c r="Q195" s="91">
        <v>1</v>
      </c>
      <c r="R195" s="91">
        <f>Q195*F195-Q195*E195</f>
        <v>25.200000000000003</v>
      </c>
      <c r="S195" s="91">
        <v>1</v>
      </c>
      <c r="T195" s="91">
        <f>S195*F195-S195*E195</f>
        <v>25.200000000000003</v>
      </c>
      <c r="U195" s="91">
        <v>4</v>
      </c>
      <c r="V195" s="91">
        <f>U195*F195-U195*E195</f>
        <v>100.80000000000001</v>
      </c>
      <c r="W195" s="91">
        <f>SUM(S195,Q195,O195,M195,K195,I195)</f>
        <v>180</v>
      </c>
      <c r="X195" s="90" t="s">
        <v>10</v>
      </c>
      <c r="Y195" s="92">
        <v>100</v>
      </c>
      <c r="Z195">
        <f>D195*I195</f>
        <v>217</v>
      </c>
    </row>
    <row r="196" spans="1:26" x14ac:dyDescent="0.3">
      <c r="A196" s="88" t="s">
        <v>65</v>
      </c>
      <c r="B196" s="100" t="s">
        <v>59</v>
      </c>
      <c r="C196" s="100" t="s">
        <v>17</v>
      </c>
      <c r="D196" s="90">
        <v>10</v>
      </c>
      <c r="E196" s="90">
        <f>D196*3.2</f>
        <v>32</v>
      </c>
      <c r="F196" s="90">
        <v>160</v>
      </c>
      <c r="G196" s="90">
        <f>F196-E196</f>
        <v>128</v>
      </c>
      <c r="H196" s="90">
        <f>(CleanedDataset!$F124-CleanedDataset!$E124)/CleanedDataset!$F124</f>
        <v>0.624</v>
      </c>
      <c r="I196" s="91">
        <v>55</v>
      </c>
      <c r="J196" s="91">
        <f>I196*F196-I196*E196</f>
        <v>7040</v>
      </c>
      <c r="K196" s="91">
        <v>0</v>
      </c>
      <c r="L196" s="91">
        <f>K196*F196-I196*E196</f>
        <v>-1760</v>
      </c>
      <c r="M196" s="91">
        <v>0</v>
      </c>
      <c r="N196" s="91">
        <f>M196*F196-M196*E196</f>
        <v>0</v>
      </c>
      <c r="O196" s="91">
        <v>0</v>
      </c>
      <c r="P196" s="91">
        <f>O196*F196-O196*E196</f>
        <v>0</v>
      </c>
      <c r="Q196" s="91">
        <v>0</v>
      </c>
      <c r="R196" s="91">
        <f>Q196*F196-Q196*E196</f>
        <v>0</v>
      </c>
      <c r="S196" s="91">
        <v>0</v>
      </c>
      <c r="T196" s="91">
        <f>S196*F196-S196*E196</f>
        <v>0</v>
      </c>
      <c r="U196" s="91">
        <v>0</v>
      </c>
      <c r="V196" s="91">
        <f>U196*F196-U196*E196</f>
        <v>0</v>
      </c>
      <c r="W196" s="91">
        <f>SUM(S196,Q196,O196,M196,K196,I196)</f>
        <v>55</v>
      </c>
      <c r="X196" s="90" t="s">
        <v>10</v>
      </c>
      <c r="Y196" s="92">
        <v>99</v>
      </c>
      <c r="Z196">
        <f>D196*I196</f>
        <v>550</v>
      </c>
    </row>
    <row r="197" spans="1:26" x14ac:dyDescent="0.3">
      <c r="A197" s="93" t="s">
        <v>65</v>
      </c>
      <c r="B197" s="98" t="s">
        <v>59</v>
      </c>
      <c r="C197" s="98" t="s">
        <v>12</v>
      </c>
      <c r="D197" s="95">
        <v>10</v>
      </c>
      <c r="E197" s="95">
        <f>D197*3</f>
        <v>30</v>
      </c>
      <c r="F197" s="95">
        <v>145</v>
      </c>
      <c r="G197" s="95">
        <f>F197-E197</f>
        <v>115</v>
      </c>
      <c r="H197" s="95">
        <f>(CleanedDataset!$F147-CleanedDataset!$E147)/CleanedDataset!$F147</f>
        <v>0.59351351351351345</v>
      </c>
      <c r="I197" s="96">
        <v>45</v>
      </c>
      <c r="J197" s="96">
        <f>I197*F197-I197*E197</f>
        <v>5175</v>
      </c>
      <c r="K197" s="96">
        <v>35</v>
      </c>
      <c r="L197" s="96">
        <f>K197*F197-I197*E197</f>
        <v>3725</v>
      </c>
      <c r="M197" s="96">
        <v>30</v>
      </c>
      <c r="N197" s="96">
        <f>M197*F197-M197*E197</f>
        <v>3450</v>
      </c>
      <c r="O197" s="96">
        <v>20</v>
      </c>
      <c r="P197" s="96">
        <f>O197*F197-O197*E197</f>
        <v>2300</v>
      </c>
      <c r="Q197" s="96">
        <v>15</v>
      </c>
      <c r="R197" s="96">
        <f>Q197*F197-Q197*E197</f>
        <v>1725</v>
      </c>
      <c r="S197" s="96">
        <v>50</v>
      </c>
      <c r="T197" s="96">
        <f>S197*F197-S197*E197</f>
        <v>5750</v>
      </c>
      <c r="U197" s="96">
        <v>45</v>
      </c>
      <c r="V197" s="96">
        <f>U197*F197-U197*E197</f>
        <v>5175</v>
      </c>
      <c r="W197" s="96">
        <f>SUM(S197,Q197,O197,M197,K197,I197)</f>
        <v>195</v>
      </c>
      <c r="X197" s="95" t="s">
        <v>10</v>
      </c>
      <c r="Y197" s="97">
        <v>100</v>
      </c>
      <c r="Z197">
        <f>D197*I197</f>
        <v>450</v>
      </c>
    </row>
    <row r="198" spans="1:26" x14ac:dyDescent="0.3">
      <c r="A198" s="88" t="s">
        <v>65</v>
      </c>
      <c r="B198" s="100" t="s">
        <v>59</v>
      </c>
      <c r="C198" s="100" t="s">
        <v>9</v>
      </c>
      <c r="D198" s="90">
        <v>10</v>
      </c>
      <c r="E198" s="90">
        <f>D198*2.8</f>
        <v>28</v>
      </c>
      <c r="F198" s="90">
        <v>130</v>
      </c>
      <c r="G198" s="90">
        <f>F198-E198</f>
        <v>102</v>
      </c>
      <c r="H198" s="90">
        <f>(CleanedDataset!$F26-CleanedDataset!$E26)/CleanedDataset!$F26</f>
        <v>0.47499999999999998</v>
      </c>
      <c r="I198" s="91">
        <v>38</v>
      </c>
      <c r="J198" s="91">
        <f>I198*F198-I198*E198</f>
        <v>3876</v>
      </c>
      <c r="K198" s="91">
        <v>16</v>
      </c>
      <c r="L198" s="91">
        <f>K198*F198-I198*E198</f>
        <v>1016</v>
      </c>
      <c r="M198" s="91">
        <v>36</v>
      </c>
      <c r="N198" s="91">
        <f>M198*F198-M198*E198</f>
        <v>3672</v>
      </c>
      <c r="O198" s="91">
        <v>79</v>
      </c>
      <c r="P198" s="91">
        <f>O198*F198-O198*E198</f>
        <v>8058</v>
      </c>
      <c r="Q198" s="91">
        <v>23</v>
      </c>
      <c r="R198" s="91">
        <f>Q198*F198-Q198*E198</f>
        <v>2346</v>
      </c>
      <c r="S198" s="91">
        <v>78</v>
      </c>
      <c r="T198" s="91">
        <f>S198*F198-S198*E198</f>
        <v>7956</v>
      </c>
      <c r="U198" s="91">
        <v>124</v>
      </c>
      <c r="V198" s="91">
        <f>U198*F198-U198*E198</f>
        <v>12648</v>
      </c>
      <c r="W198" s="91">
        <f>SUM(S198,Q198,O198,M198,K198,I198)</f>
        <v>270</v>
      </c>
      <c r="X198" s="90" t="s">
        <v>10</v>
      </c>
      <c r="Y198" s="92">
        <v>97</v>
      </c>
      <c r="Z198">
        <f>D198*I198</f>
        <v>380</v>
      </c>
    </row>
    <row r="199" spans="1:26" x14ac:dyDescent="0.3">
      <c r="A199" s="93" t="s">
        <v>60</v>
      </c>
      <c r="B199" s="98" t="s">
        <v>59</v>
      </c>
      <c r="C199" s="98" t="s">
        <v>17</v>
      </c>
      <c r="D199" s="95">
        <v>5.5</v>
      </c>
      <c r="E199" s="95">
        <f>D199*3.2</f>
        <v>17.600000000000001</v>
      </c>
      <c r="F199" s="95">
        <v>95</v>
      </c>
      <c r="G199" s="95">
        <f>F199-E199</f>
        <v>77.400000000000006</v>
      </c>
      <c r="H199" s="95">
        <f>(CleanedDataset!$F119-CleanedDataset!$E119)/CleanedDataset!$F119</f>
        <v>0.52</v>
      </c>
      <c r="I199" s="96">
        <v>35</v>
      </c>
      <c r="J199" s="96">
        <f>I199*F199-I199*E199</f>
        <v>2709</v>
      </c>
      <c r="K199" s="96">
        <v>0</v>
      </c>
      <c r="L199" s="96">
        <f>K199*F199-I199*E199</f>
        <v>-616</v>
      </c>
      <c r="M199" s="96">
        <v>0</v>
      </c>
      <c r="N199" s="96">
        <f>M199*F199-M199*E199</f>
        <v>0</v>
      </c>
      <c r="O199" s="96">
        <v>0</v>
      </c>
      <c r="P199" s="96">
        <f>O199*F199-O199*E199</f>
        <v>0</v>
      </c>
      <c r="Q199" s="96">
        <v>0</v>
      </c>
      <c r="R199" s="96">
        <f>Q199*F199-Q199*E199</f>
        <v>0</v>
      </c>
      <c r="S199" s="96">
        <v>0</v>
      </c>
      <c r="T199" s="96">
        <f>S199*F199-S199*E199</f>
        <v>0</v>
      </c>
      <c r="U199" s="96">
        <v>0</v>
      </c>
      <c r="V199" s="96">
        <f>U199*F199-U199*E199</f>
        <v>0</v>
      </c>
      <c r="W199" s="96">
        <f>SUM(S199,Q199,O199,M199,K199,I199)</f>
        <v>35</v>
      </c>
      <c r="X199" s="95" t="s">
        <v>10</v>
      </c>
      <c r="Y199" s="97">
        <v>96</v>
      </c>
      <c r="Z199">
        <f>D199*I199</f>
        <v>192.5</v>
      </c>
    </row>
    <row r="200" spans="1:26" x14ac:dyDescent="0.3">
      <c r="A200" s="93" t="s">
        <v>60</v>
      </c>
      <c r="B200" s="98" t="s">
        <v>59</v>
      </c>
      <c r="C200" s="98" t="s">
        <v>12</v>
      </c>
      <c r="D200" s="95">
        <v>5.5</v>
      </c>
      <c r="E200" s="95">
        <f>D200*3</f>
        <v>16.5</v>
      </c>
      <c r="F200" s="95">
        <v>80</v>
      </c>
      <c r="G200" s="95">
        <f>F200-E200</f>
        <v>63.5</v>
      </c>
      <c r="H200" s="95">
        <f>(CleanedDataset!$F155-CleanedDataset!$E155)/CleanedDataset!$F155</f>
        <v>0.75111111111111106</v>
      </c>
      <c r="I200" s="96">
        <v>200</v>
      </c>
      <c r="J200" s="96">
        <f>I200*F200-I200*E200</f>
        <v>12700</v>
      </c>
      <c r="K200" s="96">
        <v>45</v>
      </c>
      <c r="L200" s="96">
        <f>K200*F200-I200*E200</f>
        <v>300</v>
      </c>
      <c r="M200" s="96">
        <v>5</v>
      </c>
      <c r="N200" s="96">
        <f>M200*F200-M200*E200</f>
        <v>317.5</v>
      </c>
      <c r="O200" s="96">
        <v>0</v>
      </c>
      <c r="P200" s="96">
        <f>O200*F200-O200*E200</f>
        <v>0</v>
      </c>
      <c r="Q200" s="96">
        <v>0</v>
      </c>
      <c r="R200" s="96">
        <f>Q200*F200-Q200*E200</f>
        <v>0</v>
      </c>
      <c r="S200" s="96">
        <v>0</v>
      </c>
      <c r="T200" s="96">
        <f>S200*F200-S200*E200</f>
        <v>0</v>
      </c>
      <c r="U200" s="96">
        <v>0</v>
      </c>
      <c r="V200" s="96">
        <f>U200*F200-U200*E200</f>
        <v>0</v>
      </c>
      <c r="W200" s="96">
        <f>SUM(S200,Q200,O200,M200,K200,I200)</f>
        <v>250</v>
      </c>
      <c r="X200" s="95" t="s">
        <v>10</v>
      </c>
      <c r="Y200" s="97">
        <v>92</v>
      </c>
      <c r="Z200">
        <f>D200*I200</f>
        <v>1100</v>
      </c>
    </row>
    <row r="201" spans="1:26" x14ac:dyDescent="0.3">
      <c r="A201" s="88" t="s">
        <v>60</v>
      </c>
      <c r="B201" s="100" t="s">
        <v>59</v>
      </c>
      <c r="C201" s="100" t="s">
        <v>9</v>
      </c>
      <c r="D201" s="90">
        <v>5.5</v>
      </c>
      <c r="E201" s="90">
        <f>D201*2.8</f>
        <v>15.399999999999999</v>
      </c>
      <c r="F201" s="90">
        <v>75</v>
      </c>
      <c r="G201" s="90">
        <f>F201-E201</f>
        <v>59.6</v>
      </c>
      <c r="H201" s="90">
        <f>(CleanedDataset!$F30-CleanedDataset!$E30)/CleanedDataset!$F30</f>
        <v>0.68888888888888888</v>
      </c>
      <c r="I201" s="91">
        <v>45</v>
      </c>
      <c r="J201" s="91">
        <f>I201*F201-I201*E201</f>
        <v>2682</v>
      </c>
      <c r="K201" s="91">
        <v>3</v>
      </c>
      <c r="L201" s="91">
        <f>K201*F201-I201*E201</f>
        <v>-467.99999999999989</v>
      </c>
      <c r="M201" s="91">
        <v>10</v>
      </c>
      <c r="N201" s="91">
        <f>M201*F201-M201*E201</f>
        <v>596</v>
      </c>
      <c r="O201" s="91">
        <v>21</v>
      </c>
      <c r="P201" s="91">
        <f>O201*F201-O201*E201</f>
        <v>1251.5999999999999</v>
      </c>
      <c r="Q201" s="91">
        <v>1</v>
      </c>
      <c r="R201" s="91">
        <f>Q201*F201-Q201*E201</f>
        <v>59.6</v>
      </c>
      <c r="S201" s="91">
        <v>40</v>
      </c>
      <c r="T201" s="91">
        <f>S201*F201-S201*E201</f>
        <v>2384</v>
      </c>
      <c r="U201" s="91">
        <v>41</v>
      </c>
      <c r="V201" s="91">
        <f>U201*F201-U201*E201</f>
        <v>2443.6</v>
      </c>
      <c r="W201" s="91">
        <f>SUM(S201,Q201,O201,M201,K201,I201)</f>
        <v>120</v>
      </c>
      <c r="X201" s="90" t="s">
        <v>10</v>
      </c>
      <c r="Y201" s="92">
        <v>91</v>
      </c>
      <c r="Z201">
        <f>D201*I201</f>
        <v>247.5</v>
      </c>
    </row>
    <row r="202" spans="1:26" x14ac:dyDescent="0.3">
      <c r="A202" s="88" t="s">
        <v>149</v>
      </c>
      <c r="B202" s="89" t="s">
        <v>150</v>
      </c>
      <c r="C202" s="100" t="s">
        <v>9</v>
      </c>
      <c r="D202" s="90">
        <v>12</v>
      </c>
      <c r="E202" s="90">
        <f>D202*2.8</f>
        <v>33.599999999999994</v>
      </c>
      <c r="F202" s="90">
        <v>75</v>
      </c>
      <c r="G202" s="90">
        <f>F202-E202</f>
        <v>41.400000000000006</v>
      </c>
      <c r="H202" s="90">
        <f>(CleanedDataset!$F50-CleanedDataset!$E50)/CleanedDataset!$F50</f>
        <v>0.73417721518987344</v>
      </c>
      <c r="I202" s="91">
        <v>315</v>
      </c>
      <c r="J202" s="91">
        <f>I202*F202-I202*E202</f>
        <v>13041.000000000002</v>
      </c>
      <c r="K202" s="91">
        <v>467</v>
      </c>
      <c r="L202" s="91">
        <f>K202*F202-I202*E202</f>
        <v>24441</v>
      </c>
      <c r="M202" s="91">
        <v>580</v>
      </c>
      <c r="N202" s="91">
        <f>M202*F202-M202*E202</f>
        <v>24012.000000000004</v>
      </c>
      <c r="O202" s="91">
        <v>443</v>
      </c>
      <c r="P202" s="91">
        <f>O202*F202-O202*E202</f>
        <v>18340.200000000004</v>
      </c>
      <c r="Q202" s="91">
        <v>521</v>
      </c>
      <c r="R202" s="91">
        <f>Q202*F202-Q202*E202</f>
        <v>21569.4</v>
      </c>
      <c r="S202" s="91">
        <v>342</v>
      </c>
      <c r="T202" s="91">
        <f>S202*F202-S202*E202</f>
        <v>14158.800000000001</v>
      </c>
      <c r="U202" s="91">
        <v>155</v>
      </c>
      <c r="V202" s="91">
        <f>U202*F202-U202*E202</f>
        <v>6417.0000000000009</v>
      </c>
      <c r="W202" s="91">
        <f>SUM(S202,Q202,O202,M202,K202,I202)</f>
        <v>2668</v>
      </c>
      <c r="X202" s="90" t="s">
        <v>144</v>
      </c>
      <c r="Y202" s="92">
        <v>96</v>
      </c>
      <c r="Z202">
        <f>D202*I202</f>
        <v>3780</v>
      </c>
    </row>
    <row r="203" spans="1:26" ht="15" thickBot="1" x14ac:dyDescent="0.35">
      <c r="A203" s="93" t="s">
        <v>155</v>
      </c>
      <c r="B203" s="94" t="s">
        <v>156</v>
      </c>
      <c r="C203" s="98" t="s">
        <v>9</v>
      </c>
      <c r="D203" s="95">
        <v>4</v>
      </c>
      <c r="E203" s="95">
        <f>D203*2.8</f>
        <v>11.2</v>
      </c>
      <c r="F203" s="95">
        <v>50</v>
      </c>
      <c r="G203" s="95">
        <f>F203-E203</f>
        <v>38.799999999999997</v>
      </c>
      <c r="H203" s="95">
        <f>(CleanedDataset!$F51-CleanedDataset!$E51)/CleanedDataset!$F51</f>
        <v>0.71594202898550729</v>
      </c>
      <c r="I203" s="96">
        <v>332</v>
      </c>
      <c r="J203" s="96">
        <f>I203*F203-I203*E203</f>
        <v>12881.6</v>
      </c>
      <c r="K203" s="96">
        <v>280</v>
      </c>
      <c r="L203" s="96">
        <f>K203*F203-I203*E203</f>
        <v>10281.6</v>
      </c>
      <c r="M203" s="96">
        <v>309</v>
      </c>
      <c r="N203" s="96">
        <f>M203*F203-M203*E203</f>
        <v>11989.2</v>
      </c>
      <c r="O203" s="96">
        <v>280</v>
      </c>
      <c r="P203" s="96">
        <f>O203*F203-O203*E203</f>
        <v>10864</v>
      </c>
      <c r="Q203" s="96">
        <v>255</v>
      </c>
      <c r="R203" s="96">
        <f>Q203*F203-Q203*E203</f>
        <v>9894</v>
      </c>
      <c r="S203" s="96">
        <v>244</v>
      </c>
      <c r="T203" s="96">
        <f>S203*F203-S203*E203</f>
        <v>9467.2000000000007</v>
      </c>
      <c r="U203" s="96">
        <v>158</v>
      </c>
      <c r="V203" s="96">
        <f>U203*F203-U203*E203</f>
        <v>6130.4</v>
      </c>
      <c r="W203" s="96">
        <f>SUM(S203,Q203,O203,M203,K203,I203)</f>
        <v>1700</v>
      </c>
      <c r="X203" s="95" t="s">
        <v>144</v>
      </c>
      <c r="Y203" s="97">
        <v>94</v>
      </c>
      <c r="Z203">
        <f>D203*I203</f>
        <v>1328</v>
      </c>
    </row>
    <row r="204" spans="1:26" ht="15" thickTop="1" x14ac:dyDescent="0.3">
      <c r="A204" s="55"/>
      <c r="B204" s="56"/>
      <c r="C204" s="56"/>
      <c r="D204" s="102"/>
      <c r="E204" s="102"/>
      <c r="F204" s="102"/>
      <c r="G204" s="102"/>
      <c r="H204" s="102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103"/>
      <c r="Y204" s="104"/>
    </row>
    <row r="205" spans="1:26" ht="15" thickBot="1" x14ac:dyDescent="0.35"/>
    <row r="206" spans="1:26" ht="15" thickTop="1" x14ac:dyDescent="0.3">
      <c r="C206" s="23"/>
      <c r="I206" s="41"/>
      <c r="O206" s="50"/>
      <c r="P206" s="50"/>
      <c r="Q206" s="50"/>
      <c r="R206" s="50"/>
      <c r="S206" s="50"/>
      <c r="T206" s="50"/>
      <c r="U206" s="50"/>
      <c r="V206" s="50"/>
      <c r="W206" s="50"/>
    </row>
    <row r="207" spans="1:26" x14ac:dyDescent="0.3">
      <c r="C207" s="8"/>
      <c r="M207" s="23"/>
      <c r="N207" s="23"/>
    </row>
  </sheetData>
  <sortState xmlns:xlrd2="http://schemas.microsoft.com/office/spreadsheetml/2017/richdata2" ref="A2:Z203">
    <sortCondition ref="A2:A203"/>
  </sortState>
  <mergeCells count="1">
    <mergeCell ref="O206:W20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E0FB-CD88-443A-858B-71752A35AD78}">
  <dimension ref="A1:M206"/>
  <sheetViews>
    <sheetView workbookViewId="0">
      <selection activeCell="D5" sqref="D5"/>
    </sheetView>
  </sheetViews>
  <sheetFormatPr defaultRowHeight="14.4" x14ac:dyDescent="0.3"/>
  <cols>
    <col min="1" max="1" width="12.109375" customWidth="1"/>
    <col min="2" max="2" width="15.6640625" style="3" customWidth="1"/>
    <col min="3" max="3" width="21.44140625" style="3" customWidth="1"/>
    <col min="4" max="4" width="12.44140625" style="124" customWidth="1"/>
    <col min="5" max="6" width="14.109375" style="3" customWidth="1"/>
    <col min="7" max="7" width="13.6640625" style="8" customWidth="1"/>
    <col min="8" max="8" width="46.88671875" customWidth="1"/>
    <col min="9" max="9" width="3.6640625" customWidth="1"/>
  </cols>
  <sheetData>
    <row r="1" spans="1:13" ht="15" x14ac:dyDescent="0.35">
      <c r="A1" s="81" t="s">
        <v>0</v>
      </c>
      <c r="B1" s="83" t="s">
        <v>378</v>
      </c>
      <c r="C1" s="83" t="s">
        <v>379</v>
      </c>
      <c r="D1" s="122" t="s">
        <v>381</v>
      </c>
      <c r="E1" s="83" t="s">
        <v>246</v>
      </c>
      <c r="F1" s="83" t="s">
        <v>370</v>
      </c>
      <c r="G1" s="84" t="s">
        <v>380</v>
      </c>
      <c r="H1" s="119" t="s">
        <v>382</v>
      </c>
      <c r="J1" s="121" t="s">
        <v>383</v>
      </c>
      <c r="K1" s="6"/>
      <c r="L1" s="6"/>
      <c r="M1" s="6"/>
    </row>
    <row r="2" spans="1:13" x14ac:dyDescent="0.3">
      <c r="A2" s="88" t="s">
        <v>26</v>
      </c>
      <c r="B2" s="90">
        <v>45</v>
      </c>
      <c r="C2" s="90">
        <v>75</v>
      </c>
      <c r="D2" s="123">
        <f>B2+H2</f>
        <v>82</v>
      </c>
      <c r="E2" s="90">
        <v>30</v>
      </c>
      <c r="F2" s="117">
        <v>0.8222222222222223</v>
      </c>
      <c r="G2" s="91">
        <v>496</v>
      </c>
      <c r="H2" s="120">
        <f>B2*F2</f>
        <v>37</v>
      </c>
    </row>
    <row r="3" spans="1:13" x14ac:dyDescent="0.3">
      <c r="A3" s="93" t="s">
        <v>15</v>
      </c>
      <c r="B3" s="95">
        <v>16.799999999999997</v>
      </c>
      <c r="C3" s="95">
        <v>40</v>
      </c>
      <c r="D3" s="123">
        <f>B3+H3</f>
        <v>28.540235294117643</v>
      </c>
      <c r="E3" s="95">
        <v>23.200000000000003</v>
      </c>
      <c r="F3" s="118">
        <v>0.69882352941176473</v>
      </c>
      <c r="G3" s="96">
        <v>405</v>
      </c>
      <c r="H3" s="120">
        <f t="shared" ref="H3:H66" si="0">B3*F3</f>
        <v>11.740235294117646</v>
      </c>
    </row>
    <row r="4" spans="1:13" x14ac:dyDescent="0.3">
      <c r="A4" s="88" t="s">
        <v>15</v>
      </c>
      <c r="B4" s="90">
        <v>19.200000000000003</v>
      </c>
      <c r="C4" s="90">
        <v>55</v>
      </c>
      <c r="D4" s="123">
        <f>B4+H4</f>
        <v>32.522448979591843</v>
      </c>
      <c r="E4" s="90">
        <v>35.799999999999997</v>
      </c>
      <c r="F4" s="117">
        <v>0.69387755102040816</v>
      </c>
      <c r="G4" s="91">
        <v>530</v>
      </c>
      <c r="H4" s="120">
        <f t="shared" si="0"/>
        <v>13.322448979591838</v>
      </c>
    </row>
    <row r="5" spans="1:13" x14ac:dyDescent="0.3">
      <c r="A5" s="88" t="s">
        <v>15</v>
      </c>
      <c r="B5" s="90">
        <v>18</v>
      </c>
      <c r="C5" s="90">
        <v>50</v>
      </c>
      <c r="D5" s="123">
        <f>B5+H5</f>
        <v>26.795454545454547</v>
      </c>
      <c r="E5" s="90">
        <v>32</v>
      </c>
      <c r="F5" s="117">
        <v>0.48863636363636365</v>
      </c>
      <c r="G5" s="91">
        <v>450</v>
      </c>
      <c r="H5" s="120">
        <f t="shared" si="0"/>
        <v>8.795454545454545</v>
      </c>
    </row>
    <row r="6" spans="1:13" x14ac:dyDescent="0.3">
      <c r="A6" s="88" t="s">
        <v>44</v>
      </c>
      <c r="B6" s="90">
        <v>9.7999999999999989</v>
      </c>
      <c r="C6" s="90">
        <v>25</v>
      </c>
      <c r="D6" s="123">
        <f>B6+H6</f>
        <v>17.313333333333333</v>
      </c>
      <c r="E6" s="90">
        <v>15.200000000000001</v>
      </c>
      <c r="F6" s="117">
        <v>0.76666666666666672</v>
      </c>
      <c r="G6" s="91">
        <v>604</v>
      </c>
      <c r="H6" s="120">
        <f t="shared" si="0"/>
        <v>7.5133333333333328</v>
      </c>
    </row>
    <row r="7" spans="1:13" x14ac:dyDescent="0.3">
      <c r="A7" s="93" t="s">
        <v>44</v>
      </c>
      <c r="B7" s="95">
        <v>10.5</v>
      </c>
      <c r="C7" s="95">
        <v>35</v>
      </c>
      <c r="D7" s="123">
        <f>B7+H7</f>
        <v>14.986363636363636</v>
      </c>
      <c r="E7" s="95">
        <v>24.5</v>
      </c>
      <c r="F7" s="118">
        <v>0.42727272727272725</v>
      </c>
      <c r="G7" s="96">
        <v>1350</v>
      </c>
      <c r="H7" s="120">
        <f t="shared" si="0"/>
        <v>4.4863636363636363</v>
      </c>
    </row>
    <row r="8" spans="1:13" x14ac:dyDescent="0.3">
      <c r="A8" s="93" t="s">
        <v>29</v>
      </c>
      <c r="B8" s="95">
        <v>154</v>
      </c>
      <c r="C8" s="95">
        <v>530</v>
      </c>
      <c r="D8" s="123">
        <f>B8+H8</f>
        <v>249.2</v>
      </c>
      <c r="E8" s="95">
        <v>376</v>
      </c>
      <c r="F8" s="118">
        <v>0.61818181818181817</v>
      </c>
      <c r="G8" s="96">
        <v>58</v>
      </c>
      <c r="H8" s="120">
        <f t="shared" si="0"/>
        <v>95.2</v>
      </c>
    </row>
    <row r="9" spans="1:13" x14ac:dyDescent="0.3">
      <c r="A9" s="88" t="s">
        <v>29</v>
      </c>
      <c r="B9" s="90">
        <v>176</v>
      </c>
      <c r="C9" s="90">
        <v>615</v>
      </c>
      <c r="D9" s="123">
        <f>B9+H9</f>
        <v>242.48888888888888</v>
      </c>
      <c r="E9" s="90">
        <v>439</v>
      </c>
      <c r="F9" s="117">
        <v>0.37777777777777777</v>
      </c>
      <c r="G9" s="91">
        <v>57</v>
      </c>
      <c r="H9" s="120">
        <f t="shared" si="0"/>
        <v>66.48888888888888</v>
      </c>
    </row>
    <row r="10" spans="1:13" x14ac:dyDescent="0.3">
      <c r="A10" s="93" t="s">
        <v>29</v>
      </c>
      <c r="B10" s="95">
        <v>176</v>
      </c>
      <c r="C10" s="95">
        <v>600</v>
      </c>
      <c r="D10" s="123">
        <f>B10+H10</f>
        <v>279.01176470588234</v>
      </c>
      <c r="E10" s="95">
        <v>424</v>
      </c>
      <c r="F10" s="118">
        <v>0.58529411764705885</v>
      </c>
      <c r="G10" s="96">
        <v>35</v>
      </c>
      <c r="H10" s="120">
        <f t="shared" si="0"/>
        <v>103.01176470588236</v>
      </c>
    </row>
    <row r="11" spans="1:13" x14ac:dyDescent="0.3">
      <c r="A11" s="88" t="s">
        <v>29</v>
      </c>
      <c r="B11" s="90">
        <v>165</v>
      </c>
      <c r="C11" s="90">
        <v>600</v>
      </c>
      <c r="D11" s="123">
        <f>B11+H11</f>
        <v>123.31578947368423</v>
      </c>
      <c r="E11" s="90">
        <v>435</v>
      </c>
      <c r="F11" s="117">
        <v>-0.25263157894736826</v>
      </c>
      <c r="G11" s="91">
        <v>66</v>
      </c>
      <c r="H11" s="120">
        <f t="shared" si="0"/>
        <v>-41.684210526315766</v>
      </c>
    </row>
    <row r="12" spans="1:13" x14ac:dyDescent="0.3">
      <c r="A12" s="88" t="s">
        <v>31</v>
      </c>
      <c r="B12" s="90">
        <v>182</v>
      </c>
      <c r="C12" s="90">
        <v>584</v>
      </c>
      <c r="D12" s="123">
        <f>B12+H12</f>
        <v>284.72888888888889</v>
      </c>
      <c r="E12" s="90">
        <v>402</v>
      </c>
      <c r="F12" s="117">
        <v>0.56444444444444453</v>
      </c>
      <c r="G12" s="91">
        <v>51</v>
      </c>
      <c r="H12" s="120">
        <f t="shared" si="0"/>
        <v>102.7288888888889</v>
      </c>
    </row>
    <row r="13" spans="1:13" x14ac:dyDescent="0.3">
      <c r="A13" s="88" t="s">
        <v>31</v>
      </c>
      <c r="B13" s="90">
        <v>208</v>
      </c>
      <c r="C13" s="90">
        <v>700</v>
      </c>
      <c r="D13" s="123">
        <f>B13+H13</f>
        <v>353.6</v>
      </c>
      <c r="E13" s="90">
        <v>492</v>
      </c>
      <c r="F13" s="117">
        <v>0.7</v>
      </c>
      <c r="G13" s="91">
        <v>5</v>
      </c>
      <c r="H13" s="120">
        <f t="shared" si="0"/>
        <v>145.6</v>
      </c>
    </row>
    <row r="14" spans="1:13" x14ac:dyDescent="0.3">
      <c r="A14" s="88" t="s">
        <v>31</v>
      </c>
      <c r="B14" s="90">
        <v>195</v>
      </c>
      <c r="C14" s="90">
        <v>650</v>
      </c>
      <c r="D14" s="123">
        <f>B14+H14</f>
        <v>290.72727272727275</v>
      </c>
      <c r="E14" s="90">
        <v>455</v>
      </c>
      <c r="F14" s="117">
        <v>0.49090909090909091</v>
      </c>
      <c r="G14" s="91">
        <v>3</v>
      </c>
      <c r="H14" s="120">
        <f t="shared" si="0"/>
        <v>95.727272727272734</v>
      </c>
    </row>
    <row r="15" spans="1:13" x14ac:dyDescent="0.3">
      <c r="A15" s="93" t="s">
        <v>31</v>
      </c>
      <c r="B15" s="95">
        <v>208</v>
      </c>
      <c r="C15" s="95">
        <v>700</v>
      </c>
      <c r="D15" s="123">
        <f>B15+H15</f>
        <v>355.6476683937824</v>
      </c>
      <c r="E15" s="95">
        <v>492</v>
      </c>
      <c r="F15" s="118">
        <v>0.7098445595854922</v>
      </c>
      <c r="G15" s="96">
        <v>0</v>
      </c>
      <c r="H15" s="120">
        <f t="shared" si="0"/>
        <v>147.64766839378237</v>
      </c>
    </row>
    <row r="16" spans="1:13" x14ac:dyDescent="0.3">
      <c r="A16" s="88" t="s">
        <v>31</v>
      </c>
      <c r="B16" s="90">
        <v>208</v>
      </c>
      <c r="C16" s="90">
        <v>700</v>
      </c>
      <c r="D16" s="123">
        <f>B16+H16</f>
        <v>353.6</v>
      </c>
      <c r="E16" s="90">
        <v>492</v>
      </c>
      <c r="F16" s="117">
        <v>0.7</v>
      </c>
      <c r="G16" s="91">
        <v>53</v>
      </c>
      <c r="H16" s="120">
        <f t="shared" si="0"/>
        <v>145.6</v>
      </c>
    </row>
    <row r="17" spans="1:8" x14ac:dyDescent="0.3">
      <c r="A17" s="88" t="s">
        <v>31</v>
      </c>
      <c r="B17" s="90">
        <v>195</v>
      </c>
      <c r="C17" s="90">
        <v>650</v>
      </c>
      <c r="D17" s="123">
        <f>B17+H17</f>
        <v>156</v>
      </c>
      <c r="E17" s="90">
        <v>455</v>
      </c>
      <c r="F17" s="117">
        <v>-0.2</v>
      </c>
      <c r="G17" s="91">
        <v>158</v>
      </c>
      <c r="H17" s="120">
        <f t="shared" si="0"/>
        <v>-39</v>
      </c>
    </row>
    <row r="18" spans="1:8" x14ac:dyDescent="0.3">
      <c r="A18" s="93" t="s">
        <v>70</v>
      </c>
      <c r="B18" s="95">
        <v>14</v>
      </c>
      <c r="C18" s="95">
        <v>56</v>
      </c>
      <c r="D18" s="123">
        <f>B18+H18</f>
        <v>17.5</v>
      </c>
      <c r="E18" s="95">
        <v>42</v>
      </c>
      <c r="F18" s="118">
        <v>0.25</v>
      </c>
      <c r="G18" s="96">
        <v>61</v>
      </c>
      <c r="H18" s="120">
        <f t="shared" si="0"/>
        <v>3.5</v>
      </c>
    </row>
    <row r="19" spans="1:8" x14ac:dyDescent="0.3">
      <c r="A19" s="93" t="s">
        <v>46</v>
      </c>
      <c r="B19" s="95">
        <v>14</v>
      </c>
      <c r="C19" s="95">
        <v>35</v>
      </c>
      <c r="D19" s="123">
        <f>B19+H19</f>
        <v>25.103448275862071</v>
      </c>
      <c r="E19" s="95">
        <v>21</v>
      </c>
      <c r="F19" s="118">
        <v>0.7931034482758621</v>
      </c>
      <c r="G19" s="96">
        <v>527</v>
      </c>
      <c r="H19" s="120">
        <f t="shared" si="0"/>
        <v>11.103448275862069</v>
      </c>
    </row>
    <row r="20" spans="1:8" x14ac:dyDescent="0.3">
      <c r="A20" s="93" t="s">
        <v>70</v>
      </c>
      <c r="B20" s="95">
        <v>15</v>
      </c>
      <c r="C20" s="95">
        <v>66</v>
      </c>
      <c r="D20" s="123">
        <f>B20+H20</f>
        <v>26.266666666666666</v>
      </c>
      <c r="E20" s="95">
        <v>51</v>
      </c>
      <c r="F20" s="118">
        <v>0.75111111111111106</v>
      </c>
      <c r="G20" s="96">
        <v>0</v>
      </c>
      <c r="H20" s="120">
        <f t="shared" si="0"/>
        <v>11.266666666666666</v>
      </c>
    </row>
    <row r="21" spans="1:8" x14ac:dyDescent="0.3">
      <c r="A21" s="93" t="s">
        <v>46</v>
      </c>
      <c r="B21" s="95">
        <v>15</v>
      </c>
      <c r="C21" s="95">
        <v>45</v>
      </c>
      <c r="D21" s="123">
        <f>B21+H21</f>
        <v>24.75</v>
      </c>
      <c r="E21" s="95">
        <v>30</v>
      </c>
      <c r="F21" s="118">
        <v>0.65000000000000013</v>
      </c>
      <c r="G21" s="96">
        <v>28</v>
      </c>
      <c r="H21" s="120">
        <f t="shared" si="0"/>
        <v>9.7500000000000018</v>
      </c>
    </row>
    <row r="22" spans="1:8" x14ac:dyDescent="0.3">
      <c r="A22" s="93" t="s">
        <v>70</v>
      </c>
      <c r="B22" s="95">
        <v>15</v>
      </c>
      <c r="C22" s="95">
        <v>66</v>
      </c>
      <c r="D22" s="123">
        <f>B22+H22</f>
        <v>25.569230769230771</v>
      </c>
      <c r="E22" s="95">
        <v>51</v>
      </c>
      <c r="F22" s="118">
        <v>0.70461538461538464</v>
      </c>
      <c r="G22" s="96">
        <v>1</v>
      </c>
      <c r="H22" s="120">
        <f t="shared" si="0"/>
        <v>10.569230769230769</v>
      </c>
    </row>
    <row r="23" spans="1:8" x14ac:dyDescent="0.3">
      <c r="A23" s="88" t="s">
        <v>70</v>
      </c>
      <c r="B23" s="90">
        <v>15</v>
      </c>
      <c r="C23" s="90">
        <v>66</v>
      </c>
      <c r="D23" s="123">
        <f>B23+H23</f>
        <v>15</v>
      </c>
      <c r="E23" s="90">
        <v>51</v>
      </c>
      <c r="F23" s="117">
        <v>0</v>
      </c>
      <c r="G23" s="91">
        <v>87</v>
      </c>
      <c r="H23" s="120">
        <f t="shared" si="0"/>
        <v>0</v>
      </c>
    </row>
    <row r="24" spans="1:8" x14ac:dyDescent="0.3">
      <c r="A24" s="88" t="s">
        <v>46</v>
      </c>
      <c r="B24" s="90">
        <v>15</v>
      </c>
      <c r="C24" s="90">
        <v>45</v>
      </c>
      <c r="D24" s="123">
        <f>B24+H24</f>
        <v>21.5</v>
      </c>
      <c r="E24" s="90">
        <v>30</v>
      </c>
      <c r="F24" s="117">
        <v>0.43333333333333335</v>
      </c>
      <c r="G24" s="91">
        <v>342</v>
      </c>
      <c r="H24" s="120">
        <f t="shared" si="0"/>
        <v>6.5</v>
      </c>
    </row>
    <row r="25" spans="1:8" x14ac:dyDescent="0.3">
      <c r="A25" s="93" t="s">
        <v>7</v>
      </c>
      <c r="B25" s="95">
        <v>19.599999999999998</v>
      </c>
      <c r="C25" s="95">
        <v>30</v>
      </c>
      <c r="D25" s="123">
        <f>B25+H25</f>
        <v>35.93333333333333</v>
      </c>
      <c r="E25" s="95">
        <v>10.400000000000002</v>
      </c>
      <c r="F25" s="118">
        <v>0.83333333333333337</v>
      </c>
      <c r="G25" s="96">
        <v>2132</v>
      </c>
      <c r="H25" s="120">
        <f t="shared" si="0"/>
        <v>16.333333333333332</v>
      </c>
    </row>
    <row r="26" spans="1:8" x14ac:dyDescent="0.3">
      <c r="A26" s="88" t="s">
        <v>7</v>
      </c>
      <c r="B26" s="90">
        <v>21</v>
      </c>
      <c r="C26" s="90">
        <v>40</v>
      </c>
      <c r="D26" s="123">
        <f>B26+H26</f>
        <v>35.582342954159593</v>
      </c>
      <c r="E26" s="90">
        <v>19</v>
      </c>
      <c r="F26" s="117">
        <v>0.69439728353140917</v>
      </c>
      <c r="G26" s="91">
        <v>6</v>
      </c>
      <c r="H26" s="120">
        <f t="shared" si="0"/>
        <v>14.582342954159593</v>
      </c>
    </row>
    <row r="27" spans="1:8" x14ac:dyDescent="0.3">
      <c r="A27" s="93" t="s">
        <v>7</v>
      </c>
      <c r="B27" s="95">
        <v>21</v>
      </c>
      <c r="C27" s="95">
        <v>40</v>
      </c>
      <c r="D27" s="123">
        <f>B27+H27</f>
        <v>37.688000000000002</v>
      </c>
      <c r="E27" s="95">
        <v>19</v>
      </c>
      <c r="F27" s="118">
        <v>0.79466666666666663</v>
      </c>
      <c r="G27" s="96">
        <v>135</v>
      </c>
      <c r="H27" s="120">
        <f t="shared" si="0"/>
        <v>16.687999999999999</v>
      </c>
    </row>
    <row r="28" spans="1:8" x14ac:dyDescent="0.3">
      <c r="A28" s="88" t="s">
        <v>7</v>
      </c>
      <c r="B28" s="90">
        <v>21</v>
      </c>
      <c r="C28" s="90">
        <v>40</v>
      </c>
      <c r="D28" s="123">
        <f>B28+H28</f>
        <v>30.369230769230768</v>
      </c>
      <c r="E28" s="90">
        <v>19</v>
      </c>
      <c r="F28" s="117">
        <v>0.44615384615384618</v>
      </c>
      <c r="G28" s="91">
        <v>1300</v>
      </c>
      <c r="H28" s="120">
        <f t="shared" si="0"/>
        <v>9.3692307692307697</v>
      </c>
    </row>
    <row r="29" spans="1:8" x14ac:dyDescent="0.3">
      <c r="A29" s="88" t="s">
        <v>36</v>
      </c>
      <c r="B29" s="90">
        <v>14</v>
      </c>
      <c r="C29" s="90">
        <v>45</v>
      </c>
      <c r="D29" s="123">
        <f>B29+H29</f>
        <v>23.520000000000003</v>
      </c>
      <c r="E29" s="90">
        <v>31</v>
      </c>
      <c r="F29" s="117">
        <v>0.68</v>
      </c>
      <c r="G29" s="91">
        <v>787</v>
      </c>
      <c r="H29" s="120">
        <f t="shared" si="0"/>
        <v>9.5200000000000014</v>
      </c>
    </row>
    <row r="30" spans="1:8" x14ac:dyDescent="0.3">
      <c r="A30" s="93" t="s">
        <v>36</v>
      </c>
      <c r="B30" s="95">
        <v>16</v>
      </c>
      <c r="C30" s="95">
        <v>60</v>
      </c>
      <c r="D30" s="123">
        <f>B30+H30</f>
        <v>26.478431372549018</v>
      </c>
      <c r="E30" s="95">
        <v>44</v>
      </c>
      <c r="F30" s="118">
        <v>0.65490196078431373</v>
      </c>
      <c r="G30" s="96">
        <v>23</v>
      </c>
      <c r="H30" s="120">
        <f t="shared" si="0"/>
        <v>10.47843137254902</v>
      </c>
    </row>
    <row r="31" spans="1:8" x14ac:dyDescent="0.3">
      <c r="A31" s="88" t="s">
        <v>36</v>
      </c>
      <c r="B31" s="90">
        <v>15</v>
      </c>
      <c r="C31" s="90">
        <v>50</v>
      </c>
      <c r="D31" s="123">
        <f>B31+H31</f>
        <v>21</v>
      </c>
      <c r="E31" s="90">
        <v>35</v>
      </c>
      <c r="F31" s="117">
        <v>0.4</v>
      </c>
      <c r="G31" s="91">
        <v>860</v>
      </c>
      <c r="H31" s="120">
        <f t="shared" si="0"/>
        <v>6</v>
      </c>
    </row>
    <row r="32" spans="1:8" x14ac:dyDescent="0.3">
      <c r="A32" s="88" t="s">
        <v>23</v>
      </c>
      <c r="B32" s="90">
        <v>19.599999999999998</v>
      </c>
      <c r="C32" s="90">
        <v>45</v>
      </c>
      <c r="D32" s="123">
        <f>B32+H32</f>
        <v>35.175466666666665</v>
      </c>
      <c r="E32" s="90">
        <v>25.400000000000002</v>
      </c>
      <c r="F32" s="117">
        <v>0.79466666666666663</v>
      </c>
      <c r="G32" s="91">
        <v>1064</v>
      </c>
      <c r="H32" s="120">
        <f t="shared" si="0"/>
        <v>15.575466666666664</v>
      </c>
    </row>
    <row r="33" spans="1:8" x14ac:dyDescent="0.3">
      <c r="A33" s="93" t="s">
        <v>23</v>
      </c>
      <c r="B33" s="95">
        <v>21</v>
      </c>
      <c r="C33" s="95">
        <v>55</v>
      </c>
      <c r="D33" s="123">
        <f>B33+H33</f>
        <v>33.04</v>
      </c>
      <c r="E33" s="95">
        <v>34</v>
      </c>
      <c r="F33" s="118">
        <v>0.57333333333333336</v>
      </c>
      <c r="G33" s="96">
        <v>23</v>
      </c>
      <c r="H33" s="120">
        <f t="shared" si="0"/>
        <v>12.040000000000001</v>
      </c>
    </row>
    <row r="34" spans="1:8" x14ac:dyDescent="0.3">
      <c r="A34" s="93" t="s">
        <v>23</v>
      </c>
      <c r="B34" s="95">
        <v>21</v>
      </c>
      <c r="C34" s="95">
        <v>55</v>
      </c>
      <c r="D34" s="123">
        <f>B34+H34</f>
        <v>35</v>
      </c>
      <c r="E34" s="95">
        <v>34</v>
      </c>
      <c r="F34" s="118">
        <v>0.66666666666666663</v>
      </c>
      <c r="G34" s="96">
        <v>1578</v>
      </c>
      <c r="H34" s="120">
        <f t="shared" si="0"/>
        <v>14</v>
      </c>
    </row>
    <row r="35" spans="1:8" x14ac:dyDescent="0.3">
      <c r="A35" s="88" t="s">
        <v>52</v>
      </c>
      <c r="B35" s="90">
        <v>90</v>
      </c>
      <c r="C35" s="90">
        <v>120</v>
      </c>
      <c r="D35" s="123">
        <f>B35+H35</f>
        <v>164.11764705882354</v>
      </c>
      <c r="E35" s="90">
        <v>30</v>
      </c>
      <c r="F35" s="117">
        <v>0.82352941176470584</v>
      </c>
      <c r="G35" s="91">
        <v>8</v>
      </c>
      <c r="H35" s="120">
        <f t="shared" si="0"/>
        <v>74.117647058823522</v>
      </c>
    </row>
    <row r="36" spans="1:8" x14ac:dyDescent="0.3">
      <c r="A36" s="93" t="s">
        <v>52</v>
      </c>
      <c r="B36" s="95">
        <v>96</v>
      </c>
      <c r="C36" s="95">
        <v>150</v>
      </c>
      <c r="D36" s="123">
        <f>B36+H36</f>
        <v>163.19999999999999</v>
      </c>
      <c r="E36" s="95">
        <v>54</v>
      </c>
      <c r="F36" s="118">
        <v>0.7</v>
      </c>
      <c r="G36" s="96">
        <v>26</v>
      </c>
      <c r="H36" s="120">
        <f t="shared" si="0"/>
        <v>67.199999999999989</v>
      </c>
    </row>
    <row r="37" spans="1:8" x14ac:dyDescent="0.3">
      <c r="A37" s="93" t="s">
        <v>52</v>
      </c>
      <c r="B37" s="95">
        <v>96</v>
      </c>
      <c r="C37" s="95">
        <v>120</v>
      </c>
      <c r="D37" s="123">
        <f>B37+H37</f>
        <v>158.29787234042553</v>
      </c>
      <c r="E37" s="95">
        <v>24</v>
      </c>
      <c r="F37" s="118">
        <v>0.64893617021276595</v>
      </c>
      <c r="G37" s="96">
        <v>42</v>
      </c>
      <c r="H37" s="120">
        <f t="shared" si="0"/>
        <v>62.297872340425528</v>
      </c>
    </row>
    <row r="38" spans="1:8" x14ac:dyDescent="0.3">
      <c r="A38" s="93" t="s">
        <v>52</v>
      </c>
      <c r="B38" s="95">
        <v>90</v>
      </c>
      <c r="C38" s="95">
        <v>120</v>
      </c>
      <c r="D38" s="123">
        <f>B38+H38</f>
        <v>154.80000000000001</v>
      </c>
      <c r="E38" s="95">
        <v>30</v>
      </c>
      <c r="F38" s="118">
        <v>0.72000000000000008</v>
      </c>
      <c r="G38" s="96">
        <v>5</v>
      </c>
      <c r="H38" s="120">
        <f t="shared" si="0"/>
        <v>64.800000000000011</v>
      </c>
    </row>
    <row r="39" spans="1:8" x14ac:dyDescent="0.3">
      <c r="A39" s="88" t="s">
        <v>50</v>
      </c>
      <c r="B39" s="90">
        <v>112</v>
      </c>
      <c r="C39" s="90">
        <v>359</v>
      </c>
      <c r="D39" s="123">
        <f>B39+H39</f>
        <v>165.2</v>
      </c>
      <c r="E39" s="90">
        <v>247</v>
      </c>
      <c r="F39" s="117">
        <v>0.47499999999999998</v>
      </c>
      <c r="G39" s="91">
        <v>41</v>
      </c>
      <c r="H39" s="120">
        <f t="shared" si="0"/>
        <v>53.199999999999996</v>
      </c>
    </row>
    <row r="40" spans="1:8" x14ac:dyDescent="0.3">
      <c r="A40" s="88" t="s">
        <v>50</v>
      </c>
      <c r="B40" s="90">
        <v>128</v>
      </c>
      <c r="C40" s="90">
        <v>399</v>
      </c>
      <c r="D40" s="123">
        <f>B40+H40</f>
        <v>163.08148148148149</v>
      </c>
      <c r="E40" s="90">
        <v>271</v>
      </c>
      <c r="F40" s="117">
        <v>0.27407407407407408</v>
      </c>
      <c r="G40" s="91">
        <v>30</v>
      </c>
      <c r="H40" s="120">
        <f t="shared" si="0"/>
        <v>35.081481481481482</v>
      </c>
    </row>
    <row r="41" spans="1:8" x14ac:dyDescent="0.3">
      <c r="A41" s="93" t="s">
        <v>50</v>
      </c>
      <c r="B41" s="95">
        <v>128</v>
      </c>
      <c r="C41" s="95">
        <v>399</v>
      </c>
      <c r="D41" s="123">
        <f>B41+H41</f>
        <v>219.64057971014495</v>
      </c>
      <c r="E41" s="95">
        <v>271</v>
      </c>
      <c r="F41" s="118">
        <v>0.71594202898550729</v>
      </c>
      <c r="G41" s="96">
        <v>55</v>
      </c>
      <c r="H41" s="120">
        <f t="shared" si="0"/>
        <v>91.640579710144934</v>
      </c>
    </row>
    <row r="42" spans="1:8" x14ac:dyDescent="0.3">
      <c r="A42" s="93" t="s">
        <v>56</v>
      </c>
      <c r="B42" s="95">
        <v>21</v>
      </c>
      <c r="C42" s="95">
        <v>58</v>
      </c>
      <c r="D42" s="123">
        <f>B42+H42</f>
        <v>35.263157894736842</v>
      </c>
      <c r="E42" s="95">
        <v>37</v>
      </c>
      <c r="F42" s="118">
        <v>0.67919799498746869</v>
      </c>
      <c r="G42" s="96">
        <v>94</v>
      </c>
      <c r="H42" s="120">
        <f t="shared" si="0"/>
        <v>14.263157894736842</v>
      </c>
    </row>
    <row r="43" spans="1:8" x14ac:dyDescent="0.3">
      <c r="A43" s="93" t="s">
        <v>56</v>
      </c>
      <c r="B43" s="95">
        <v>22.5</v>
      </c>
      <c r="C43" s="95">
        <v>70</v>
      </c>
      <c r="D43" s="123">
        <f>B43+H43</f>
        <v>41.294117647058826</v>
      </c>
      <c r="E43" s="95">
        <v>47.5</v>
      </c>
      <c r="F43" s="118">
        <v>0.83529411764705885</v>
      </c>
      <c r="G43" s="96">
        <v>5</v>
      </c>
      <c r="H43" s="120">
        <f t="shared" si="0"/>
        <v>18.794117647058822</v>
      </c>
    </row>
    <row r="44" spans="1:8" x14ac:dyDescent="0.3">
      <c r="A44" s="93" t="s">
        <v>56</v>
      </c>
      <c r="B44" s="95">
        <v>22.5</v>
      </c>
      <c r="C44" s="95">
        <v>70</v>
      </c>
      <c r="D44" s="123">
        <f>B44+H44</f>
        <v>33.299999999999997</v>
      </c>
      <c r="E44" s="95">
        <v>47.5</v>
      </c>
      <c r="F44" s="118">
        <v>0.48</v>
      </c>
      <c r="G44" s="96">
        <v>360</v>
      </c>
      <c r="H44" s="120">
        <f t="shared" si="0"/>
        <v>10.799999999999999</v>
      </c>
    </row>
    <row r="45" spans="1:8" x14ac:dyDescent="0.3">
      <c r="A45" s="88" t="s">
        <v>77</v>
      </c>
      <c r="B45" s="90">
        <v>28</v>
      </c>
      <c r="C45" s="90">
        <v>130</v>
      </c>
      <c r="D45" s="123">
        <f>B45+H45</f>
        <v>47.599999999999994</v>
      </c>
      <c r="E45" s="90">
        <v>102</v>
      </c>
      <c r="F45" s="117">
        <v>0.7</v>
      </c>
      <c r="G45" s="91">
        <v>15</v>
      </c>
      <c r="H45" s="120">
        <f t="shared" si="0"/>
        <v>19.599999999999998</v>
      </c>
    </row>
    <row r="46" spans="1:8" x14ac:dyDescent="0.3">
      <c r="A46" s="93" t="s">
        <v>66</v>
      </c>
      <c r="B46" s="95">
        <v>12.6</v>
      </c>
      <c r="C46" s="95">
        <v>40</v>
      </c>
      <c r="D46" s="123">
        <f>B46+H46</f>
        <v>21.28</v>
      </c>
      <c r="E46" s="95">
        <v>27.4</v>
      </c>
      <c r="F46" s="118">
        <v>0.68888888888888888</v>
      </c>
      <c r="G46" s="96">
        <v>41</v>
      </c>
      <c r="H46" s="120">
        <f t="shared" si="0"/>
        <v>8.68</v>
      </c>
    </row>
    <row r="47" spans="1:8" x14ac:dyDescent="0.3">
      <c r="A47" s="88" t="s">
        <v>71</v>
      </c>
      <c r="B47" s="90">
        <v>22.4</v>
      </c>
      <c r="C47" s="90">
        <v>65</v>
      </c>
      <c r="D47" s="123">
        <f>B47+H47</f>
        <v>36.247272727272723</v>
      </c>
      <c r="E47" s="90">
        <v>42.6</v>
      </c>
      <c r="F47" s="117">
        <v>0.61818181818181817</v>
      </c>
      <c r="G47" s="91">
        <v>60</v>
      </c>
      <c r="H47" s="120">
        <f t="shared" si="0"/>
        <v>13.847272727272726</v>
      </c>
    </row>
    <row r="48" spans="1:8" x14ac:dyDescent="0.3">
      <c r="A48" s="93" t="s">
        <v>54</v>
      </c>
      <c r="B48" s="95">
        <v>25.2</v>
      </c>
      <c r="C48" s="95">
        <v>45</v>
      </c>
      <c r="D48" s="123">
        <f>B48+H48</f>
        <v>42.538161559888579</v>
      </c>
      <c r="E48" s="95">
        <v>19.8</v>
      </c>
      <c r="F48" s="118">
        <v>0.68802228412256272</v>
      </c>
      <c r="G48" s="96">
        <v>80</v>
      </c>
      <c r="H48" s="120">
        <f t="shared" si="0"/>
        <v>17.338161559888579</v>
      </c>
    </row>
    <row r="49" spans="1:8" x14ac:dyDescent="0.3">
      <c r="A49" s="88" t="s">
        <v>69</v>
      </c>
      <c r="B49" s="90">
        <v>9.7999999999999989</v>
      </c>
      <c r="C49" s="90">
        <v>35</v>
      </c>
      <c r="D49" s="123">
        <f>B49+H49</f>
        <v>16.45</v>
      </c>
      <c r="E49" s="90">
        <v>25.200000000000003</v>
      </c>
      <c r="F49" s="117">
        <v>0.6785714285714286</v>
      </c>
      <c r="G49" s="91">
        <v>124</v>
      </c>
      <c r="H49" s="120">
        <f t="shared" si="0"/>
        <v>6.6499999999999995</v>
      </c>
    </row>
    <row r="50" spans="1:8" x14ac:dyDescent="0.3">
      <c r="A50" s="88" t="s">
        <v>77</v>
      </c>
      <c r="B50" s="90">
        <v>30</v>
      </c>
      <c r="C50" s="90">
        <v>145</v>
      </c>
      <c r="D50" s="123">
        <f>B50+H50</f>
        <v>53.571428571428569</v>
      </c>
      <c r="E50" s="90">
        <v>115</v>
      </c>
      <c r="F50" s="117">
        <v>0.7857142857142857</v>
      </c>
      <c r="G50" s="91">
        <v>2</v>
      </c>
      <c r="H50" s="120">
        <f t="shared" si="0"/>
        <v>23.571428571428569</v>
      </c>
    </row>
    <row r="51" spans="1:8" x14ac:dyDescent="0.3">
      <c r="A51" s="93" t="s">
        <v>69</v>
      </c>
      <c r="B51" s="95">
        <v>11.200000000000001</v>
      </c>
      <c r="C51" s="95">
        <v>60</v>
      </c>
      <c r="D51" s="123">
        <f>B51+H51</f>
        <v>17.382400000000004</v>
      </c>
      <c r="E51" s="95">
        <v>48.8</v>
      </c>
      <c r="F51" s="118">
        <v>0.55200000000000005</v>
      </c>
      <c r="G51" s="96">
        <v>3</v>
      </c>
      <c r="H51" s="120">
        <f t="shared" si="0"/>
        <v>6.1824000000000012</v>
      </c>
    </row>
    <row r="52" spans="1:8" x14ac:dyDescent="0.3">
      <c r="A52" s="93" t="s">
        <v>66</v>
      </c>
      <c r="B52" s="95">
        <v>14.4</v>
      </c>
      <c r="C52" s="95">
        <v>65</v>
      </c>
      <c r="D52" s="123">
        <f>B52+H52</f>
        <v>22.348800000000001</v>
      </c>
      <c r="E52" s="95">
        <v>50.6</v>
      </c>
      <c r="F52" s="118">
        <v>0.55200000000000005</v>
      </c>
      <c r="G52" s="96">
        <v>5</v>
      </c>
      <c r="H52" s="120">
        <f t="shared" si="0"/>
        <v>7.9488000000000012</v>
      </c>
    </row>
    <row r="53" spans="1:8" x14ac:dyDescent="0.3">
      <c r="A53" s="88" t="s">
        <v>71</v>
      </c>
      <c r="B53" s="90">
        <v>25.6</v>
      </c>
      <c r="C53" s="90">
        <v>85</v>
      </c>
      <c r="D53" s="123">
        <f>B53+H53</f>
        <v>39.900689655172414</v>
      </c>
      <c r="E53" s="90">
        <v>59.4</v>
      </c>
      <c r="F53" s="117">
        <v>0.55862068965517242</v>
      </c>
      <c r="G53" s="91">
        <v>5</v>
      </c>
      <c r="H53" s="120">
        <f t="shared" si="0"/>
        <v>14.300689655172414</v>
      </c>
    </row>
    <row r="54" spans="1:8" x14ac:dyDescent="0.3">
      <c r="A54" s="93" t="s">
        <v>77</v>
      </c>
      <c r="B54" s="95">
        <v>32</v>
      </c>
      <c r="C54" s="95">
        <v>145</v>
      </c>
      <c r="D54" s="123">
        <f>B54+H54</f>
        <v>49.230769230769226</v>
      </c>
      <c r="E54" s="95">
        <v>113</v>
      </c>
      <c r="F54" s="118">
        <v>0.53846153846153844</v>
      </c>
      <c r="G54" s="96">
        <v>13</v>
      </c>
      <c r="H54" s="120">
        <f t="shared" si="0"/>
        <v>17.23076923076923</v>
      </c>
    </row>
    <row r="55" spans="1:8" x14ac:dyDescent="0.3">
      <c r="A55" s="88" t="s">
        <v>77</v>
      </c>
      <c r="B55" s="90">
        <v>30</v>
      </c>
      <c r="C55" s="90">
        <v>145</v>
      </c>
      <c r="D55" s="123">
        <f>B55+H55</f>
        <v>50.4</v>
      </c>
      <c r="E55" s="90">
        <v>115</v>
      </c>
      <c r="F55" s="117">
        <v>0.67999999999999994</v>
      </c>
      <c r="G55" s="91">
        <v>10</v>
      </c>
      <c r="H55" s="120">
        <f t="shared" si="0"/>
        <v>20.399999999999999</v>
      </c>
    </row>
    <row r="56" spans="1:8" x14ac:dyDescent="0.3">
      <c r="A56" s="93" t="s">
        <v>69</v>
      </c>
      <c r="B56" s="95">
        <v>10.5</v>
      </c>
      <c r="C56" s="95">
        <v>45</v>
      </c>
      <c r="D56" s="123">
        <f>B56+H56</f>
        <v>18.795000000000002</v>
      </c>
      <c r="E56" s="95">
        <v>34.5</v>
      </c>
      <c r="F56" s="118">
        <v>0.79</v>
      </c>
      <c r="G56" s="96">
        <v>24</v>
      </c>
      <c r="H56" s="120">
        <f t="shared" si="0"/>
        <v>8.2949999999999999</v>
      </c>
    </row>
    <row r="57" spans="1:8" x14ac:dyDescent="0.3">
      <c r="A57" s="93" t="s">
        <v>66</v>
      </c>
      <c r="B57" s="95">
        <v>13.5</v>
      </c>
      <c r="C57" s="95">
        <v>50</v>
      </c>
      <c r="D57" s="123">
        <f>B57+H57</f>
        <v>22.95</v>
      </c>
      <c r="E57" s="95">
        <v>36.5</v>
      </c>
      <c r="F57" s="118">
        <v>0.7</v>
      </c>
      <c r="G57" s="96">
        <v>40</v>
      </c>
      <c r="H57" s="120">
        <f t="shared" si="0"/>
        <v>9.4499999999999993</v>
      </c>
    </row>
    <row r="58" spans="1:8" x14ac:dyDescent="0.3">
      <c r="A58" s="93" t="s">
        <v>71</v>
      </c>
      <c r="B58" s="95">
        <v>24</v>
      </c>
      <c r="C58" s="95">
        <v>75</v>
      </c>
      <c r="D58" s="123">
        <f>B58+H58</f>
        <v>17.399999999999999</v>
      </c>
      <c r="E58" s="95">
        <v>51</v>
      </c>
      <c r="F58" s="118">
        <v>-0.27500000000000002</v>
      </c>
      <c r="G58" s="96">
        <v>135</v>
      </c>
      <c r="H58" s="120">
        <f t="shared" si="0"/>
        <v>-6.6000000000000005</v>
      </c>
    </row>
    <row r="59" spans="1:8" x14ac:dyDescent="0.3">
      <c r="A59" s="93" t="s">
        <v>54</v>
      </c>
      <c r="B59" s="95">
        <v>27</v>
      </c>
      <c r="C59" s="95">
        <v>55</v>
      </c>
      <c r="D59" s="123">
        <f>B59+H59</f>
        <v>45</v>
      </c>
      <c r="E59" s="95">
        <v>28</v>
      </c>
      <c r="F59" s="118">
        <v>0.66666666666666663</v>
      </c>
      <c r="G59" s="96">
        <v>230</v>
      </c>
      <c r="H59" s="120">
        <f t="shared" si="0"/>
        <v>18</v>
      </c>
    </row>
    <row r="60" spans="1:8" x14ac:dyDescent="0.3">
      <c r="A60" s="93" t="s">
        <v>78</v>
      </c>
      <c r="B60" s="95">
        <v>15.399999999999999</v>
      </c>
      <c r="C60" s="95">
        <v>75</v>
      </c>
      <c r="D60" s="123">
        <f>B60+H60</f>
        <v>26.223999999999997</v>
      </c>
      <c r="E60" s="95">
        <v>59.6</v>
      </c>
      <c r="F60" s="118">
        <v>0.70285714285714285</v>
      </c>
      <c r="G60" s="96">
        <v>15</v>
      </c>
      <c r="H60" s="120">
        <f t="shared" si="0"/>
        <v>10.823999999999998</v>
      </c>
    </row>
    <row r="61" spans="1:8" x14ac:dyDescent="0.3">
      <c r="A61" s="93" t="s">
        <v>78</v>
      </c>
      <c r="B61" s="95">
        <v>16.5</v>
      </c>
      <c r="C61" s="95">
        <v>99</v>
      </c>
      <c r="D61" s="123">
        <f>B61+H61</f>
        <v>29.464285714285715</v>
      </c>
      <c r="E61" s="95">
        <v>82.5</v>
      </c>
      <c r="F61" s="118">
        <v>0.7857142857142857</v>
      </c>
      <c r="G61" s="96">
        <v>2</v>
      </c>
      <c r="H61" s="120">
        <f t="shared" si="0"/>
        <v>12.964285714285714</v>
      </c>
    </row>
    <row r="62" spans="1:8" x14ac:dyDescent="0.3">
      <c r="A62" s="88" t="s">
        <v>78</v>
      </c>
      <c r="B62" s="90">
        <v>17.600000000000001</v>
      </c>
      <c r="C62" s="90">
        <v>99</v>
      </c>
      <c r="D62" s="123">
        <f>B62+H62</f>
        <v>27.847111111111111</v>
      </c>
      <c r="E62" s="90">
        <v>81.400000000000006</v>
      </c>
      <c r="F62" s="117">
        <v>0.5822222222222222</v>
      </c>
      <c r="G62" s="91">
        <v>13</v>
      </c>
      <c r="H62" s="120">
        <f t="shared" si="0"/>
        <v>10.247111111111112</v>
      </c>
    </row>
    <row r="63" spans="1:8" x14ac:dyDescent="0.3">
      <c r="A63" s="93" t="s">
        <v>78</v>
      </c>
      <c r="B63" s="95">
        <v>16.5</v>
      </c>
      <c r="C63" s="95">
        <v>85</v>
      </c>
      <c r="D63" s="123">
        <f>B63+H63</f>
        <v>29.700000000000003</v>
      </c>
      <c r="E63" s="95">
        <v>68.5</v>
      </c>
      <c r="F63" s="118">
        <v>0.8</v>
      </c>
      <c r="G63" s="96">
        <v>10</v>
      </c>
      <c r="H63" s="120">
        <f t="shared" si="0"/>
        <v>13.200000000000001</v>
      </c>
    </row>
    <row r="64" spans="1:8" x14ac:dyDescent="0.3">
      <c r="A64" s="93" t="s">
        <v>34</v>
      </c>
      <c r="B64" s="95">
        <v>14</v>
      </c>
      <c r="C64" s="95">
        <v>65</v>
      </c>
      <c r="D64" s="123">
        <f>B64+H64</f>
        <v>24.22</v>
      </c>
      <c r="E64" s="95">
        <v>51</v>
      </c>
      <c r="F64" s="118">
        <v>0.73</v>
      </c>
      <c r="G64" s="96">
        <v>728</v>
      </c>
      <c r="H64" s="120">
        <f t="shared" si="0"/>
        <v>10.219999999999999</v>
      </c>
    </row>
    <row r="65" spans="1:8" x14ac:dyDescent="0.3">
      <c r="A65" s="93" t="s">
        <v>42</v>
      </c>
      <c r="B65" s="95">
        <v>11.2</v>
      </c>
      <c r="C65" s="95">
        <v>45</v>
      </c>
      <c r="D65" s="123">
        <f>B65+H65</f>
        <v>16.901818181818179</v>
      </c>
      <c r="E65" s="95">
        <v>33.799999999999997</v>
      </c>
      <c r="F65" s="118">
        <v>0.50909090909090904</v>
      </c>
      <c r="G65" s="96">
        <v>962</v>
      </c>
      <c r="H65" s="120">
        <f t="shared" si="0"/>
        <v>5.7018181818181812</v>
      </c>
    </row>
    <row r="66" spans="1:8" x14ac:dyDescent="0.3">
      <c r="A66" s="93" t="s">
        <v>42</v>
      </c>
      <c r="B66" s="95">
        <v>12</v>
      </c>
      <c r="C66" s="95">
        <v>55</v>
      </c>
      <c r="D66" s="123">
        <f>B66+H66</f>
        <v>21.670588235294119</v>
      </c>
      <c r="E66" s="95">
        <v>43</v>
      </c>
      <c r="F66" s="118">
        <v>0.80588235294117649</v>
      </c>
      <c r="G66" s="96">
        <v>0</v>
      </c>
      <c r="H66" s="120">
        <f t="shared" si="0"/>
        <v>9.6705882352941188</v>
      </c>
    </row>
    <row r="67" spans="1:8" x14ac:dyDescent="0.3">
      <c r="A67" s="88" t="s">
        <v>34</v>
      </c>
      <c r="B67" s="90">
        <v>15</v>
      </c>
      <c r="C67" s="90">
        <v>70</v>
      </c>
      <c r="D67" s="123">
        <f>B67+H67</f>
        <v>23.6</v>
      </c>
      <c r="E67" s="90">
        <v>55</v>
      </c>
      <c r="F67" s="117">
        <v>0.57333333333333336</v>
      </c>
      <c r="G67" s="91">
        <v>15</v>
      </c>
      <c r="H67" s="120">
        <f t="shared" ref="H67:H130" si="1">B67*F67</f>
        <v>8.6</v>
      </c>
    </row>
    <row r="68" spans="1:8" x14ac:dyDescent="0.3">
      <c r="A68" s="88" t="s">
        <v>42</v>
      </c>
      <c r="B68" s="90">
        <v>12</v>
      </c>
      <c r="C68" s="90">
        <v>55</v>
      </c>
      <c r="D68" s="123">
        <f>B68+H68</f>
        <v>20.455384615384617</v>
      </c>
      <c r="E68" s="90">
        <v>43</v>
      </c>
      <c r="F68" s="117">
        <v>0.70461538461538464</v>
      </c>
      <c r="G68" s="91">
        <v>0</v>
      </c>
      <c r="H68" s="120">
        <f t="shared" si="1"/>
        <v>8.4553846153846166</v>
      </c>
    </row>
    <row r="69" spans="1:8" x14ac:dyDescent="0.3">
      <c r="A69" s="88" t="s">
        <v>42</v>
      </c>
      <c r="B69" s="90">
        <v>12</v>
      </c>
      <c r="C69" s="90">
        <v>55</v>
      </c>
      <c r="D69" s="123">
        <f>B69+H69</f>
        <v>20.326530612244898</v>
      </c>
      <c r="E69" s="90">
        <v>43</v>
      </c>
      <c r="F69" s="117">
        <v>0.69387755102040816</v>
      </c>
      <c r="G69" s="91">
        <v>5</v>
      </c>
      <c r="H69" s="120">
        <f t="shared" si="1"/>
        <v>8.3265306122448983</v>
      </c>
    </row>
    <row r="70" spans="1:8" x14ac:dyDescent="0.3">
      <c r="A70" s="88" t="s">
        <v>34</v>
      </c>
      <c r="B70" s="90">
        <v>15</v>
      </c>
      <c r="C70" s="90">
        <v>70</v>
      </c>
      <c r="D70" s="123">
        <f>B70+H70</f>
        <v>26.769230769230766</v>
      </c>
      <c r="E70" s="90">
        <v>55</v>
      </c>
      <c r="F70" s="117">
        <v>0.7846153846153846</v>
      </c>
      <c r="G70" s="91">
        <v>23</v>
      </c>
      <c r="H70" s="120">
        <f t="shared" si="1"/>
        <v>11.769230769230768</v>
      </c>
    </row>
    <row r="71" spans="1:8" x14ac:dyDescent="0.3">
      <c r="A71" s="93" t="s">
        <v>34</v>
      </c>
      <c r="B71" s="95">
        <v>15</v>
      </c>
      <c r="C71" s="95">
        <v>70</v>
      </c>
      <c r="D71" s="123">
        <f>B71+H71</f>
        <v>22.5</v>
      </c>
      <c r="E71" s="95">
        <v>55</v>
      </c>
      <c r="F71" s="118">
        <v>0.5</v>
      </c>
      <c r="G71" s="96">
        <v>890</v>
      </c>
      <c r="H71" s="120">
        <f t="shared" si="1"/>
        <v>7.5</v>
      </c>
    </row>
    <row r="72" spans="1:8" x14ac:dyDescent="0.3">
      <c r="A72" s="88" t="s">
        <v>42</v>
      </c>
      <c r="B72" s="90">
        <v>12</v>
      </c>
      <c r="C72" s="90">
        <v>55</v>
      </c>
      <c r="D72" s="123">
        <f>B72+H72</f>
        <v>16.8</v>
      </c>
      <c r="E72" s="90">
        <v>43</v>
      </c>
      <c r="F72" s="117">
        <v>0.4</v>
      </c>
      <c r="G72" s="91">
        <v>1450</v>
      </c>
      <c r="H72" s="120">
        <f t="shared" si="1"/>
        <v>4.8000000000000007</v>
      </c>
    </row>
    <row r="73" spans="1:8" x14ac:dyDescent="0.3">
      <c r="A73" s="88" t="s">
        <v>67</v>
      </c>
      <c r="B73" s="90">
        <v>14</v>
      </c>
      <c r="C73" s="90">
        <v>85</v>
      </c>
      <c r="D73" s="123">
        <f>B73+H73</f>
        <v>20.16</v>
      </c>
      <c r="E73" s="90">
        <v>71</v>
      </c>
      <c r="F73" s="117">
        <v>0.44</v>
      </c>
      <c r="G73" s="91">
        <v>268</v>
      </c>
      <c r="H73" s="120">
        <f t="shared" si="1"/>
        <v>6.16</v>
      </c>
    </row>
    <row r="74" spans="1:8" x14ac:dyDescent="0.3">
      <c r="A74" s="93" t="s">
        <v>67</v>
      </c>
      <c r="B74" s="95">
        <v>15</v>
      </c>
      <c r="C74" s="95">
        <v>85</v>
      </c>
      <c r="D74" s="123">
        <f>B74+H74</f>
        <v>23.788235294117648</v>
      </c>
      <c r="E74" s="95">
        <v>70</v>
      </c>
      <c r="F74" s="118">
        <v>0.58588235294117641</v>
      </c>
      <c r="G74" s="96">
        <v>180</v>
      </c>
      <c r="H74" s="120">
        <f t="shared" si="1"/>
        <v>8.788235294117646</v>
      </c>
    </row>
    <row r="75" spans="1:8" x14ac:dyDescent="0.3">
      <c r="A75" s="93" t="s">
        <v>61</v>
      </c>
      <c r="B75" s="95">
        <v>9.7999999999999989</v>
      </c>
      <c r="C75" s="95">
        <v>28</v>
      </c>
      <c r="D75" s="123">
        <f>B75+H75</f>
        <v>16.855999999999998</v>
      </c>
      <c r="E75" s="95">
        <v>18.200000000000003</v>
      </c>
      <c r="F75" s="118">
        <v>0.72000000000000008</v>
      </c>
      <c r="G75" s="96">
        <v>299</v>
      </c>
      <c r="H75" s="120">
        <f t="shared" si="1"/>
        <v>7.056</v>
      </c>
    </row>
    <row r="76" spans="1:8" x14ac:dyDescent="0.3">
      <c r="A76" s="88" t="s">
        <v>64</v>
      </c>
      <c r="B76" s="90">
        <v>9.7999999999999989</v>
      </c>
      <c r="C76" s="90">
        <v>25</v>
      </c>
      <c r="D76" s="123">
        <f>B76+H76</f>
        <v>17.428923076923077</v>
      </c>
      <c r="E76" s="90">
        <v>15.200000000000001</v>
      </c>
      <c r="F76" s="117">
        <v>0.77846153846153854</v>
      </c>
      <c r="G76" s="91">
        <v>382</v>
      </c>
      <c r="H76" s="120">
        <f t="shared" si="1"/>
        <v>7.6289230769230771</v>
      </c>
    </row>
    <row r="77" spans="1:8" x14ac:dyDescent="0.3">
      <c r="A77" s="88" t="s">
        <v>61</v>
      </c>
      <c r="B77" s="90">
        <v>10.5</v>
      </c>
      <c r="C77" s="90">
        <v>35</v>
      </c>
      <c r="D77" s="123">
        <f>B77+H77</f>
        <v>18.738461538461536</v>
      </c>
      <c r="E77" s="90">
        <v>24.5</v>
      </c>
      <c r="F77" s="117">
        <v>0.7846153846153846</v>
      </c>
      <c r="G77" s="91">
        <v>0</v>
      </c>
      <c r="H77" s="120">
        <f t="shared" si="1"/>
        <v>8.2384615384615376</v>
      </c>
    </row>
    <row r="78" spans="1:8" x14ac:dyDescent="0.3">
      <c r="A78" s="88" t="s">
        <v>61</v>
      </c>
      <c r="B78" s="90">
        <v>10.5</v>
      </c>
      <c r="C78" s="90">
        <v>35</v>
      </c>
      <c r="D78" s="123">
        <f>B78+H78</f>
        <v>15.661016949152543</v>
      </c>
      <c r="E78" s="90">
        <v>24.5</v>
      </c>
      <c r="F78" s="117">
        <v>0.49152542372881358</v>
      </c>
      <c r="G78" s="91">
        <v>433</v>
      </c>
      <c r="H78" s="120">
        <f t="shared" si="1"/>
        <v>5.1610169491525424</v>
      </c>
    </row>
    <row r="79" spans="1:8" x14ac:dyDescent="0.3">
      <c r="A79" s="93" t="s">
        <v>64</v>
      </c>
      <c r="B79" s="95">
        <v>10.5</v>
      </c>
      <c r="C79" s="95">
        <v>35</v>
      </c>
      <c r="D79" s="123">
        <f>B79+H79</f>
        <v>15.441176470588236</v>
      </c>
      <c r="E79" s="95">
        <v>24.5</v>
      </c>
      <c r="F79" s="118">
        <v>0.47058823529411764</v>
      </c>
      <c r="G79" s="96">
        <v>530</v>
      </c>
      <c r="H79" s="120">
        <f t="shared" si="1"/>
        <v>4.9411764705882355</v>
      </c>
    </row>
    <row r="80" spans="1:8" x14ac:dyDescent="0.3">
      <c r="A80" s="93" t="s">
        <v>39</v>
      </c>
      <c r="B80" s="95">
        <v>98</v>
      </c>
      <c r="C80" s="95">
        <v>135</v>
      </c>
      <c r="D80" s="123">
        <f>B80+H80</f>
        <v>164.5</v>
      </c>
      <c r="E80" s="95">
        <v>37</v>
      </c>
      <c r="F80" s="118">
        <v>0.6785714285714286</v>
      </c>
      <c r="G80" s="96">
        <v>116</v>
      </c>
      <c r="H80" s="120">
        <f t="shared" si="1"/>
        <v>66.5</v>
      </c>
    </row>
    <row r="81" spans="1:8" x14ac:dyDescent="0.3">
      <c r="A81" s="88" t="s">
        <v>39</v>
      </c>
      <c r="B81" s="90">
        <v>112</v>
      </c>
      <c r="C81" s="90">
        <v>180</v>
      </c>
      <c r="D81" s="123">
        <f>B81+H81</f>
        <v>181.31891891891894</v>
      </c>
      <c r="E81" s="90">
        <v>68</v>
      </c>
      <c r="F81" s="117">
        <v>0.61891891891891893</v>
      </c>
      <c r="G81" s="91">
        <v>5</v>
      </c>
      <c r="H81" s="120">
        <f t="shared" si="1"/>
        <v>69.318918918918925</v>
      </c>
    </row>
    <row r="82" spans="1:8" x14ac:dyDescent="0.3">
      <c r="A82" s="93" t="s">
        <v>39</v>
      </c>
      <c r="B82" s="95">
        <v>112</v>
      </c>
      <c r="C82" s="95">
        <v>180</v>
      </c>
      <c r="D82" s="123">
        <f>B82+H82</f>
        <v>164.67027027027027</v>
      </c>
      <c r="E82" s="95">
        <v>68</v>
      </c>
      <c r="F82" s="118">
        <v>0.4702702702702703</v>
      </c>
      <c r="G82" s="96">
        <v>0</v>
      </c>
      <c r="H82" s="120">
        <f t="shared" si="1"/>
        <v>52.670270270270272</v>
      </c>
    </row>
    <row r="83" spans="1:8" x14ac:dyDescent="0.3">
      <c r="A83" s="93" t="s">
        <v>39</v>
      </c>
      <c r="B83" s="95">
        <v>112</v>
      </c>
      <c r="C83" s="95">
        <v>180</v>
      </c>
      <c r="D83" s="123">
        <f>B83+H83</f>
        <v>192.64</v>
      </c>
      <c r="E83" s="95">
        <v>68</v>
      </c>
      <c r="F83" s="118">
        <v>0.72</v>
      </c>
      <c r="G83" s="96">
        <v>5</v>
      </c>
      <c r="H83" s="120">
        <f t="shared" si="1"/>
        <v>80.64</v>
      </c>
    </row>
    <row r="84" spans="1:8" x14ac:dyDescent="0.3">
      <c r="A84" s="88" t="s">
        <v>82</v>
      </c>
      <c r="B84" s="90">
        <v>112</v>
      </c>
      <c r="C84" s="90">
        <v>220</v>
      </c>
      <c r="D84" s="123">
        <f>B84+H84</f>
        <v>156.80000000000001</v>
      </c>
      <c r="E84" s="90">
        <v>108</v>
      </c>
      <c r="F84" s="117">
        <v>0.4</v>
      </c>
      <c r="G84" s="91">
        <v>0</v>
      </c>
      <c r="H84" s="120">
        <f t="shared" si="1"/>
        <v>44.800000000000004</v>
      </c>
    </row>
    <row r="85" spans="1:8" x14ac:dyDescent="0.3">
      <c r="A85" s="88" t="s">
        <v>82</v>
      </c>
      <c r="B85" s="90">
        <v>120</v>
      </c>
      <c r="C85" s="90">
        <v>250</v>
      </c>
      <c r="D85" s="123">
        <f>B85+H85</f>
        <v>213.81818181818181</v>
      </c>
      <c r="E85" s="90">
        <v>130</v>
      </c>
      <c r="F85" s="117">
        <v>0.78181818181818186</v>
      </c>
      <c r="G85" s="91">
        <v>0</v>
      </c>
      <c r="H85" s="120">
        <f t="shared" si="1"/>
        <v>93.818181818181827</v>
      </c>
    </row>
    <row r="86" spans="1:8" x14ac:dyDescent="0.3">
      <c r="A86" s="88" t="s">
        <v>82</v>
      </c>
      <c r="B86" s="90">
        <v>128</v>
      </c>
      <c r="C86" s="90">
        <v>300</v>
      </c>
      <c r="D86" s="123">
        <f>B86+H86</f>
        <v>194.56</v>
      </c>
      <c r="E86" s="90">
        <v>172</v>
      </c>
      <c r="F86" s="117">
        <v>0.52</v>
      </c>
      <c r="G86" s="91">
        <v>0</v>
      </c>
      <c r="H86" s="120">
        <f t="shared" si="1"/>
        <v>66.56</v>
      </c>
    </row>
    <row r="87" spans="1:8" x14ac:dyDescent="0.3">
      <c r="A87" s="88" t="s">
        <v>82</v>
      </c>
      <c r="B87" s="90">
        <v>128</v>
      </c>
      <c r="C87" s="90">
        <v>300</v>
      </c>
      <c r="D87" s="123">
        <f>B87+H87</f>
        <v>198.65600000000001</v>
      </c>
      <c r="E87" s="90">
        <v>172</v>
      </c>
      <c r="F87" s="117">
        <v>0.55200000000000005</v>
      </c>
      <c r="G87" s="91">
        <v>0</v>
      </c>
      <c r="H87" s="120">
        <f t="shared" si="1"/>
        <v>70.656000000000006</v>
      </c>
    </row>
    <row r="88" spans="1:8" x14ac:dyDescent="0.3">
      <c r="A88" s="93" t="s">
        <v>82</v>
      </c>
      <c r="B88" s="95">
        <v>120</v>
      </c>
      <c r="C88" s="95">
        <v>250</v>
      </c>
      <c r="D88" s="123">
        <f>B88+H88</f>
        <v>210.13333333333333</v>
      </c>
      <c r="E88" s="95">
        <v>130</v>
      </c>
      <c r="F88" s="118">
        <v>0.75111111111111106</v>
      </c>
      <c r="G88" s="96">
        <v>0</v>
      </c>
      <c r="H88" s="120">
        <f t="shared" si="1"/>
        <v>90.133333333333326</v>
      </c>
    </row>
    <row r="89" spans="1:8" x14ac:dyDescent="0.3">
      <c r="A89" s="88" t="s">
        <v>82</v>
      </c>
      <c r="B89" s="90">
        <v>120</v>
      </c>
      <c r="C89" s="90">
        <v>250</v>
      </c>
      <c r="D89" s="123">
        <f>B89+H89</f>
        <v>206.4</v>
      </c>
      <c r="E89" s="90">
        <v>130</v>
      </c>
      <c r="F89" s="117">
        <v>0.72000000000000008</v>
      </c>
      <c r="G89" s="91">
        <v>1</v>
      </c>
      <c r="H89" s="120">
        <f t="shared" si="1"/>
        <v>86.4</v>
      </c>
    </row>
    <row r="90" spans="1:8" x14ac:dyDescent="0.3">
      <c r="A90" s="93" t="s">
        <v>84</v>
      </c>
      <c r="B90" s="95">
        <v>131.6</v>
      </c>
      <c r="C90" s="95">
        <v>340</v>
      </c>
      <c r="D90" s="123">
        <f>B90+H90</f>
        <v>223.71999999999997</v>
      </c>
      <c r="E90" s="95">
        <v>208.4</v>
      </c>
      <c r="F90" s="118">
        <v>0.7</v>
      </c>
      <c r="G90" s="96">
        <v>2</v>
      </c>
      <c r="H90" s="120">
        <f t="shared" si="1"/>
        <v>92.11999999999999</v>
      </c>
    </row>
    <row r="91" spans="1:8" x14ac:dyDescent="0.3">
      <c r="A91" s="88" t="s">
        <v>84</v>
      </c>
      <c r="B91" s="90">
        <v>141</v>
      </c>
      <c r="C91" s="90">
        <v>370</v>
      </c>
      <c r="D91" s="123">
        <f>B91+H91</f>
        <v>251.23636363636365</v>
      </c>
      <c r="E91" s="90">
        <v>229</v>
      </c>
      <c r="F91" s="117">
        <v>0.78181818181818186</v>
      </c>
      <c r="G91" s="91">
        <v>2</v>
      </c>
      <c r="H91" s="120">
        <f t="shared" si="1"/>
        <v>110.23636363636365</v>
      </c>
    </row>
    <row r="92" spans="1:8" x14ac:dyDescent="0.3">
      <c r="A92" s="93" t="s">
        <v>84</v>
      </c>
      <c r="B92" s="95">
        <v>150.4</v>
      </c>
      <c r="C92" s="95">
        <v>400</v>
      </c>
      <c r="D92" s="123">
        <f>B92+H92</f>
        <v>228.608</v>
      </c>
      <c r="E92" s="95">
        <v>249.6</v>
      </c>
      <c r="F92" s="118">
        <v>0.52</v>
      </c>
      <c r="G92" s="96">
        <v>0</v>
      </c>
      <c r="H92" s="120">
        <f t="shared" si="1"/>
        <v>78.208000000000013</v>
      </c>
    </row>
    <row r="93" spans="1:8" x14ac:dyDescent="0.3">
      <c r="A93" s="93" t="s">
        <v>84</v>
      </c>
      <c r="B93" s="95">
        <v>150.4</v>
      </c>
      <c r="C93" s="95">
        <v>400</v>
      </c>
      <c r="D93" s="123">
        <f>B93+H93</f>
        <v>234.41655172413795</v>
      </c>
      <c r="E93" s="95">
        <v>249.6</v>
      </c>
      <c r="F93" s="118">
        <v>0.55862068965517242</v>
      </c>
      <c r="G93" s="96">
        <v>5</v>
      </c>
      <c r="H93" s="120">
        <f t="shared" si="1"/>
        <v>84.01655172413794</v>
      </c>
    </row>
    <row r="94" spans="1:8" x14ac:dyDescent="0.3">
      <c r="A94" s="88" t="s">
        <v>84</v>
      </c>
      <c r="B94" s="90">
        <v>141</v>
      </c>
      <c r="C94" s="90">
        <v>370</v>
      </c>
      <c r="D94" s="123">
        <f>B94+H94</f>
        <v>257.70461538461541</v>
      </c>
      <c r="E94" s="90">
        <v>229</v>
      </c>
      <c r="F94" s="117">
        <v>0.82769230769230762</v>
      </c>
      <c r="G94" s="91">
        <v>3</v>
      </c>
      <c r="H94" s="120">
        <f t="shared" si="1"/>
        <v>116.70461538461538</v>
      </c>
    </row>
    <row r="95" spans="1:8" x14ac:dyDescent="0.3">
      <c r="A95" s="88" t="s">
        <v>48</v>
      </c>
      <c r="B95" s="90">
        <v>154</v>
      </c>
      <c r="C95" s="90">
        <v>375</v>
      </c>
      <c r="D95" s="123">
        <f>B95+H95</f>
        <v>256.66666666666663</v>
      </c>
      <c r="E95" s="90">
        <v>221</v>
      </c>
      <c r="F95" s="117">
        <v>0.66666666666666663</v>
      </c>
      <c r="G95" s="91">
        <v>36</v>
      </c>
      <c r="H95" s="120">
        <f t="shared" si="1"/>
        <v>102.66666666666666</v>
      </c>
    </row>
    <row r="96" spans="1:8" x14ac:dyDescent="0.3">
      <c r="A96" s="93" t="s">
        <v>48</v>
      </c>
      <c r="B96" s="95">
        <v>176</v>
      </c>
      <c r="C96" s="95">
        <v>510</v>
      </c>
      <c r="D96" s="123">
        <f>B96+H96</f>
        <v>242.48888888888888</v>
      </c>
      <c r="E96" s="95">
        <v>334</v>
      </c>
      <c r="F96" s="118">
        <v>0.37777777777777777</v>
      </c>
      <c r="G96" s="96">
        <v>53</v>
      </c>
      <c r="H96" s="120">
        <f t="shared" si="1"/>
        <v>66.48888888888888</v>
      </c>
    </row>
    <row r="97" spans="1:8" x14ac:dyDescent="0.3">
      <c r="A97" s="88" t="s">
        <v>48</v>
      </c>
      <c r="B97" s="90">
        <v>176</v>
      </c>
      <c r="C97" s="90">
        <v>510</v>
      </c>
      <c r="D97" s="123">
        <f>B97+H97</f>
        <v>280.45837837837837</v>
      </c>
      <c r="E97" s="90">
        <v>334</v>
      </c>
      <c r="F97" s="117">
        <v>0.59351351351351345</v>
      </c>
      <c r="G97" s="91">
        <v>33</v>
      </c>
      <c r="H97" s="120">
        <f t="shared" si="1"/>
        <v>104.45837837837837</v>
      </c>
    </row>
    <row r="98" spans="1:8" x14ac:dyDescent="0.3">
      <c r="A98" s="88" t="s">
        <v>48</v>
      </c>
      <c r="B98" s="90">
        <v>165</v>
      </c>
      <c r="C98" s="90">
        <v>400</v>
      </c>
      <c r="D98" s="123">
        <f>B98+H98</f>
        <v>295.86206896551721</v>
      </c>
      <c r="E98" s="90">
        <v>235</v>
      </c>
      <c r="F98" s="117">
        <v>0.7931034482758621</v>
      </c>
      <c r="G98" s="91">
        <v>25</v>
      </c>
      <c r="H98" s="120">
        <f t="shared" si="1"/>
        <v>130.86206896551724</v>
      </c>
    </row>
    <row r="99" spans="1:8" x14ac:dyDescent="0.3">
      <c r="A99" s="93" t="s">
        <v>86</v>
      </c>
      <c r="B99" s="95">
        <v>168</v>
      </c>
      <c r="C99" s="95">
        <v>579</v>
      </c>
      <c r="D99" s="123">
        <f>B99+H99</f>
        <v>265.44</v>
      </c>
      <c r="E99" s="95">
        <v>411</v>
      </c>
      <c r="F99" s="118">
        <v>0.58000000000000007</v>
      </c>
      <c r="G99" s="96">
        <v>0</v>
      </c>
      <c r="H99" s="120">
        <f t="shared" si="1"/>
        <v>97.440000000000012</v>
      </c>
    </row>
    <row r="100" spans="1:8" x14ac:dyDescent="0.3">
      <c r="A100" s="93" t="s">
        <v>86</v>
      </c>
      <c r="B100" s="95">
        <v>192</v>
      </c>
      <c r="C100" s="95">
        <v>650</v>
      </c>
      <c r="D100" s="123">
        <f>B100+H100</f>
        <v>305.15200000000004</v>
      </c>
      <c r="E100" s="95">
        <v>458</v>
      </c>
      <c r="F100" s="118">
        <v>0.58933333333333338</v>
      </c>
      <c r="G100" s="96">
        <v>5</v>
      </c>
      <c r="H100" s="120">
        <f t="shared" si="1"/>
        <v>113.15200000000002</v>
      </c>
    </row>
    <row r="101" spans="1:8" x14ac:dyDescent="0.3">
      <c r="A101" s="88" t="s">
        <v>86</v>
      </c>
      <c r="B101" s="90">
        <v>192</v>
      </c>
      <c r="C101" s="90">
        <v>650</v>
      </c>
      <c r="D101" s="123">
        <f>B101+H101</f>
        <v>303.36</v>
      </c>
      <c r="E101" s="90">
        <v>458</v>
      </c>
      <c r="F101" s="117">
        <v>0.57999999999999996</v>
      </c>
      <c r="G101" s="91">
        <v>3</v>
      </c>
      <c r="H101" s="120">
        <f t="shared" si="1"/>
        <v>111.35999999999999</v>
      </c>
    </row>
    <row r="102" spans="1:8" x14ac:dyDescent="0.3">
      <c r="A102" s="88" t="s">
        <v>86</v>
      </c>
      <c r="B102" s="90">
        <v>180</v>
      </c>
      <c r="C102" s="90">
        <v>589</v>
      </c>
      <c r="D102" s="123">
        <f>B102+H102</f>
        <v>313.71428571428572</v>
      </c>
      <c r="E102" s="90">
        <v>409</v>
      </c>
      <c r="F102" s="117">
        <v>0.74285714285714288</v>
      </c>
      <c r="G102" s="91">
        <v>10</v>
      </c>
      <c r="H102" s="120">
        <f t="shared" si="1"/>
        <v>133.71428571428572</v>
      </c>
    </row>
    <row r="103" spans="1:8" x14ac:dyDescent="0.3">
      <c r="A103" s="88" t="s">
        <v>18</v>
      </c>
      <c r="B103" s="90">
        <v>98</v>
      </c>
      <c r="C103" s="90">
        <v>185</v>
      </c>
      <c r="D103" s="123">
        <f>B103+H103</f>
        <v>160.51724137931035</v>
      </c>
      <c r="E103" s="90">
        <v>87</v>
      </c>
      <c r="F103" s="117">
        <v>0.63793103448275867</v>
      </c>
      <c r="G103" s="91">
        <v>112</v>
      </c>
      <c r="H103" s="120">
        <f t="shared" si="1"/>
        <v>62.517241379310349</v>
      </c>
    </row>
    <row r="104" spans="1:8" x14ac:dyDescent="0.3">
      <c r="A104" s="88" t="s">
        <v>18</v>
      </c>
      <c r="B104" s="90">
        <v>112</v>
      </c>
      <c r="C104" s="90">
        <v>250</v>
      </c>
      <c r="D104" s="123">
        <f>B104+H104</f>
        <v>180.096</v>
      </c>
      <c r="E104" s="90">
        <v>138</v>
      </c>
      <c r="F104" s="117">
        <v>0.6080000000000001</v>
      </c>
      <c r="G104" s="91">
        <v>26</v>
      </c>
      <c r="H104" s="120">
        <f t="shared" si="1"/>
        <v>68.096000000000004</v>
      </c>
    </row>
    <row r="105" spans="1:8" x14ac:dyDescent="0.3">
      <c r="A105" s="93" t="s">
        <v>18</v>
      </c>
      <c r="B105" s="95">
        <v>112</v>
      </c>
      <c r="C105" s="95">
        <v>250</v>
      </c>
      <c r="D105" s="123">
        <f>B105+H105</f>
        <v>154.3111111111111</v>
      </c>
      <c r="E105" s="95">
        <v>138</v>
      </c>
      <c r="F105" s="118">
        <v>0.37777777777777777</v>
      </c>
      <c r="G105" s="96">
        <v>135</v>
      </c>
      <c r="H105" s="120">
        <f t="shared" si="1"/>
        <v>42.31111111111111</v>
      </c>
    </row>
    <row r="106" spans="1:8" x14ac:dyDescent="0.3">
      <c r="A106" s="88" t="s">
        <v>18</v>
      </c>
      <c r="B106" s="90">
        <v>112</v>
      </c>
      <c r="C106" s="90">
        <v>250</v>
      </c>
      <c r="D106" s="123">
        <f>B106+H106</f>
        <v>177.8</v>
      </c>
      <c r="E106" s="90">
        <v>138</v>
      </c>
      <c r="F106" s="117">
        <v>0.58750000000000002</v>
      </c>
      <c r="G106" s="91">
        <v>15</v>
      </c>
      <c r="H106" s="120">
        <f t="shared" si="1"/>
        <v>65.8</v>
      </c>
    </row>
    <row r="107" spans="1:8" x14ac:dyDescent="0.3">
      <c r="A107" s="93" t="s">
        <v>18</v>
      </c>
      <c r="B107" s="95">
        <v>112</v>
      </c>
      <c r="C107" s="95">
        <v>250</v>
      </c>
      <c r="D107" s="123">
        <f>B107+H107</f>
        <v>194.22784810126581</v>
      </c>
      <c r="E107" s="95">
        <v>138</v>
      </c>
      <c r="F107" s="118">
        <v>0.73417721518987344</v>
      </c>
      <c r="G107" s="96">
        <v>76</v>
      </c>
      <c r="H107" s="120">
        <f t="shared" si="1"/>
        <v>82.22784810126582</v>
      </c>
    </row>
    <row r="108" spans="1:8" x14ac:dyDescent="0.3">
      <c r="A108" s="88" t="s">
        <v>18</v>
      </c>
      <c r="B108" s="90">
        <v>105</v>
      </c>
      <c r="C108" s="90">
        <v>250</v>
      </c>
      <c r="D108" s="123">
        <f>B108+H108</f>
        <v>135.88235294117646</v>
      </c>
      <c r="E108" s="90">
        <v>145</v>
      </c>
      <c r="F108" s="117">
        <v>0.29411764705882354</v>
      </c>
      <c r="G108" s="91">
        <v>230</v>
      </c>
      <c r="H108" s="120">
        <f t="shared" si="1"/>
        <v>30.882352941176471</v>
      </c>
    </row>
    <row r="109" spans="1:8" x14ac:dyDescent="0.3">
      <c r="A109" s="88" t="s">
        <v>88</v>
      </c>
      <c r="B109" s="90">
        <v>112</v>
      </c>
      <c r="C109" s="90">
        <v>250</v>
      </c>
      <c r="D109" s="123">
        <f>B109+H109</f>
        <v>191.4566037735849</v>
      </c>
      <c r="E109" s="90">
        <v>138</v>
      </c>
      <c r="F109" s="117">
        <v>0.7094339622641509</v>
      </c>
      <c r="G109" s="91">
        <v>5</v>
      </c>
      <c r="H109" s="120">
        <f t="shared" si="1"/>
        <v>79.456603773584902</v>
      </c>
    </row>
    <row r="110" spans="1:8" x14ac:dyDescent="0.3">
      <c r="A110" s="93" t="s">
        <v>88</v>
      </c>
      <c r="B110" s="95">
        <v>128</v>
      </c>
      <c r="C110" s="95">
        <v>290</v>
      </c>
      <c r="D110" s="123">
        <f>B110+H110</f>
        <v>217.6</v>
      </c>
      <c r="E110" s="95">
        <v>162</v>
      </c>
      <c r="F110" s="118">
        <v>0.7</v>
      </c>
      <c r="G110" s="96">
        <v>0</v>
      </c>
      <c r="H110" s="120">
        <f t="shared" si="1"/>
        <v>89.6</v>
      </c>
    </row>
    <row r="111" spans="1:8" x14ac:dyDescent="0.3">
      <c r="A111" s="88" t="s">
        <v>88</v>
      </c>
      <c r="B111" s="90">
        <v>128</v>
      </c>
      <c r="C111" s="90">
        <v>290</v>
      </c>
      <c r="D111" s="123">
        <f>B111+H111</f>
        <v>211.82745098039214</v>
      </c>
      <c r="E111" s="90">
        <v>162</v>
      </c>
      <c r="F111" s="117">
        <v>0.65490196078431373</v>
      </c>
      <c r="G111" s="91">
        <v>5</v>
      </c>
      <c r="H111" s="120">
        <f t="shared" si="1"/>
        <v>83.827450980392157</v>
      </c>
    </row>
    <row r="112" spans="1:8" x14ac:dyDescent="0.3">
      <c r="A112" s="88" t="s">
        <v>88</v>
      </c>
      <c r="B112" s="90">
        <v>128</v>
      </c>
      <c r="C112" s="90">
        <v>290</v>
      </c>
      <c r="D112" s="123">
        <f>B112+H112</f>
        <v>199.50344827586207</v>
      </c>
      <c r="E112" s="90">
        <v>162</v>
      </c>
      <c r="F112" s="117">
        <v>0.55862068965517242</v>
      </c>
      <c r="G112" s="91">
        <v>5</v>
      </c>
      <c r="H112" s="120">
        <f t="shared" si="1"/>
        <v>71.50344827586207</v>
      </c>
    </row>
    <row r="113" spans="1:8" x14ac:dyDescent="0.3">
      <c r="A113" s="93" t="s">
        <v>88</v>
      </c>
      <c r="B113" s="95">
        <v>120</v>
      </c>
      <c r="C113" s="95">
        <v>260</v>
      </c>
      <c r="D113" s="123">
        <f>B113+H113</f>
        <v>208.1012658227848</v>
      </c>
      <c r="E113" s="95">
        <v>140</v>
      </c>
      <c r="F113" s="118">
        <v>0.73417721518987344</v>
      </c>
      <c r="G113" s="96">
        <v>1</v>
      </c>
      <c r="H113" s="120">
        <f t="shared" si="1"/>
        <v>88.101265822784811</v>
      </c>
    </row>
    <row r="114" spans="1:8" x14ac:dyDescent="0.3">
      <c r="A114" s="88" t="s">
        <v>90</v>
      </c>
      <c r="B114" s="90">
        <v>131.6</v>
      </c>
      <c r="C114" s="90">
        <v>315</v>
      </c>
      <c r="D114" s="123">
        <f>B114+H114</f>
        <v>217.25963636363633</v>
      </c>
      <c r="E114" s="90">
        <v>183.4</v>
      </c>
      <c r="F114" s="117">
        <v>0.65090909090909088</v>
      </c>
      <c r="G114" s="91">
        <v>0</v>
      </c>
      <c r="H114" s="120">
        <f t="shared" si="1"/>
        <v>85.659636363636352</v>
      </c>
    </row>
    <row r="115" spans="1:8" x14ac:dyDescent="0.3">
      <c r="A115" s="88" t="s">
        <v>90</v>
      </c>
      <c r="B115" s="90">
        <v>150.4</v>
      </c>
      <c r="C115" s="90">
        <v>370</v>
      </c>
      <c r="D115" s="123">
        <f>B115+H115</f>
        <v>242.58635294117647</v>
      </c>
      <c r="E115" s="90">
        <v>219.6</v>
      </c>
      <c r="F115" s="117">
        <v>0.61294117647058821</v>
      </c>
      <c r="G115" s="91">
        <v>0</v>
      </c>
      <c r="H115" s="120">
        <f t="shared" si="1"/>
        <v>92.186352941176466</v>
      </c>
    </row>
    <row r="116" spans="1:8" x14ac:dyDescent="0.3">
      <c r="A116" s="93" t="s">
        <v>90</v>
      </c>
      <c r="B116" s="95">
        <v>150.4</v>
      </c>
      <c r="C116" s="95">
        <v>370</v>
      </c>
      <c r="D116" s="123">
        <f>B116+H116</f>
        <v>233.42080000000001</v>
      </c>
      <c r="E116" s="95">
        <v>219.6</v>
      </c>
      <c r="F116" s="118">
        <v>0.55200000000000005</v>
      </c>
      <c r="G116" s="96">
        <v>1</v>
      </c>
      <c r="H116" s="120">
        <f t="shared" si="1"/>
        <v>83.020800000000008</v>
      </c>
    </row>
    <row r="117" spans="1:8" x14ac:dyDescent="0.3">
      <c r="A117" s="93" t="s">
        <v>90</v>
      </c>
      <c r="B117" s="95">
        <v>141</v>
      </c>
      <c r="C117" s="95">
        <v>340</v>
      </c>
      <c r="D117" s="123">
        <f>B117+H117</f>
        <v>233.40923076923076</v>
      </c>
      <c r="E117" s="95">
        <v>199</v>
      </c>
      <c r="F117" s="118">
        <v>0.65538461538461545</v>
      </c>
      <c r="G117" s="96">
        <v>1</v>
      </c>
      <c r="H117" s="120">
        <f t="shared" si="1"/>
        <v>92.409230769230774</v>
      </c>
    </row>
    <row r="118" spans="1:8" x14ac:dyDescent="0.3">
      <c r="A118" s="88" t="s">
        <v>92</v>
      </c>
      <c r="B118" s="90">
        <v>154</v>
      </c>
      <c r="C118" s="90">
        <v>450</v>
      </c>
      <c r="D118" s="123">
        <f>B118+H118</f>
        <v>262.82666666666665</v>
      </c>
      <c r="E118" s="90">
        <v>296</v>
      </c>
      <c r="F118" s="117">
        <v>0.70666666666666667</v>
      </c>
      <c r="G118" s="91">
        <v>7</v>
      </c>
      <c r="H118" s="120">
        <f t="shared" si="1"/>
        <v>108.82666666666667</v>
      </c>
    </row>
    <row r="119" spans="1:8" x14ac:dyDescent="0.3">
      <c r="A119" s="93" t="s">
        <v>92</v>
      </c>
      <c r="B119" s="95">
        <v>176</v>
      </c>
      <c r="C119" s="95">
        <v>500</v>
      </c>
      <c r="D119" s="123">
        <f>B119+H119</f>
        <v>284.92972972972973</v>
      </c>
      <c r="E119" s="95">
        <v>324</v>
      </c>
      <c r="F119" s="118">
        <v>0.61891891891891893</v>
      </c>
      <c r="G119" s="96">
        <v>0</v>
      </c>
      <c r="H119" s="120">
        <f t="shared" si="1"/>
        <v>108.92972972972973</v>
      </c>
    </row>
    <row r="120" spans="1:8" x14ac:dyDescent="0.3">
      <c r="A120" s="88" t="s">
        <v>92</v>
      </c>
      <c r="B120" s="90">
        <v>176</v>
      </c>
      <c r="C120" s="90">
        <v>500</v>
      </c>
      <c r="D120" s="123">
        <f>B120+H120</f>
        <v>273.15200000000004</v>
      </c>
      <c r="E120" s="90">
        <v>324</v>
      </c>
      <c r="F120" s="117">
        <v>0.55200000000000005</v>
      </c>
      <c r="G120" s="91">
        <v>1</v>
      </c>
      <c r="H120" s="120">
        <f t="shared" si="1"/>
        <v>97.152000000000015</v>
      </c>
    </row>
    <row r="121" spans="1:8" x14ac:dyDescent="0.3">
      <c r="A121" s="88" t="s">
        <v>92</v>
      </c>
      <c r="B121" s="90">
        <v>165</v>
      </c>
      <c r="C121" s="90">
        <v>470</v>
      </c>
      <c r="D121" s="123">
        <f>B121+H121</f>
        <v>287.57142857142856</v>
      </c>
      <c r="E121" s="90">
        <v>305</v>
      </c>
      <c r="F121" s="117">
        <v>0.74285714285714288</v>
      </c>
      <c r="G121" s="91">
        <v>2</v>
      </c>
      <c r="H121" s="120">
        <f t="shared" si="1"/>
        <v>122.57142857142857</v>
      </c>
    </row>
    <row r="122" spans="1:8" x14ac:dyDescent="0.3">
      <c r="A122" s="93" t="s">
        <v>80</v>
      </c>
      <c r="B122" s="95">
        <v>18</v>
      </c>
      <c r="C122" s="95">
        <v>60</v>
      </c>
      <c r="D122" s="123">
        <f>B122+H122</f>
        <v>26.64</v>
      </c>
      <c r="E122" s="95">
        <v>42</v>
      </c>
      <c r="F122" s="118">
        <v>0.48</v>
      </c>
      <c r="G122" s="96">
        <v>444</v>
      </c>
      <c r="H122" s="120">
        <f t="shared" si="1"/>
        <v>8.64</v>
      </c>
    </row>
    <row r="123" spans="1:8" x14ac:dyDescent="0.3">
      <c r="A123" s="88" t="s">
        <v>72</v>
      </c>
      <c r="B123" s="90">
        <v>19.599999999999998</v>
      </c>
      <c r="C123" s="90">
        <v>69</v>
      </c>
      <c r="D123" s="123">
        <f>B123+H123</f>
        <v>34.745454545454542</v>
      </c>
      <c r="E123" s="90">
        <v>49.400000000000006</v>
      </c>
      <c r="F123" s="117">
        <v>0.77272727272727271</v>
      </c>
      <c r="G123" s="91">
        <v>32</v>
      </c>
      <c r="H123" s="120">
        <f t="shared" si="1"/>
        <v>15.145454545454543</v>
      </c>
    </row>
    <row r="124" spans="1:8" x14ac:dyDescent="0.3">
      <c r="A124" s="93" t="s">
        <v>74</v>
      </c>
      <c r="B124" s="95">
        <v>14</v>
      </c>
      <c r="C124" s="95">
        <v>39</v>
      </c>
      <c r="D124" s="123">
        <f>B124+H124</f>
        <v>18.853333333333335</v>
      </c>
      <c r="E124" s="95">
        <v>25</v>
      </c>
      <c r="F124" s="118">
        <v>0.34666666666666673</v>
      </c>
      <c r="G124" s="96">
        <v>36</v>
      </c>
      <c r="H124" s="120">
        <f t="shared" si="1"/>
        <v>4.8533333333333344</v>
      </c>
    </row>
    <row r="125" spans="1:8" x14ac:dyDescent="0.3">
      <c r="A125" s="88" t="s">
        <v>72</v>
      </c>
      <c r="B125" s="90">
        <v>21</v>
      </c>
      <c r="C125" s="90">
        <v>79</v>
      </c>
      <c r="D125" s="123">
        <f>B125+H125</f>
        <v>37.418181818181822</v>
      </c>
      <c r="E125" s="90">
        <v>58</v>
      </c>
      <c r="F125" s="117">
        <v>0.78181818181818186</v>
      </c>
      <c r="G125" s="91">
        <v>0</v>
      </c>
      <c r="H125" s="120">
        <f t="shared" si="1"/>
        <v>16.418181818181818</v>
      </c>
    </row>
    <row r="126" spans="1:8" x14ac:dyDescent="0.3">
      <c r="A126" s="93" t="s">
        <v>74</v>
      </c>
      <c r="B126" s="95">
        <v>15</v>
      </c>
      <c r="C126" s="95">
        <v>49</v>
      </c>
      <c r="D126" s="123">
        <f>B126+H126</f>
        <v>26.727272727272727</v>
      </c>
      <c r="E126" s="95">
        <v>34</v>
      </c>
      <c r="F126" s="118">
        <v>0.78181818181818186</v>
      </c>
      <c r="G126" s="96">
        <v>1</v>
      </c>
      <c r="H126" s="120">
        <f t="shared" si="1"/>
        <v>11.727272727272728</v>
      </c>
    </row>
    <row r="127" spans="1:8" x14ac:dyDescent="0.3">
      <c r="A127" s="93" t="s">
        <v>72</v>
      </c>
      <c r="B127" s="95">
        <v>22.400000000000002</v>
      </c>
      <c r="C127" s="95">
        <v>90</v>
      </c>
      <c r="D127" s="123">
        <f>B127+H127</f>
        <v>35.694702702702706</v>
      </c>
      <c r="E127" s="95">
        <v>67.599999999999994</v>
      </c>
      <c r="F127" s="118">
        <v>0.59351351351351345</v>
      </c>
      <c r="G127" s="96">
        <v>25</v>
      </c>
      <c r="H127" s="120">
        <f t="shared" si="1"/>
        <v>13.294702702702702</v>
      </c>
    </row>
    <row r="128" spans="1:8" x14ac:dyDescent="0.3">
      <c r="A128" s="88" t="s">
        <v>74</v>
      </c>
      <c r="B128" s="90">
        <v>15</v>
      </c>
      <c r="C128" s="90">
        <v>49</v>
      </c>
      <c r="D128" s="123">
        <f>B128+H128</f>
        <v>25.408163265306122</v>
      </c>
      <c r="E128" s="90">
        <v>34</v>
      </c>
      <c r="F128" s="117">
        <v>0.69387755102040816</v>
      </c>
      <c r="G128" s="91">
        <v>1</v>
      </c>
      <c r="H128" s="120">
        <f t="shared" si="1"/>
        <v>10.408163265306122</v>
      </c>
    </row>
    <row r="129" spans="1:8" x14ac:dyDescent="0.3">
      <c r="A129" s="88" t="s">
        <v>72</v>
      </c>
      <c r="B129" s="90">
        <v>21</v>
      </c>
      <c r="C129" s="90">
        <v>79</v>
      </c>
      <c r="D129" s="123">
        <f>B129+H129</f>
        <v>37.668750000000003</v>
      </c>
      <c r="E129" s="90">
        <v>58</v>
      </c>
      <c r="F129" s="117">
        <v>0.79374999999999996</v>
      </c>
      <c r="G129" s="91">
        <v>40</v>
      </c>
      <c r="H129" s="120">
        <f t="shared" si="1"/>
        <v>16.668749999999999</v>
      </c>
    </row>
    <row r="130" spans="1:8" x14ac:dyDescent="0.3">
      <c r="A130" s="93" t="s">
        <v>74</v>
      </c>
      <c r="B130" s="95">
        <v>15</v>
      </c>
      <c r="C130" s="95">
        <v>49</v>
      </c>
      <c r="D130" s="123">
        <f>B130+H130</f>
        <v>11.866666666666665</v>
      </c>
      <c r="E130" s="95">
        <v>34</v>
      </c>
      <c r="F130" s="118">
        <v>-0.20888888888888901</v>
      </c>
      <c r="G130" s="96">
        <v>68</v>
      </c>
      <c r="H130" s="120">
        <f t="shared" si="1"/>
        <v>-3.1333333333333351</v>
      </c>
    </row>
    <row r="131" spans="1:8" x14ac:dyDescent="0.3">
      <c r="A131" s="93" t="s">
        <v>76</v>
      </c>
      <c r="B131" s="95">
        <v>16.799999999999997</v>
      </c>
      <c r="C131" s="95">
        <v>60</v>
      </c>
      <c r="D131" s="123">
        <f>B131+H131</f>
        <v>28.979999999999997</v>
      </c>
      <c r="E131" s="95">
        <v>43.2</v>
      </c>
      <c r="F131" s="118">
        <v>0.72499999999999998</v>
      </c>
      <c r="G131" s="96">
        <v>10</v>
      </c>
      <c r="H131" s="120">
        <f t="shared" ref="H131:H194" si="2">B131*F131</f>
        <v>12.179999999999998</v>
      </c>
    </row>
    <row r="132" spans="1:8" x14ac:dyDescent="0.3">
      <c r="A132" s="88" t="s">
        <v>65</v>
      </c>
      <c r="B132" s="90">
        <v>28</v>
      </c>
      <c r="C132" s="90">
        <v>130</v>
      </c>
      <c r="D132" s="123">
        <f>B132+H132</f>
        <v>41.3</v>
      </c>
      <c r="E132" s="90">
        <v>102</v>
      </c>
      <c r="F132" s="117">
        <v>0.47499999999999998</v>
      </c>
      <c r="G132" s="91">
        <v>38</v>
      </c>
      <c r="H132" s="120">
        <f t="shared" si="2"/>
        <v>13.299999999999999</v>
      </c>
    </row>
    <row r="133" spans="1:8" x14ac:dyDescent="0.3">
      <c r="A133" s="88" t="s">
        <v>60</v>
      </c>
      <c r="B133" s="90">
        <v>15.399999999999999</v>
      </c>
      <c r="C133" s="90">
        <v>75</v>
      </c>
      <c r="D133" s="123">
        <f>B133+H133</f>
        <v>26.693333333333328</v>
      </c>
      <c r="E133" s="90">
        <v>59.6</v>
      </c>
      <c r="F133" s="117">
        <v>0.73333333333333328</v>
      </c>
      <c r="G133" s="91">
        <v>45</v>
      </c>
      <c r="H133" s="120">
        <f t="shared" si="2"/>
        <v>11.293333333333331</v>
      </c>
    </row>
    <row r="134" spans="1:8" x14ac:dyDescent="0.3">
      <c r="A134" s="88" t="s">
        <v>58</v>
      </c>
      <c r="B134" s="90">
        <v>9.7999999999999989</v>
      </c>
      <c r="C134" s="90">
        <v>35</v>
      </c>
      <c r="D134" s="123">
        <f>B134+H134</f>
        <v>13.327999999999999</v>
      </c>
      <c r="E134" s="90">
        <v>25.200000000000003</v>
      </c>
      <c r="F134" s="117">
        <v>0.36</v>
      </c>
      <c r="G134" s="91">
        <v>62</v>
      </c>
      <c r="H134" s="120">
        <f t="shared" si="2"/>
        <v>3.5279999999999996</v>
      </c>
    </row>
    <row r="135" spans="1:8" x14ac:dyDescent="0.3">
      <c r="A135" s="93" t="s">
        <v>63</v>
      </c>
      <c r="B135" s="95">
        <v>22.4</v>
      </c>
      <c r="C135" s="95">
        <v>65</v>
      </c>
      <c r="D135" s="123">
        <f>B135+H135</f>
        <v>39.975384615384613</v>
      </c>
      <c r="E135" s="95">
        <v>42.6</v>
      </c>
      <c r="F135" s="118">
        <v>0.7846153846153846</v>
      </c>
      <c r="G135" s="96">
        <v>163</v>
      </c>
      <c r="H135" s="120">
        <f t="shared" si="2"/>
        <v>17.575384615384614</v>
      </c>
    </row>
    <row r="136" spans="1:8" x14ac:dyDescent="0.3">
      <c r="A136" s="93" t="s">
        <v>76</v>
      </c>
      <c r="B136" s="95">
        <v>18</v>
      </c>
      <c r="C136" s="95">
        <v>70</v>
      </c>
      <c r="D136" s="123">
        <f>B136+H136</f>
        <v>32.142857142857139</v>
      </c>
      <c r="E136" s="95">
        <v>52</v>
      </c>
      <c r="F136" s="118">
        <v>0.7857142857142857</v>
      </c>
      <c r="G136" s="96">
        <v>0</v>
      </c>
      <c r="H136" s="120">
        <f t="shared" si="2"/>
        <v>14.142857142857142</v>
      </c>
    </row>
    <row r="137" spans="1:8" x14ac:dyDescent="0.3">
      <c r="A137" s="93" t="s">
        <v>58</v>
      </c>
      <c r="B137" s="95">
        <v>10.5</v>
      </c>
      <c r="C137" s="95">
        <v>50</v>
      </c>
      <c r="D137" s="123">
        <f>B137+H137</f>
        <v>15.96</v>
      </c>
      <c r="E137" s="95">
        <v>39.5</v>
      </c>
      <c r="F137" s="118">
        <v>0.52</v>
      </c>
      <c r="G137" s="96">
        <v>3</v>
      </c>
      <c r="H137" s="120">
        <f t="shared" si="2"/>
        <v>5.46</v>
      </c>
    </row>
    <row r="138" spans="1:8" x14ac:dyDescent="0.3">
      <c r="A138" s="88" t="s">
        <v>58</v>
      </c>
      <c r="B138" s="90">
        <v>11.200000000000001</v>
      </c>
      <c r="C138" s="90">
        <v>65</v>
      </c>
      <c r="D138" s="123">
        <f>B138+H138</f>
        <v>18.567111111111114</v>
      </c>
      <c r="E138" s="90">
        <v>53.8</v>
      </c>
      <c r="F138" s="117">
        <v>0.65777777777777779</v>
      </c>
      <c r="G138" s="91">
        <v>35</v>
      </c>
      <c r="H138" s="120">
        <f t="shared" si="2"/>
        <v>7.3671111111111118</v>
      </c>
    </row>
    <row r="139" spans="1:8" x14ac:dyDescent="0.3">
      <c r="A139" s="93" t="s">
        <v>60</v>
      </c>
      <c r="B139" s="95">
        <v>17.600000000000001</v>
      </c>
      <c r="C139" s="95">
        <v>95</v>
      </c>
      <c r="D139" s="123">
        <f>B139+H139</f>
        <v>29.004800000000003</v>
      </c>
      <c r="E139" s="95">
        <v>77.400000000000006</v>
      </c>
      <c r="F139" s="118">
        <v>0.64800000000000002</v>
      </c>
      <c r="G139" s="96">
        <v>35</v>
      </c>
      <c r="H139" s="120">
        <f t="shared" si="2"/>
        <v>11.404800000000002</v>
      </c>
    </row>
    <row r="140" spans="1:8" x14ac:dyDescent="0.3">
      <c r="A140" s="88" t="s">
        <v>63</v>
      </c>
      <c r="B140" s="90">
        <v>25.6</v>
      </c>
      <c r="C140" s="90">
        <v>80</v>
      </c>
      <c r="D140" s="123">
        <f>B140+H140</f>
        <v>42.188800000000001</v>
      </c>
      <c r="E140" s="90">
        <v>54.4</v>
      </c>
      <c r="F140" s="117">
        <v>0.64800000000000002</v>
      </c>
      <c r="G140" s="91">
        <v>35</v>
      </c>
      <c r="H140" s="120">
        <f t="shared" si="2"/>
        <v>16.588800000000003</v>
      </c>
    </row>
    <row r="141" spans="1:8" x14ac:dyDescent="0.3">
      <c r="A141" s="88" t="s">
        <v>65</v>
      </c>
      <c r="B141" s="90">
        <v>32</v>
      </c>
      <c r="C141" s="90">
        <v>160</v>
      </c>
      <c r="D141" s="123">
        <f>B141+H141</f>
        <v>52.512820512820511</v>
      </c>
      <c r="E141" s="90">
        <v>128</v>
      </c>
      <c r="F141" s="117">
        <v>0.64102564102564108</v>
      </c>
      <c r="G141" s="91">
        <v>55</v>
      </c>
      <c r="H141" s="120">
        <f t="shared" si="2"/>
        <v>20.512820512820515</v>
      </c>
    </row>
    <row r="142" spans="1:8" x14ac:dyDescent="0.3">
      <c r="A142" s="93" t="s">
        <v>76</v>
      </c>
      <c r="B142" s="95">
        <v>18</v>
      </c>
      <c r="C142" s="95">
        <v>70</v>
      </c>
      <c r="D142" s="123">
        <f>B142+H142</f>
        <v>32.22</v>
      </c>
      <c r="E142" s="95">
        <v>52</v>
      </c>
      <c r="F142" s="118">
        <v>0.79</v>
      </c>
      <c r="G142" s="96">
        <v>3</v>
      </c>
      <c r="H142" s="120">
        <f t="shared" si="2"/>
        <v>14.22</v>
      </c>
    </row>
    <row r="143" spans="1:8" x14ac:dyDescent="0.3">
      <c r="A143" s="93" t="s">
        <v>58</v>
      </c>
      <c r="B143" s="95">
        <v>10.5</v>
      </c>
      <c r="C143" s="95">
        <v>50</v>
      </c>
      <c r="D143" s="123">
        <f>B143+H143</f>
        <v>19.054736842105264</v>
      </c>
      <c r="E143" s="95">
        <v>39.5</v>
      </c>
      <c r="F143" s="118">
        <v>0.8147368421052632</v>
      </c>
      <c r="G143" s="96">
        <v>5</v>
      </c>
      <c r="H143" s="120">
        <f t="shared" si="2"/>
        <v>8.5547368421052639</v>
      </c>
    </row>
    <row r="144" spans="1:8" x14ac:dyDescent="0.3">
      <c r="A144" s="93" t="s">
        <v>65</v>
      </c>
      <c r="B144" s="95">
        <v>30</v>
      </c>
      <c r="C144" s="95">
        <v>145</v>
      </c>
      <c r="D144" s="123">
        <f>B144+H144</f>
        <v>20.800000000000004</v>
      </c>
      <c r="E144" s="95">
        <v>115</v>
      </c>
      <c r="F144" s="118">
        <v>-0.30666666666666653</v>
      </c>
      <c r="G144" s="96">
        <v>45</v>
      </c>
      <c r="H144" s="120">
        <f t="shared" si="2"/>
        <v>-9.1999999999999957</v>
      </c>
    </row>
    <row r="145" spans="1:8" x14ac:dyDescent="0.3">
      <c r="A145" s="88" t="s">
        <v>63</v>
      </c>
      <c r="B145" s="90">
        <v>24</v>
      </c>
      <c r="C145" s="90">
        <v>80</v>
      </c>
      <c r="D145" s="123">
        <f>B145+H145</f>
        <v>37.44</v>
      </c>
      <c r="E145" s="90">
        <v>56</v>
      </c>
      <c r="F145" s="117">
        <v>0.56000000000000005</v>
      </c>
      <c r="G145" s="91">
        <v>189</v>
      </c>
      <c r="H145" s="120">
        <f t="shared" si="2"/>
        <v>13.440000000000001</v>
      </c>
    </row>
    <row r="146" spans="1:8" x14ac:dyDescent="0.3">
      <c r="A146" s="93" t="s">
        <v>60</v>
      </c>
      <c r="B146" s="95">
        <v>16.5</v>
      </c>
      <c r="C146" s="95">
        <v>80</v>
      </c>
      <c r="D146" s="123">
        <f>B146+H146</f>
        <v>20.625</v>
      </c>
      <c r="E146" s="95">
        <v>63.5</v>
      </c>
      <c r="F146" s="118">
        <v>0.25</v>
      </c>
      <c r="G146" s="96">
        <v>200</v>
      </c>
      <c r="H146" s="120">
        <f t="shared" si="2"/>
        <v>4.125</v>
      </c>
    </row>
    <row r="147" spans="1:8" x14ac:dyDescent="0.3">
      <c r="A147" s="93" t="s">
        <v>98</v>
      </c>
      <c r="B147" s="95">
        <v>39.199999999999996</v>
      </c>
      <c r="C147" s="95">
        <v>30</v>
      </c>
      <c r="D147" s="123">
        <f>B147+H147</f>
        <v>64.287999999999997</v>
      </c>
      <c r="E147" s="95">
        <v>-9.1999999999999957</v>
      </c>
      <c r="F147" s="118">
        <v>0.64</v>
      </c>
      <c r="G147" s="96">
        <v>0</v>
      </c>
      <c r="H147" s="120">
        <f t="shared" si="2"/>
        <v>25.087999999999997</v>
      </c>
    </row>
    <row r="148" spans="1:8" x14ac:dyDescent="0.3">
      <c r="A148" s="88" t="s">
        <v>100</v>
      </c>
      <c r="B148" s="90">
        <v>47.599999999999994</v>
      </c>
      <c r="C148" s="90">
        <v>38</v>
      </c>
      <c r="D148" s="123">
        <f>B148+H148</f>
        <v>76.54079999999999</v>
      </c>
      <c r="E148" s="90">
        <v>-9.5999999999999943</v>
      </c>
      <c r="F148" s="117">
        <v>0.6080000000000001</v>
      </c>
      <c r="G148" s="91">
        <v>0</v>
      </c>
      <c r="H148" s="120">
        <f t="shared" si="2"/>
        <v>28.940799999999999</v>
      </c>
    </row>
    <row r="149" spans="1:8" x14ac:dyDescent="0.3">
      <c r="A149" s="88" t="s">
        <v>101</v>
      </c>
      <c r="B149" s="90">
        <v>54.400000000000006</v>
      </c>
      <c r="C149" s="90">
        <v>45</v>
      </c>
      <c r="D149" s="123">
        <f>B149+H149</f>
        <v>88.345600000000019</v>
      </c>
      <c r="E149" s="90">
        <v>-9.4000000000000057</v>
      </c>
      <c r="F149" s="117">
        <v>0.624</v>
      </c>
      <c r="G149" s="91">
        <v>0</v>
      </c>
      <c r="H149" s="120">
        <f t="shared" si="2"/>
        <v>33.945600000000006</v>
      </c>
    </row>
    <row r="150" spans="1:8" x14ac:dyDescent="0.3">
      <c r="A150" s="93" t="s">
        <v>102</v>
      </c>
      <c r="B150" s="95">
        <v>60</v>
      </c>
      <c r="C150" s="95">
        <v>60</v>
      </c>
      <c r="D150" s="123">
        <f>B150+H150</f>
        <v>66</v>
      </c>
      <c r="E150" s="95">
        <v>0</v>
      </c>
      <c r="F150" s="118">
        <v>0.1</v>
      </c>
      <c r="G150" s="96">
        <v>55</v>
      </c>
      <c r="H150" s="120">
        <f t="shared" si="2"/>
        <v>6</v>
      </c>
    </row>
    <row r="151" spans="1:8" x14ac:dyDescent="0.3">
      <c r="A151" s="88" t="s">
        <v>99</v>
      </c>
      <c r="B151" s="90">
        <v>51</v>
      </c>
      <c r="C151" s="90">
        <v>40</v>
      </c>
      <c r="D151" s="123">
        <f>B151+H151</f>
        <v>54.1875</v>
      </c>
      <c r="E151" s="90">
        <v>-11</v>
      </c>
      <c r="F151" s="117">
        <v>6.25E-2</v>
      </c>
      <c r="G151" s="91">
        <v>60</v>
      </c>
      <c r="H151" s="120">
        <f t="shared" si="2"/>
        <v>3.1875</v>
      </c>
    </row>
    <row r="152" spans="1:8" x14ac:dyDescent="0.3">
      <c r="A152" s="88" t="s">
        <v>94</v>
      </c>
      <c r="B152" s="90">
        <v>42</v>
      </c>
      <c r="C152" s="90">
        <v>35</v>
      </c>
      <c r="D152" s="123">
        <f>B152+H152</f>
        <v>76.473600000000005</v>
      </c>
      <c r="E152" s="90">
        <v>-7</v>
      </c>
      <c r="F152" s="117">
        <v>0.82079999999999997</v>
      </c>
      <c r="G152" s="91">
        <v>134</v>
      </c>
      <c r="H152" s="120">
        <f t="shared" si="2"/>
        <v>34.473599999999998</v>
      </c>
    </row>
    <row r="153" spans="1:8" x14ac:dyDescent="0.3">
      <c r="A153" s="93" t="s">
        <v>103</v>
      </c>
      <c r="B153" s="95">
        <v>35.200000000000003</v>
      </c>
      <c r="C153" s="95">
        <v>85</v>
      </c>
      <c r="D153" s="123">
        <f>B153+H153</f>
        <v>57.1648</v>
      </c>
      <c r="E153" s="95">
        <v>49.8</v>
      </c>
      <c r="F153" s="118">
        <v>0.624</v>
      </c>
      <c r="G153" s="96">
        <v>0</v>
      </c>
      <c r="H153" s="120">
        <f t="shared" si="2"/>
        <v>21.9648</v>
      </c>
    </row>
    <row r="154" spans="1:8" x14ac:dyDescent="0.3">
      <c r="A154" s="88" t="s">
        <v>103</v>
      </c>
      <c r="B154" s="90">
        <v>33</v>
      </c>
      <c r="C154" s="90">
        <v>75</v>
      </c>
      <c r="D154" s="123">
        <f>B154+H154</f>
        <v>54.912000000000006</v>
      </c>
      <c r="E154" s="90">
        <v>42</v>
      </c>
      <c r="F154" s="117">
        <v>0.66400000000000003</v>
      </c>
      <c r="G154" s="91">
        <v>130</v>
      </c>
      <c r="H154" s="120">
        <f t="shared" si="2"/>
        <v>21.912000000000003</v>
      </c>
    </row>
    <row r="155" spans="1:8" x14ac:dyDescent="0.3">
      <c r="A155" s="93" t="s">
        <v>105</v>
      </c>
      <c r="B155" s="95">
        <v>45</v>
      </c>
      <c r="C155" s="95">
        <v>60</v>
      </c>
      <c r="D155" s="123">
        <f>B155+H155</f>
        <v>76.5</v>
      </c>
      <c r="E155" s="95">
        <v>15</v>
      </c>
      <c r="F155" s="118">
        <v>0.7</v>
      </c>
      <c r="G155" s="96">
        <v>135</v>
      </c>
      <c r="H155" s="120">
        <f t="shared" si="2"/>
        <v>31.499999999999996</v>
      </c>
    </row>
    <row r="156" spans="1:8" x14ac:dyDescent="0.3">
      <c r="A156" s="93" t="s">
        <v>106</v>
      </c>
      <c r="B156" s="95">
        <v>60</v>
      </c>
      <c r="C156" s="95">
        <v>85</v>
      </c>
      <c r="D156" s="123">
        <f>B156+H156</f>
        <v>111.6</v>
      </c>
      <c r="E156" s="95">
        <v>25</v>
      </c>
      <c r="F156" s="118">
        <v>0.86</v>
      </c>
      <c r="G156" s="96">
        <v>208</v>
      </c>
      <c r="H156" s="120">
        <f t="shared" si="2"/>
        <v>51.6</v>
      </c>
    </row>
    <row r="157" spans="1:8" x14ac:dyDescent="0.3">
      <c r="A157" s="93" t="s">
        <v>107</v>
      </c>
      <c r="B157" s="95">
        <v>15</v>
      </c>
      <c r="C157" s="95">
        <v>45</v>
      </c>
      <c r="D157" s="123">
        <f>B157+H157</f>
        <v>23.7</v>
      </c>
      <c r="E157" s="95">
        <v>30</v>
      </c>
      <c r="F157" s="118">
        <v>0.57999999999999996</v>
      </c>
      <c r="G157" s="96">
        <v>122</v>
      </c>
      <c r="H157" s="120">
        <f t="shared" si="2"/>
        <v>8.6999999999999993</v>
      </c>
    </row>
    <row r="158" spans="1:8" x14ac:dyDescent="0.3">
      <c r="A158" s="93" t="s">
        <v>111</v>
      </c>
      <c r="B158" s="95">
        <v>51</v>
      </c>
      <c r="C158" s="95">
        <v>90</v>
      </c>
      <c r="D158" s="123">
        <f>B158+H158</f>
        <v>80.58</v>
      </c>
      <c r="E158" s="95">
        <v>39</v>
      </c>
      <c r="F158" s="118">
        <v>0.57999999999999996</v>
      </c>
      <c r="G158" s="96">
        <v>133</v>
      </c>
      <c r="H158" s="120">
        <f t="shared" si="2"/>
        <v>29.58</v>
      </c>
    </row>
    <row r="159" spans="1:8" x14ac:dyDescent="0.3">
      <c r="A159" s="88" t="s">
        <v>110</v>
      </c>
      <c r="B159" s="90">
        <v>39</v>
      </c>
      <c r="C159" s="90">
        <v>75</v>
      </c>
      <c r="D159" s="123">
        <f>B159+H159</f>
        <v>68.293333333333337</v>
      </c>
      <c r="E159" s="90">
        <v>36</v>
      </c>
      <c r="F159" s="117">
        <v>0.75111111111111106</v>
      </c>
      <c r="G159" s="91">
        <v>147</v>
      </c>
      <c r="H159" s="120">
        <f t="shared" si="2"/>
        <v>29.293333333333333</v>
      </c>
    </row>
    <row r="160" spans="1:8" x14ac:dyDescent="0.3">
      <c r="A160" s="88" t="s">
        <v>109</v>
      </c>
      <c r="B160" s="90">
        <v>30</v>
      </c>
      <c r="C160" s="90">
        <v>59</v>
      </c>
      <c r="D160" s="123">
        <f>B160+H160</f>
        <v>49.92</v>
      </c>
      <c r="E160" s="90">
        <v>29</v>
      </c>
      <c r="F160" s="117">
        <v>0.66400000000000003</v>
      </c>
      <c r="G160" s="91">
        <v>194</v>
      </c>
      <c r="H160" s="120">
        <f t="shared" si="2"/>
        <v>19.920000000000002</v>
      </c>
    </row>
    <row r="161" spans="1:8" x14ac:dyDescent="0.3">
      <c r="A161" s="93" t="s">
        <v>137</v>
      </c>
      <c r="B161" s="95">
        <v>39</v>
      </c>
      <c r="C161" s="95">
        <v>75</v>
      </c>
      <c r="D161" s="123">
        <f>B161+H161</f>
        <v>57.2</v>
      </c>
      <c r="E161" s="95">
        <v>36</v>
      </c>
      <c r="F161" s="118">
        <v>0.46666666666666667</v>
      </c>
      <c r="G161" s="96">
        <v>13</v>
      </c>
      <c r="H161" s="120">
        <f t="shared" si="2"/>
        <v>18.2</v>
      </c>
    </row>
    <row r="162" spans="1:8" x14ac:dyDescent="0.3">
      <c r="A162" s="88" t="s">
        <v>139</v>
      </c>
      <c r="B162" s="90">
        <v>45</v>
      </c>
      <c r="C162" s="90">
        <v>88</v>
      </c>
      <c r="D162" s="123">
        <f>B162+H162</f>
        <v>67.5</v>
      </c>
      <c r="E162" s="90">
        <v>43</v>
      </c>
      <c r="F162" s="117">
        <v>0.5</v>
      </c>
      <c r="G162" s="91">
        <v>18</v>
      </c>
      <c r="H162" s="120">
        <f t="shared" si="2"/>
        <v>22.5</v>
      </c>
    </row>
    <row r="163" spans="1:8" x14ac:dyDescent="0.3">
      <c r="A163" s="93" t="s">
        <v>130</v>
      </c>
      <c r="B163" s="95">
        <v>45</v>
      </c>
      <c r="C163" s="95">
        <v>85</v>
      </c>
      <c r="D163" s="123">
        <f>B163+H163</f>
        <v>76.5</v>
      </c>
      <c r="E163" s="95">
        <v>40</v>
      </c>
      <c r="F163" s="118">
        <v>0.7</v>
      </c>
      <c r="G163" s="96">
        <v>150</v>
      </c>
      <c r="H163" s="120">
        <f t="shared" si="2"/>
        <v>31.499999999999996</v>
      </c>
    </row>
    <row r="164" spans="1:8" x14ac:dyDescent="0.3">
      <c r="A164" s="88" t="s">
        <v>133</v>
      </c>
      <c r="B164" s="90">
        <v>21</v>
      </c>
      <c r="C164" s="90">
        <v>35</v>
      </c>
      <c r="D164" s="123">
        <f>B164+H164</f>
        <v>39.286153846153844</v>
      </c>
      <c r="E164" s="90">
        <v>14</v>
      </c>
      <c r="F164" s="117">
        <v>0.87076923076923074</v>
      </c>
      <c r="G164" s="91">
        <v>210</v>
      </c>
      <c r="H164" s="120">
        <f t="shared" si="2"/>
        <v>18.286153846153844</v>
      </c>
    </row>
    <row r="165" spans="1:8" x14ac:dyDescent="0.3">
      <c r="A165" s="88" t="s">
        <v>132</v>
      </c>
      <c r="B165" s="90">
        <v>15</v>
      </c>
      <c r="C165" s="90">
        <v>30</v>
      </c>
      <c r="D165" s="123">
        <f>B165+H165</f>
        <v>24.166666666666668</v>
      </c>
      <c r="E165" s="90">
        <v>15</v>
      </c>
      <c r="F165" s="117">
        <v>0.61111111111111116</v>
      </c>
      <c r="G165" s="91">
        <v>235</v>
      </c>
      <c r="H165" s="120">
        <f t="shared" si="2"/>
        <v>9.1666666666666679</v>
      </c>
    </row>
    <row r="166" spans="1:8" x14ac:dyDescent="0.3">
      <c r="A166" s="93" t="s">
        <v>136</v>
      </c>
      <c r="B166" s="95">
        <v>36</v>
      </c>
      <c r="C166" s="95">
        <v>65</v>
      </c>
      <c r="D166" s="123">
        <f>B166+H166</f>
        <v>53.672727272727272</v>
      </c>
      <c r="E166" s="95">
        <v>29</v>
      </c>
      <c r="F166" s="118">
        <v>0.49090909090909091</v>
      </c>
      <c r="G166" s="96">
        <v>240</v>
      </c>
      <c r="H166" s="120">
        <f t="shared" si="2"/>
        <v>17.672727272727272</v>
      </c>
    </row>
    <row r="167" spans="1:8" x14ac:dyDescent="0.3">
      <c r="A167" s="88" t="s">
        <v>135</v>
      </c>
      <c r="B167" s="90">
        <v>31.5</v>
      </c>
      <c r="C167" s="90">
        <v>55</v>
      </c>
      <c r="D167" s="123">
        <f>B167+H167</f>
        <v>52.71</v>
      </c>
      <c r="E167" s="90">
        <v>23.5</v>
      </c>
      <c r="F167" s="117">
        <v>0.67333333333333334</v>
      </c>
      <c r="G167" s="91">
        <v>289</v>
      </c>
      <c r="H167" s="120">
        <f t="shared" si="2"/>
        <v>21.21</v>
      </c>
    </row>
    <row r="168" spans="1:8" x14ac:dyDescent="0.3">
      <c r="A168" s="93" t="s">
        <v>134</v>
      </c>
      <c r="B168" s="95">
        <v>27</v>
      </c>
      <c r="C168" s="95">
        <v>45</v>
      </c>
      <c r="D168" s="123">
        <f>B168+H168</f>
        <v>41.904000000000003</v>
      </c>
      <c r="E168" s="95">
        <v>18</v>
      </c>
      <c r="F168" s="118">
        <v>0.55200000000000005</v>
      </c>
      <c r="G168" s="96">
        <v>312</v>
      </c>
      <c r="H168" s="120">
        <f t="shared" si="2"/>
        <v>14.904000000000002</v>
      </c>
    </row>
    <row r="169" spans="1:8" x14ac:dyDescent="0.3">
      <c r="A169" s="88" t="s">
        <v>116</v>
      </c>
      <c r="B169" s="90">
        <v>15</v>
      </c>
      <c r="C169" s="90">
        <v>45</v>
      </c>
      <c r="D169" s="123">
        <f>B169+H169</f>
        <v>16.5</v>
      </c>
      <c r="E169" s="90">
        <v>30</v>
      </c>
      <c r="F169" s="117">
        <v>0.1</v>
      </c>
      <c r="G169" s="91">
        <v>79</v>
      </c>
      <c r="H169" s="120">
        <f t="shared" si="2"/>
        <v>1.5</v>
      </c>
    </row>
    <row r="170" spans="1:8" x14ac:dyDescent="0.3">
      <c r="A170" s="88" t="s">
        <v>115</v>
      </c>
      <c r="B170" s="90">
        <v>45</v>
      </c>
      <c r="C170" s="90">
        <v>77</v>
      </c>
      <c r="D170" s="123">
        <f>B170+H170</f>
        <v>73.2</v>
      </c>
      <c r="E170" s="90">
        <v>32</v>
      </c>
      <c r="F170" s="117">
        <v>0.62666666666666671</v>
      </c>
      <c r="G170" s="91">
        <v>109</v>
      </c>
      <c r="H170" s="120">
        <f t="shared" si="2"/>
        <v>28.200000000000003</v>
      </c>
    </row>
    <row r="171" spans="1:8" x14ac:dyDescent="0.3">
      <c r="A171" s="93" t="s">
        <v>112</v>
      </c>
      <c r="B171" s="95">
        <v>24</v>
      </c>
      <c r="C171" s="95">
        <v>45</v>
      </c>
      <c r="D171" s="123">
        <f>B171+H171</f>
        <v>44.08</v>
      </c>
      <c r="E171" s="95">
        <v>21</v>
      </c>
      <c r="F171" s="118">
        <v>0.83666666666666667</v>
      </c>
      <c r="G171" s="96">
        <v>173</v>
      </c>
      <c r="H171" s="120">
        <f t="shared" si="2"/>
        <v>20.079999999999998</v>
      </c>
    </row>
    <row r="172" spans="1:8" x14ac:dyDescent="0.3">
      <c r="A172" s="88" t="s">
        <v>114</v>
      </c>
      <c r="B172" s="90">
        <v>30</v>
      </c>
      <c r="C172" s="90">
        <v>60</v>
      </c>
      <c r="D172" s="123">
        <f>B172+H172</f>
        <v>53.28</v>
      </c>
      <c r="E172" s="90">
        <v>30</v>
      </c>
      <c r="F172" s="117">
        <v>0.77599999999999991</v>
      </c>
      <c r="G172" s="91">
        <v>430</v>
      </c>
      <c r="H172" s="120">
        <f t="shared" si="2"/>
        <v>23.279999999999998</v>
      </c>
    </row>
    <row r="173" spans="1:8" x14ac:dyDescent="0.3">
      <c r="A173" s="93" t="s">
        <v>121</v>
      </c>
      <c r="B173" s="95">
        <v>33</v>
      </c>
      <c r="C173" s="95">
        <v>60</v>
      </c>
      <c r="D173" s="123">
        <f>B173+H173</f>
        <v>47.85</v>
      </c>
      <c r="E173" s="95">
        <v>27</v>
      </c>
      <c r="F173" s="118">
        <v>0.45</v>
      </c>
      <c r="G173" s="96">
        <v>24</v>
      </c>
      <c r="H173" s="120">
        <f t="shared" si="2"/>
        <v>14.85</v>
      </c>
    </row>
    <row r="174" spans="1:8" x14ac:dyDescent="0.3">
      <c r="A174" s="93" t="s">
        <v>117</v>
      </c>
      <c r="B174" s="95">
        <v>15</v>
      </c>
      <c r="C174" s="95">
        <v>32</v>
      </c>
      <c r="D174" s="123">
        <f>B174+H174</f>
        <v>23.164556962025316</v>
      </c>
      <c r="E174" s="95">
        <v>17</v>
      </c>
      <c r="F174" s="118">
        <v>0.54430379746835444</v>
      </c>
      <c r="G174" s="96">
        <v>82</v>
      </c>
      <c r="H174" s="120">
        <f t="shared" si="2"/>
        <v>8.1645569620253173</v>
      </c>
    </row>
    <row r="175" spans="1:8" x14ac:dyDescent="0.3">
      <c r="A175" s="88" t="s">
        <v>120</v>
      </c>
      <c r="B175" s="90">
        <v>24</v>
      </c>
      <c r="C175" s="90">
        <v>51</v>
      </c>
      <c r="D175" s="123">
        <f>B175+H175</f>
        <v>38.136986301369859</v>
      </c>
      <c r="E175" s="90">
        <v>27</v>
      </c>
      <c r="F175" s="117">
        <v>0.58904109589041098</v>
      </c>
      <c r="G175" s="91">
        <v>90</v>
      </c>
      <c r="H175" s="120">
        <f t="shared" si="2"/>
        <v>14.136986301369863</v>
      </c>
    </row>
    <row r="176" spans="1:8" x14ac:dyDescent="0.3">
      <c r="A176" s="88" t="s">
        <v>119</v>
      </c>
      <c r="B176" s="90">
        <v>21</v>
      </c>
      <c r="C176" s="90">
        <v>45</v>
      </c>
      <c r="D176" s="123">
        <f>B176+H176</f>
        <v>34.944000000000003</v>
      </c>
      <c r="E176" s="90">
        <v>24</v>
      </c>
      <c r="F176" s="117">
        <v>0.66400000000000003</v>
      </c>
      <c r="G176" s="91">
        <v>153</v>
      </c>
      <c r="H176" s="120">
        <f t="shared" si="2"/>
        <v>13.944000000000001</v>
      </c>
    </row>
    <row r="177" spans="1:8" x14ac:dyDescent="0.3">
      <c r="A177" s="88" t="s">
        <v>125</v>
      </c>
      <c r="B177" s="90">
        <v>45</v>
      </c>
      <c r="C177" s="90">
        <v>50</v>
      </c>
      <c r="D177" s="123">
        <f>B177+H177</f>
        <v>68.90625</v>
      </c>
      <c r="E177" s="90">
        <v>5</v>
      </c>
      <c r="F177" s="117">
        <v>0.53125</v>
      </c>
      <c r="G177" s="91">
        <v>35</v>
      </c>
      <c r="H177" s="120">
        <f t="shared" si="2"/>
        <v>23.90625</v>
      </c>
    </row>
    <row r="178" spans="1:8" x14ac:dyDescent="0.3">
      <c r="A178" s="88" t="s">
        <v>124</v>
      </c>
      <c r="B178" s="90">
        <v>45</v>
      </c>
      <c r="C178" s="90">
        <v>48</v>
      </c>
      <c r="D178" s="123">
        <f>B178+H178</f>
        <v>69</v>
      </c>
      <c r="E178" s="90">
        <v>3</v>
      </c>
      <c r="F178" s="117">
        <v>0.53333333333333333</v>
      </c>
      <c r="G178" s="91">
        <v>54</v>
      </c>
      <c r="H178" s="120">
        <f t="shared" si="2"/>
        <v>24</v>
      </c>
    </row>
    <row r="179" spans="1:8" x14ac:dyDescent="0.3">
      <c r="A179" s="93" t="s">
        <v>122</v>
      </c>
      <c r="B179" s="95">
        <v>45</v>
      </c>
      <c r="C179" s="95">
        <v>45</v>
      </c>
      <c r="D179" s="123">
        <f>B179+H179</f>
        <v>71.015625</v>
      </c>
      <c r="E179" s="95">
        <v>0</v>
      </c>
      <c r="F179" s="118">
        <v>0.578125</v>
      </c>
      <c r="G179" s="96">
        <v>103</v>
      </c>
      <c r="H179" s="120">
        <f t="shared" si="2"/>
        <v>26.015625</v>
      </c>
    </row>
    <row r="180" spans="1:8" x14ac:dyDescent="0.3">
      <c r="A180" s="93" t="s">
        <v>126</v>
      </c>
      <c r="B180" s="95">
        <v>45</v>
      </c>
      <c r="C180" s="95">
        <v>50</v>
      </c>
      <c r="D180" s="123">
        <f>B180+H180</f>
        <v>58.18181818181818</v>
      </c>
      <c r="E180" s="95">
        <v>5</v>
      </c>
      <c r="F180" s="118">
        <v>0.29292929292929293</v>
      </c>
      <c r="G180" s="96">
        <v>235</v>
      </c>
      <c r="H180" s="120">
        <f t="shared" si="2"/>
        <v>13.181818181818182</v>
      </c>
    </row>
    <row r="181" spans="1:8" x14ac:dyDescent="0.3">
      <c r="A181" s="93" t="s">
        <v>129</v>
      </c>
      <c r="B181" s="95">
        <v>36</v>
      </c>
      <c r="C181" s="95">
        <v>79</v>
      </c>
      <c r="D181" s="123">
        <f>B181+H181</f>
        <v>55.058823529411768</v>
      </c>
      <c r="E181" s="95">
        <v>43</v>
      </c>
      <c r="F181" s="118">
        <v>0.52941176470588236</v>
      </c>
      <c r="G181" s="96">
        <v>35</v>
      </c>
      <c r="H181" s="120">
        <f t="shared" si="2"/>
        <v>19.058823529411764</v>
      </c>
    </row>
    <row r="182" spans="1:8" x14ac:dyDescent="0.3">
      <c r="A182" s="93" t="s">
        <v>127</v>
      </c>
      <c r="B182" s="95">
        <v>30</v>
      </c>
      <c r="C182" s="95">
        <v>73</v>
      </c>
      <c r="D182" s="123">
        <f>B182+H182</f>
        <v>30</v>
      </c>
      <c r="E182" s="95">
        <v>43</v>
      </c>
      <c r="F182" s="118">
        <v>0</v>
      </c>
      <c r="G182" s="96">
        <v>70</v>
      </c>
      <c r="H182" s="120">
        <f t="shared" si="2"/>
        <v>0</v>
      </c>
    </row>
    <row r="183" spans="1:8" x14ac:dyDescent="0.3">
      <c r="A183" s="88" t="s">
        <v>140</v>
      </c>
      <c r="B183" s="90">
        <v>27</v>
      </c>
      <c r="C183" s="90">
        <v>64</v>
      </c>
      <c r="D183" s="123">
        <f>B183+H183</f>
        <v>38.220779220779221</v>
      </c>
      <c r="E183" s="90">
        <v>37</v>
      </c>
      <c r="F183" s="117">
        <v>0.41558441558441561</v>
      </c>
      <c r="G183" s="91">
        <v>7</v>
      </c>
      <c r="H183" s="120">
        <f t="shared" si="2"/>
        <v>11.220779220779221</v>
      </c>
    </row>
    <row r="184" spans="1:8" x14ac:dyDescent="0.3">
      <c r="A184" s="93" t="s">
        <v>145</v>
      </c>
      <c r="B184" s="95">
        <v>56</v>
      </c>
      <c r="C184" s="95">
        <v>150</v>
      </c>
      <c r="D184" s="123">
        <f>B184+H184</f>
        <v>92.701538461538462</v>
      </c>
      <c r="E184" s="95">
        <v>94</v>
      </c>
      <c r="F184" s="118">
        <v>0.65538461538461545</v>
      </c>
      <c r="G184" s="96">
        <v>230</v>
      </c>
      <c r="H184" s="120">
        <f t="shared" si="2"/>
        <v>36.701538461538462</v>
      </c>
    </row>
    <row r="185" spans="1:8" x14ac:dyDescent="0.3">
      <c r="A185" s="88" t="s">
        <v>167</v>
      </c>
      <c r="B185" s="90">
        <v>125.99999999999999</v>
      </c>
      <c r="C185" s="90">
        <v>300</v>
      </c>
      <c r="D185" s="123">
        <f>B185+H185</f>
        <v>223.36363636363632</v>
      </c>
      <c r="E185" s="90">
        <v>174</v>
      </c>
      <c r="F185" s="117">
        <v>0.77272727272727271</v>
      </c>
      <c r="G185" s="91">
        <v>23</v>
      </c>
      <c r="H185" s="120">
        <f t="shared" si="2"/>
        <v>97.363636363636346</v>
      </c>
    </row>
    <row r="186" spans="1:8" x14ac:dyDescent="0.3">
      <c r="A186" s="93" t="s">
        <v>173</v>
      </c>
      <c r="B186" s="95">
        <v>84</v>
      </c>
      <c r="C186" s="95">
        <v>250</v>
      </c>
      <c r="D186" s="123">
        <f>B186+H186</f>
        <v>142.80000000000001</v>
      </c>
      <c r="E186" s="95">
        <v>166</v>
      </c>
      <c r="F186" s="118">
        <v>0.7</v>
      </c>
      <c r="G186" s="96">
        <v>15</v>
      </c>
      <c r="H186" s="120">
        <f t="shared" si="2"/>
        <v>58.8</v>
      </c>
    </row>
    <row r="187" spans="1:8" x14ac:dyDescent="0.3">
      <c r="A187" s="93" t="s">
        <v>163</v>
      </c>
      <c r="B187" s="95">
        <v>84</v>
      </c>
      <c r="C187" s="95">
        <v>200</v>
      </c>
      <c r="D187" s="123">
        <f>B187+H187</f>
        <v>134.4</v>
      </c>
      <c r="E187" s="95">
        <v>116</v>
      </c>
      <c r="F187" s="118">
        <v>0.6</v>
      </c>
      <c r="G187" s="96">
        <v>20</v>
      </c>
      <c r="H187" s="120">
        <f t="shared" si="2"/>
        <v>50.4</v>
      </c>
    </row>
    <row r="188" spans="1:8" x14ac:dyDescent="0.3">
      <c r="A188" s="93" t="s">
        <v>161</v>
      </c>
      <c r="B188" s="95">
        <v>22.4</v>
      </c>
      <c r="C188" s="95">
        <v>125</v>
      </c>
      <c r="D188" s="123">
        <f>B188+H188</f>
        <v>38.08</v>
      </c>
      <c r="E188" s="95">
        <v>102.6</v>
      </c>
      <c r="F188" s="118">
        <v>0.7</v>
      </c>
      <c r="G188" s="96">
        <v>45</v>
      </c>
      <c r="H188" s="120">
        <f t="shared" si="2"/>
        <v>15.679999999999998</v>
      </c>
    </row>
    <row r="189" spans="1:8" x14ac:dyDescent="0.3">
      <c r="A189" s="93" t="s">
        <v>177</v>
      </c>
      <c r="B189" s="95">
        <v>84</v>
      </c>
      <c r="C189" s="95">
        <v>280</v>
      </c>
      <c r="D189" s="123">
        <f>B189+H189</f>
        <v>148.90909090909091</v>
      </c>
      <c r="E189" s="95">
        <v>196</v>
      </c>
      <c r="F189" s="118">
        <v>0.77272727272727271</v>
      </c>
      <c r="G189" s="96">
        <v>35</v>
      </c>
      <c r="H189" s="120">
        <f t="shared" si="2"/>
        <v>64.909090909090907</v>
      </c>
    </row>
    <row r="190" spans="1:8" x14ac:dyDescent="0.3">
      <c r="A190" s="88" t="s">
        <v>142</v>
      </c>
      <c r="B190" s="90">
        <v>112</v>
      </c>
      <c r="C190" s="90">
        <v>450</v>
      </c>
      <c r="D190" s="123">
        <f>B190+H190</f>
        <v>199.28275862068966</v>
      </c>
      <c r="E190" s="90">
        <v>338</v>
      </c>
      <c r="F190" s="117">
        <v>0.77931034482758621</v>
      </c>
      <c r="G190" s="91">
        <v>487</v>
      </c>
      <c r="H190" s="120">
        <f t="shared" si="2"/>
        <v>87.282758620689663</v>
      </c>
    </row>
    <row r="191" spans="1:8" x14ac:dyDescent="0.3">
      <c r="A191" s="93" t="s">
        <v>165</v>
      </c>
      <c r="B191" s="95">
        <v>84</v>
      </c>
      <c r="C191" s="95">
        <v>280</v>
      </c>
      <c r="D191" s="123">
        <f>B191+H191</f>
        <v>143.04</v>
      </c>
      <c r="E191" s="95">
        <v>196</v>
      </c>
      <c r="F191" s="118">
        <v>0.70285714285714285</v>
      </c>
      <c r="G191" s="96">
        <v>12</v>
      </c>
      <c r="H191" s="120">
        <f t="shared" si="2"/>
        <v>59.04</v>
      </c>
    </row>
    <row r="192" spans="1:8" x14ac:dyDescent="0.3">
      <c r="A192" s="88" t="s">
        <v>151</v>
      </c>
      <c r="B192" s="90">
        <v>84</v>
      </c>
      <c r="C192" s="90">
        <v>250</v>
      </c>
      <c r="D192" s="123">
        <f>B192+H192</f>
        <v>105</v>
      </c>
      <c r="E192" s="90">
        <v>166</v>
      </c>
      <c r="F192" s="117">
        <v>0.25</v>
      </c>
      <c r="G192" s="91">
        <v>70</v>
      </c>
      <c r="H192" s="120">
        <f t="shared" si="2"/>
        <v>21</v>
      </c>
    </row>
    <row r="193" spans="1:8" x14ac:dyDescent="0.3">
      <c r="A193" s="88" t="s">
        <v>179</v>
      </c>
      <c r="B193" s="90">
        <v>19.599999999999998</v>
      </c>
      <c r="C193" s="90">
        <v>120</v>
      </c>
      <c r="D193" s="123">
        <f>B193+H193</f>
        <v>33.091780821917808</v>
      </c>
      <c r="E193" s="90">
        <v>100.4</v>
      </c>
      <c r="F193" s="117">
        <v>0.68835616438356162</v>
      </c>
      <c r="G193" s="91">
        <v>10</v>
      </c>
      <c r="H193" s="120">
        <f t="shared" si="2"/>
        <v>13.491780821917807</v>
      </c>
    </row>
    <row r="194" spans="1:8" x14ac:dyDescent="0.3">
      <c r="A194" s="88" t="s">
        <v>159</v>
      </c>
      <c r="B194" s="90">
        <v>84</v>
      </c>
      <c r="C194" s="90">
        <v>250</v>
      </c>
      <c r="D194" s="123">
        <f>B194+H194</f>
        <v>143.04</v>
      </c>
      <c r="E194" s="90">
        <v>166</v>
      </c>
      <c r="F194" s="117">
        <v>0.70285714285714285</v>
      </c>
      <c r="G194" s="91">
        <v>15</v>
      </c>
      <c r="H194" s="120">
        <f t="shared" si="2"/>
        <v>59.04</v>
      </c>
    </row>
    <row r="195" spans="1:8" x14ac:dyDescent="0.3">
      <c r="A195" s="93" t="s">
        <v>181</v>
      </c>
      <c r="B195" s="95">
        <v>14</v>
      </c>
      <c r="C195" s="95">
        <v>100</v>
      </c>
      <c r="D195" s="123">
        <f>B195+H195</f>
        <v>23.993495934959348</v>
      </c>
      <c r="E195" s="95">
        <v>86</v>
      </c>
      <c r="F195" s="118">
        <v>0.71382113821138216</v>
      </c>
      <c r="G195" s="96">
        <v>5</v>
      </c>
      <c r="H195" s="120">
        <f t="shared" ref="H195:H203" si="3">B195*F195</f>
        <v>9.9934959349593502</v>
      </c>
    </row>
    <row r="196" spans="1:8" x14ac:dyDescent="0.3">
      <c r="A196" s="88" t="s">
        <v>169</v>
      </c>
      <c r="B196" s="90">
        <v>16.799999999999997</v>
      </c>
      <c r="C196" s="90">
        <v>130</v>
      </c>
      <c r="D196" s="123">
        <f>B196+H196</f>
        <v>28.210526315789469</v>
      </c>
      <c r="E196" s="90">
        <v>113.2</v>
      </c>
      <c r="F196" s="117">
        <v>0.67919799498746869</v>
      </c>
      <c r="G196" s="91">
        <v>85</v>
      </c>
      <c r="H196" s="120">
        <f t="shared" si="3"/>
        <v>11.410526315789472</v>
      </c>
    </row>
    <row r="197" spans="1:8" x14ac:dyDescent="0.3">
      <c r="A197" s="93" t="s">
        <v>171</v>
      </c>
      <c r="B197" s="95">
        <v>70</v>
      </c>
      <c r="C197" s="95">
        <v>99</v>
      </c>
      <c r="D197" s="123">
        <f>B197+H197</f>
        <v>84</v>
      </c>
      <c r="E197" s="95">
        <v>29</v>
      </c>
      <c r="F197" s="118">
        <v>0.2</v>
      </c>
      <c r="G197" s="96">
        <v>65</v>
      </c>
      <c r="H197" s="120">
        <f t="shared" si="3"/>
        <v>14</v>
      </c>
    </row>
    <row r="198" spans="1:8" x14ac:dyDescent="0.3">
      <c r="A198" s="93" t="s">
        <v>153</v>
      </c>
      <c r="B198" s="95">
        <v>70</v>
      </c>
      <c r="C198" s="95">
        <v>180</v>
      </c>
      <c r="D198" s="123">
        <f>B198+H198</f>
        <v>103.25</v>
      </c>
      <c r="E198" s="95">
        <v>110</v>
      </c>
      <c r="F198" s="118">
        <v>0.47499999999999998</v>
      </c>
      <c r="G198" s="96">
        <v>40</v>
      </c>
      <c r="H198" s="120">
        <f t="shared" si="3"/>
        <v>33.25</v>
      </c>
    </row>
    <row r="199" spans="1:8" x14ac:dyDescent="0.3">
      <c r="A199" s="88" t="s">
        <v>147</v>
      </c>
      <c r="B199" s="90">
        <v>28</v>
      </c>
      <c r="C199" s="90">
        <v>55</v>
      </c>
      <c r="D199" s="123">
        <f>B199+H199</f>
        <v>47.18</v>
      </c>
      <c r="E199" s="90">
        <v>27</v>
      </c>
      <c r="F199" s="117">
        <v>0.68499999999999994</v>
      </c>
      <c r="G199" s="91">
        <v>200</v>
      </c>
      <c r="H199" s="120">
        <f t="shared" si="3"/>
        <v>19.18</v>
      </c>
    </row>
    <row r="200" spans="1:8" x14ac:dyDescent="0.3">
      <c r="A200" s="88" t="s">
        <v>157</v>
      </c>
      <c r="B200" s="90">
        <v>98</v>
      </c>
      <c r="C200" s="90">
        <v>300</v>
      </c>
      <c r="D200" s="123">
        <f>B200+H200</f>
        <v>171.5</v>
      </c>
      <c r="E200" s="90">
        <v>202</v>
      </c>
      <c r="F200" s="117">
        <v>0.75</v>
      </c>
      <c r="G200" s="91">
        <v>19</v>
      </c>
      <c r="H200" s="120">
        <f t="shared" si="3"/>
        <v>73.5</v>
      </c>
    </row>
    <row r="201" spans="1:8" x14ac:dyDescent="0.3">
      <c r="A201" s="88" t="s">
        <v>149</v>
      </c>
      <c r="B201" s="90">
        <v>33.599999999999994</v>
      </c>
      <c r="C201" s="90">
        <v>75</v>
      </c>
      <c r="D201" s="123">
        <f>B201+H201</f>
        <v>60.248275862068958</v>
      </c>
      <c r="E201" s="90">
        <v>41.400000000000006</v>
      </c>
      <c r="F201" s="117">
        <v>0.7931034482758621</v>
      </c>
      <c r="G201" s="91">
        <v>315</v>
      </c>
      <c r="H201" s="120">
        <f t="shared" si="3"/>
        <v>26.648275862068964</v>
      </c>
    </row>
    <row r="202" spans="1:8" x14ac:dyDescent="0.3">
      <c r="A202" s="93" t="s">
        <v>155</v>
      </c>
      <c r="B202" s="95">
        <v>11.2</v>
      </c>
      <c r="C202" s="95">
        <v>50</v>
      </c>
      <c r="D202" s="123">
        <f>B202+H202</f>
        <v>20.309333333333331</v>
      </c>
      <c r="E202" s="95">
        <v>38.799999999999997</v>
      </c>
      <c r="F202" s="118">
        <v>0.81333333333333324</v>
      </c>
      <c r="G202" s="96">
        <v>332</v>
      </c>
      <c r="H202" s="120">
        <f t="shared" si="3"/>
        <v>9.109333333333332</v>
      </c>
    </row>
    <row r="203" spans="1:8" ht="15" thickBot="1" x14ac:dyDescent="0.35">
      <c r="A203" s="93" t="s">
        <v>175</v>
      </c>
      <c r="B203" s="95">
        <v>84</v>
      </c>
      <c r="C203" s="95">
        <v>300</v>
      </c>
      <c r="D203" s="123">
        <f>B203+H203</f>
        <v>140</v>
      </c>
      <c r="E203" s="95">
        <v>216</v>
      </c>
      <c r="F203" s="118">
        <v>0.66666666666666663</v>
      </c>
      <c r="G203" s="96">
        <v>25</v>
      </c>
      <c r="H203" s="120">
        <f t="shared" si="3"/>
        <v>56</v>
      </c>
    </row>
    <row r="204" spans="1:8" ht="15" thickTop="1" x14ac:dyDescent="0.3">
      <c r="A204" s="55"/>
      <c r="B204" s="102"/>
      <c r="C204" s="102"/>
      <c r="E204" s="102"/>
      <c r="F204" s="102"/>
      <c r="G204" s="41"/>
    </row>
    <row r="205" spans="1:8" ht="15" thickBot="1" x14ac:dyDescent="0.35"/>
    <row r="206" spans="1:8" ht="15" thickTop="1" x14ac:dyDescent="0.3">
      <c r="G206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CAFE-1BCE-4CA9-98E0-3F5E518CABB1}">
  <dimension ref="A3:C19"/>
  <sheetViews>
    <sheetView workbookViewId="0">
      <selection activeCell="C19" sqref="A3:C19"/>
    </sheetView>
  </sheetViews>
  <sheetFormatPr defaultRowHeight="14.4" x14ac:dyDescent="0.3"/>
  <cols>
    <col min="1" max="1" width="14.33203125" bestFit="1" customWidth="1"/>
    <col min="2" max="2" width="22" bestFit="1" customWidth="1"/>
    <col min="3" max="3" width="11.6640625" bestFit="1" customWidth="1"/>
  </cols>
  <sheetData>
    <row r="3" spans="1:3" x14ac:dyDescent="0.3">
      <c r="A3" s="13" t="s">
        <v>224</v>
      </c>
      <c r="B3" t="s">
        <v>371</v>
      </c>
      <c r="C3" t="s">
        <v>374</v>
      </c>
    </row>
    <row r="4" spans="1:3" x14ac:dyDescent="0.3">
      <c r="A4" s="11" t="s">
        <v>25</v>
      </c>
      <c r="B4" s="42">
        <v>0.72347402597402599</v>
      </c>
      <c r="C4" s="80">
        <v>59</v>
      </c>
    </row>
    <row r="5" spans="1:3" x14ac:dyDescent="0.3">
      <c r="A5" s="11" t="s">
        <v>33</v>
      </c>
      <c r="B5" s="42">
        <v>0.70285714285714285</v>
      </c>
      <c r="C5" s="80">
        <v>5</v>
      </c>
    </row>
    <row r="6" spans="1:3" x14ac:dyDescent="0.3">
      <c r="A6" s="11" t="s">
        <v>12</v>
      </c>
      <c r="B6" s="42">
        <v>0.69263234139090013</v>
      </c>
      <c r="C6" s="80">
        <v>51299</v>
      </c>
    </row>
    <row r="7" spans="1:3" x14ac:dyDescent="0.3">
      <c r="A7" s="11" t="s">
        <v>13</v>
      </c>
      <c r="B7" s="42">
        <v>0.67651515151515162</v>
      </c>
      <c r="C7" s="80">
        <v>27</v>
      </c>
    </row>
    <row r="8" spans="1:3" x14ac:dyDescent="0.3">
      <c r="A8" s="11" t="s">
        <v>43</v>
      </c>
      <c r="B8" s="42">
        <v>0.67585008918300682</v>
      </c>
      <c r="C8" s="80">
        <v>87</v>
      </c>
    </row>
    <row r="9" spans="1:3" x14ac:dyDescent="0.3">
      <c r="A9" s="11" t="s">
        <v>17</v>
      </c>
      <c r="B9" s="42">
        <v>0.66633686601104125</v>
      </c>
      <c r="C9" s="80">
        <v>1658</v>
      </c>
    </row>
    <row r="10" spans="1:3" x14ac:dyDescent="0.3">
      <c r="A10" s="11" t="s">
        <v>9</v>
      </c>
      <c r="B10" s="42">
        <v>0.62360726374160635</v>
      </c>
      <c r="C10" s="80">
        <v>88453</v>
      </c>
    </row>
    <row r="11" spans="1:3" x14ac:dyDescent="0.3">
      <c r="A11" s="11" t="s">
        <v>21</v>
      </c>
      <c r="B11" s="42">
        <v>0.60305698949935427</v>
      </c>
      <c r="C11" s="80">
        <v>466</v>
      </c>
    </row>
    <row r="12" spans="1:3" x14ac:dyDescent="0.3">
      <c r="A12" s="11" t="s">
        <v>14</v>
      </c>
      <c r="B12" s="42">
        <v>0.577838793859202</v>
      </c>
      <c r="C12" s="80">
        <v>226</v>
      </c>
    </row>
    <row r="13" spans="1:3" x14ac:dyDescent="0.3">
      <c r="A13" s="11" t="s">
        <v>20</v>
      </c>
      <c r="B13" s="42">
        <v>0.55200000000000005</v>
      </c>
      <c r="C13" s="80">
        <v>39</v>
      </c>
    </row>
    <row r="14" spans="1:3" x14ac:dyDescent="0.3">
      <c r="A14" s="11" t="s">
        <v>22</v>
      </c>
      <c r="B14" s="42">
        <v>0.55200000000000005</v>
      </c>
      <c r="C14" s="80">
        <v>23</v>
      </c>
    </row>
    <row r="15" spans="1:3" x14ac:dyDescent="0.3">
      <c r="A15" s="11" t="s">
        <v>38</v>
      </c>
      <c r="B15" s="42">
        <v>0.51901874962808026</v>
      </c>
      <c r="C15" s="80">
        <v>81</v>
      </c>
    </row>
    <row r="16" spans="1:3" x14ac:dyDescent="0.3">
      <c r="A16" s="11" t="s">
        <v>28</v>
      </c>
      <c r="B16" s="42">
        <v>0.4</v>
      </c>
      <c r="C16" s="80">
        <v>1053</v>
      </c>
    </row>
    <row r="17" spans="1:3" x14ac:dyDescent="0.3">
      <c r="A17" s="11" t="s">
        <v>41</v>
      </c>
      <c r="B17" s="42">
        <v>0.37777777777777777</v>
      </c>
      <c r="C17" s="80">
        <v>5</v>
      </c>
    </row>
    <row r="18" spans="1:3" x14ac:dyDescent="0.3">
      <c r="A18" s="11" t="s">
        <v>96</v>
      </c>
      <c r="B18" s="42">
        <v>0.37515687828667948</v>
      </c>
      <c r="C18" s="80">
        <v>7699</v>
      </c>
    </row>
    <row r="19" spans="1:3" x14ac:dyDescent="0.3">
      <c r="A19" s="11" t="s">
        <v>228</v>
      </c>
      <c r="B19" s="42">
        <v>0.59640617574525034</v>
      </c>
      <c r="C19" s="80">
        <v>151180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2FFF-713D-4C69-A5C3-D2A90F07F61F}">
  <dimension ref="A1:O204"/>
  <sheetViews>
    <sheetView topLeftCell="Q1" workbookViewId="0">
      <selection activeCell="V1" sqref="V1:Z203"/>
    </sheetView>
  </sheetViews>
  <sheetFormatPr defaultRowHeight="14.4" x14ac:dyDescent="0.3"/>
  <cols>
    <col min="1" max="1" width="14.88671875" customWidth="1"/>
    <col min="3" max="3" width="13.5546875" customWidth="1"/>
    <col min="4" max="4" width="16.33203125" customWidth="1"/>
    <col min="5" max="5" width="21.44140625" style="3" customWidth="1"/>
    <col min="6" max="6" width="57.44140625" customWidth="1"/>
    <col min="11" max="11" width="14.88671875" customWidth="1"/>
    <col min="12" max="14" width="10.109375" customWidth="1"/>
    <col min="15" max="15" width="13.5546875" customWidth="1"/>
    <col min="22" max="22" width="15.44140625" customWidth="1"/>
    <col min="24" max="24" width="36.77734375" customWidth="1"/>
    <col min="25" max="25" width="14" customWidth="1"/>
    <col min="26" max="26" width="16.44140625" customWidth="1"/>
  </cols>
  <sheetData>
    <row r="1" spans="1:15" ht="15" thickBot="1" x14ac:dyDescent="0.35">
      <c r="A1" s="110" t="s">
        <v>5</v>
      </c>
      <c r="B1" s="110" t="s">
        <v>2</v>
      </c>
      <c r="C1" s="110" t="s">
        <v>370</v>
      </c>
      <c r="D1" s="110" t="s">
        <v>238</v>
      </c>
      <c r="E1" s="83" t="s">
        <v>287</v>
      </c>
      <c r="F1" s="63" t="s">
        <v>375</v>
      </c>
      <c r="K1" s="109" t="s">
        <v>5</v>
      </c>
      <c r="L1" s="109" t="s">
        <v>359</v>
      </c>
      <c r="M1" s="109" t="s">
        <v>2</v>
      </c>
      <c r="N1" s="109" t="s">
        <v>373</v>
      </c>
      <c r="O1" s="109" t="s">
        <v>370</v>
      </c>
    </row>
    <row r="2" spans="1:15" x14ac:dyDescent="0.3">
      <c r="A2" s="111" t="s">
        <v>10</v>
      </c>
      <c r="B2" s="111" t="s">
        <v>9</v>
      </c>
      <c r="C2" s="112">
        <v>0.49090909090909091</v>
      </c>
      <c r="D2" s="111">
        <v>40</v>
      </c>
      <c r="E2" s="90">
        <v>220</v>
      </c>
      <c r="F2" s="116">
        <f>(D2*C2)/E2</f>
        <v>8.9256198347107435E-2</v>
      </c>
      <c r="K2" s="106" t="s">
        <v>10</v>
      </c>
      <c r="L2" s="106"/>
      <c r="M2" s="106" t="s">
        <v>9</v>
      </c>
      <c r="N2" s="106">
        <v>40</v>
      </c>
      <c r="O2" s="107">
        <v>0.49090909090909091</v>
      </c>
    </row>
    <row r="3" spans="1:15" x14ac:dyDescent="0.3">
      <c r="A3" s="70" t="s">
        <v>10</v>
      </c>
      <c r="B3" s="70" t="s">
        <v>9</v>
      </c>
      <c r="C3" s="113">
        <v>0.7098445595854922</v>
      </c>
      <c r="D3" s="70">
        <v>12</v>
      </c>
      <c r="E3" s="95">
        <v>579</v>
      </c>
      <c r="F3" s="116">
        <f t="shared" ref="F3:F66" si="0">(D3*C3)/E3</f>
        <v>1.4711804343740772E-2</v>
      </c>
      <c r="K3" s="105" t="s">
        <v>10</v>
      </c>
      <c r="L3" s="105"/>
      <c r="M3" s="105" t="s">
        <v>9</v>
      </c>
      <c r="N3" s="105">
        <v>12</v>
      </c>
      <c r="O3" s="108">
        <v>0.7098445595854922</v>
      </c>
    </row>
    <row r="4" spans="1:15" x14ac:dyDescent="0.3">
      <c r="A4" s="71" t="s">
        <v>10</v>
      </c>
      <c r="B4" s="71" t="s">
        <v>9</v>
      </c>
      <c r="C4" s="114">
        <v>0.5822222222222222</v>
      </c>
      <c r="D4" s="71">
        <v>1</v>
      </c>
      <c r="E4" s="90">
        <v>315</v>
      </c>
      <c r="F4" s="116">
        <f t="shared" si="0"/>
        <v>1.8483245149911816E-3</v>
      </c>
      <c r="K4" s="106" t="s">
        <v>10</v>
      </c>
      <c r="L4" s="106"/>
      <c r="M4" s="106" t="s">
        <v>9</v>
      </c>
      <c r="N4" s="106">
        <v>1</v>
      </c>
      <c r="O4" s="107">
        <v>0.5822222222222222</v>
      </c>
    </row>
    <row r="5" spans="1:15" x14ac:dyDescent="0.3">
      <c r="A5" s="70" t="s">
        <v>97</v>
      </c>
      <c r="B5" s="70" t="s">
        <v>9</v>
      </c>
      <c r="C5" s="113">
        <v>-0.30666666666666653</v>
      </c>
      <c r="D5" s="70">
        <v>0</v>
      </c>
      <c r="E5" s="95">
        <v>30</v>
      </c>
      <c r="F5" s="116">
        <f t="shared" si="0"/>
        <v>0</v>
      </c>
      <c r="K5" s="105" t="s">
        <v>97</v>
      </c>
      <c r="L5" s="105"/>
      <c r="M5" s="105" t="s">
        <v>9</v>
      </c>
      <c r="N5" s="105">
        <v>0</v>
      </c>
      <c r="O5" s="108">
        <v>-0.30666666666666653</v>
      </c>
    </row>
    <row r="6" spans="1:15" x14ac:dyDescent="0.3">
      <c r="A6" s="71" t="s">
        <v>97</v>
      </c>
      <c r="B6" s="71" t="s">
        <v>9</v>
      </c>
      <c r="C6" s="114">
        <v>-0.25263157894736826</v>
      </c>
      <c r="D6" s="71">
        <v>0</v>
      </c>
      <c r="E6" s="90">
        <v>38</v>
      </c>
      <c r="F6" s="116">
        <f t="shared" si="0"/>
        <v>0</v>
      </c>
      <c r="K6" s="106" t="s">
        <v>97</v>
      </c>
      <c r="L6" s="106"/>
      <c r="M6" s="106" t="s">
        <v>9</v>
      </c>
      <c r="N6" s="106">
        <v>0</v>
      </c>
      <c r="O6" s="107">
        <v>-0.25263157894736826</v>
      </c>
    </row>
    <row r="7" spans="1:15" x14ac:dyDescent="0.3">
      <c r="A7" s="70" t="s">
        <v>10</v>
      </c>
      <c r="B7" s="70" t="s">
        <v>9</v>
      </c>
      <c r="C7" s="113">
        <v>0.61294117647058821</v>
      </c>
      <c r="D7" s="70">
        <v>74</v>
      </c>
      <c r="E7" s="95">
        <v>340</v>
      </c>
      <c r="F7" s="116">
        <f t="shared" si="0"/>
        <v>0.13340484429065744</v>
      </c>
      <c r="K7" s="105" t="s">
        <v>10</v>
      </c>
      <c r="L7" s="105"/>
      <c r="M7" s="105" t="s">
        <v>9</v>
      </c>
      <c r="N7" s="105">
        <v>74</v>
      </c>
      <c r="O7" s="108">
        <v>0.61294117647058821</v>
      </c>
    </row>
    <row r="8" spans="1:15" x14ac:dyDescent="0.3">
      <c r="A8" s="71" t="s">
        <v>10</v>
      </c>
      <c r="B8" s="71" t="s">
        <v>9</v>
      </c>
      <c r="C8" s="114">
        <v>0.55200000000000005</v>
      </c>
      <c r="D8" s="71">
        <v>59</v>
      </c>
      <c r="E8" s="90">
        <v>250</v>
      </c>
      <c r="F8" s="116">
        <f t="shared" si="0"/>
        <v>0.13027200000000003</v>
      </c>
      <c r="K8" s="106" t="s">
        <v>10</v>
      </c>
      <c r="L8" s="106"/>
      <c r="M8" s="106" t="s">
        <v>9</v>
      </c>
      <c r="N8" s="106">
        <v>59</v>
      </c>
      <c r="O8" s="107">
        <v>0.55200000000000005</v>
      </c>
    </row>
    <row r="9" spans="1:15" x14ac:dyDescent="0.3">
      <c r="A9" s="70" t="s">
        <v>144</v>
      </c>
      <c r="B9" s="70" t="s">
        <v>9</v>
      </c>
      <c r="C9" s="113">
        <v>0.86</v>
      </c>
      <c r="D9" s="70">
        <v>23</v>
      </c>
      <c r="E9" s="95">
        <v>100</v>
      </c>
      <c r="F9" s="116">
        <f t="shared" si="0"/>
        <v>0.1978</v>
      </c>
      <c r="K9" s="105" t="s">
        <v>144</v>
      </c>
      <c r="L9" s="105"/>
      <c r="M9" s="105" t="s">
        <v>9</v>
      </c>
      <c r="N9" s="105">
        <v>23</v>
      </c>
      <c r="O9" s="108">
        <v>0.86</v>
      </c>
    </row>
    <row r="10" spans="1:15" x14ac:dyDescent="0.3">
      <c r="A10" s="71" t="s">
        <v>10</v>
      </c>
      <c r="B10" s="71" t="s">
        <v>9</v>
      </c>
      <c r="C10" s="114">
        <v>0.65777777777777779</v>
      </c>
      <c r="D10" s="71">
        <v>21</v>
      </c>
      <c r="E10" s="90">
        <v>450</v>
      </c>
      <c r="F10" s="116">
        <f t="shared" si="0"/>
        <v>3.0696296296296298E-2</v>
      </c>
      <c r="K10" s="106" t="s">
        <v>10</v>
      </c>
      <c r="L10" s="106"/>
      <c r="M10" s="106" t="s">
        <v>9</v>
      </c>
      <c r="N10" s="106">
        <v>21</v>
      </c>
      <c r="O10" s="107">
        <v>0.65777777777777779</v>
      </c>
    </row>
    <row r="11" spans="1:15" x14ac:dyDescent="0.3">
      <c r="A11" s="70" t="s">
        <v>10</v>
      </c>
      <c r="B11" s="70" t="s">
        <v>9</v>
      </c>
      <c r="C11" s="113">
        <v>0.72000000000000008</v>
      </c>
      <c r="D11" s="70">
        <v>115</v>
      </c>
      <c r="E11" s="95">
        <v>60</v>
      </c>
      <c r="F11" s="116">
        <f t="shared" si="0"/>
        <v>1.3800000000000001</v>
      </c>
      <c r="K11" s="105" t="s">
        <v>10</v>
      </c>
      <c r="L11" s="105"/>
      <c r="M11" s="105" t="s">
        <v>9</v>
      </c>
      <c r="N11" s="105">
        <v>115</v>
      </c>
      <c r="O11" s="108">
        <v>0.72000000000000008</v>
      </c>
    </row>
    <row r="12" spans="1:15" x14ac:dyDescent="0.3">
      <c r="A12" s="71" t="s">
        <v>144</v>
      </c>
      <c r="B12" s="71" t="s">
        <v>9</v>
      </c>
      <c r="C12" s="114">
        <v>0.83666666666666667</v>
      </c>
      <c r="D12" s="71">
        <v>10</v>
      </c>
      <c r="E12" s="90">
        <v>120</v>
      </c>
      <c r="F12" s="116">
        <f t="shared" si="0"/>
        <v>6.9722222222222227E-2</v>
      </c>
      <c r="K12" s="106" t="s">
        <v>144</v>
      </c>
      <c r="L12" s="106"/>
      <c r="M12" s="106" t="s">
        <v>9</v>
      </c>
      <c r="N12" s="106">
        <v>10</v>
      </c>
      <c r="O12" s="107">
        <v>0.83666666666666667</v>
      </c>
    </row>
    <row r="13" spans="1:15" x14ac:dyDescent="0.3">
      <c r="A13" s="70" t="s">
        <v>144</v>
      </c>
      <c r="B13" s="70" t="s">
        <v>9</v>
      </c>
      <c r="C13" s="113">
        <v>0.7</v>
      </c>
      <c r="D13" s="70">
        <v>69</v>
      </c>
      <c r="E13" s="95">
        <v>280</v>
      </c>
      <c r="F13" s="116">
        <f t="shared" si="0"/>
        <v>0.17249999999999999</v>
      </c>
      <c r="K13" s="105" t="s">
        <v>144</v>
      </c>
      <c r="L13" s="105"/>
      <c r="M13" s="105" t="s">
        <v>9</v>
      </c>
      <c r="N13" s="105">
        <v>69</v>
      </c>
      <c r="O13" s="108">
        <v>0.7</v>
      </c>
    </row>
    <row r="14" spans="1:15" x14ac:dyDescent="0.3">
      <c r="A14" s="71" t="s">
        <v>10</v>
      </c>
      <c r="B14" s="71" t="s">
        <v>9</v>
      </c>
      <c r="C14" s="114">
        <v>0.7846153846153846</v>
      </c>
      <c r="D14" s="71">
        <v>30</v>
      </c>
      <c r="E14" s="90">
        <v>130</v>
      </c>
      <c r="F14" s="116">
        <f t="shared" si="0"/>
        <v>0.18106508875739644</v>
      </c>
      <c r="K14" s="106" t="s">
        <v>10</v>
      </c>
      <c r="L14" s="106"/>
      <c r="M14" s="106" t="s">
        <v>9</v>
      </c>
      <c r="N14" s="106">
        <v>30</v>
      </c>
      <c r="O14" s="107">
        <v>0.7846153846153846</v>
      </c>
    </row>
    <row r="15" spans="1:15" x14ac:dyDescent="0.3">
      <c r="A15" s="70" t="s">
        <v>10</v>
      </c>
      <c r="B15" s="70" t="s">
        <v>9</v>
      </c>
      <c r="C15" s="113">
        <v>0.79466666666666663</v>
      </c>
      <c r="D15" s="70">
        <v>84</v>
      </c>
      <c r="E15" s="95">
        <v>75</v>
      </c>
      <c r="F15" s="116">
        <f t="shared" si="0"/>
        <v>0.89002666666666663</v>
      </c>
      <c r="K15" s="105" t="s">
        <v>10</v>
      </c>
      <c r="L15" s="105"/>
      <c r="M15" s="105" t="s">
        <v>9</v>
      </c>
      <c r="N15" s="105">
        <v>84</v>
      </c>
      <c r="O15" s="108">
        <v>0.79466666666666663</v>
      </c>
    </row>
    <row r="16" spans="1:15" x14ac:dyDescent="0.3">
      <c r="A16" s="71" t="s">
        <v>144</v>
      </c>
      <c r="B16" s="71" t="s">
        <v>9</v>
      </c>
      <c r="C16" s="114">
        <v>0.66400000000000003</v>
      </c>
      <c r="D16" s="71">
        <v>78</v>
      </c>
      <c r="E16" s="90">
        <v>250</v>
      </c>
      <c r="F16" s="116">
        <f t="shared" si="0"/>
        <v>0.20716800000000002</v>
      </c>
      <c r="K16" s="106" t="s">
        <v>144</v>
      </c>
      <c r="L16" s="106"/>
      <c r="M16" s="106" t="s">
        <v>9</v>
      </c>
      <c r="N16" s="106">
        <v>78</v>
      </c>
      <c r="O16" s="107">
        <v>0.66400000000000003</v>
      </c>
    </row>
    <row r="17" spans="1:15" x14ac:dyDescent="0.3">
      <c r="A17" s="70" t="s">
        <v>144</v>
      </c>
      <c r="B17" s="70" t="s">
        <v>9</v>
      </c>
      <c r="C17" s="113">
        <v>0.66400000000000003</v>
      </c>
      <c r="D17" s="70">
        <v>126</v>
      </c>
      <c r="E17" s="95">
        <v>250</v>
      </c>
      <c r="F17" s="116">
        <f t="shared" si="0"/>
        <v>0.33465600000000001</v>
      </c>
      <c r="K17" s="105" t="s">
        <v>144</v>
      </c>
      <c r="L17" s="105"/>
      <c r="M17" s="105" t="s">
        <v>9</v>
      </c>
      <c r="N17" s="105">
        <v>126</v>
      </c>
      <c r="O17" s="108">
        <v>0.66400000000000003</v>
      </c>
    </row>
    <row r="18" spans="1:15" x14ac:dyDescent="0.3">
      <c r="A18" s="71" t="s">
        <v>144</v>
      </c>
      <c r="B18" s="71" t="s">
        <v>9</v>
      </c>
      <c r="C18" s="114">
        <v>0.67333333333333334</v>
      </c>
      <c r="D18" s="71">
        <v>215</v>
      </c>
      <c r="E18" s="90">
        <v>300</v>
      </c>
      <c r="F18" s="116">
        <f t="shared" si="0"/>
        <v>0.48255555555555563</v>
      </c>
      <c r="K18" s="106" t="s">
        <v>144</v>
      </c>
      <c r="L18" s="106"/>
      <c r="M18" s="106" t="s">
        <v>9</v>
      </c>
      <c r="N18" s="106">
        <v>215</v>
      </c>
      <c r="O18" s="107">
        <v>0.67333333333333334</v>
      </c>
    </row>
    <row r="19" spans="1:15" x14ac:dyDescent="0.3">
      <c r="A19" s="70" t="s">
        <v>144</v>
      </c>
      <c r="B19" s="70" t="s">
        <v>9</v>
      </c>
      <c r="C19" s="113">
        <v>0.57999999999999996</v>
      </c>
      <c r="D19" s="70">
        <v>335</v>
      </c>
      <c r="E19" s="95">
        <v>200</v>
      </c>
      <c r="F19" s="116">
        <f t="shared" si="0"/>
        <v>0.97149999999999992</v>
      </c>
      <c r="K19" s="105" t="s">
        <v>144</v>
      </c>
      <c r="L19" s="105"/>
      <c r="M19" s="105" t="s">
        <v>9</v>
      </c>
      <c r="N19" s="105">
        <v>335</v>
      </c>
      <c r="O19" s="108">
        <v>0.57999999999999996</v>
      </c>
    </row>
    <row r="20" spans="1:15" x14ac:dyDescent="0.3">
      <c r="A20" s="71" t="s">
        <v>144</v>
      </c>
      <c r="B20" s="71" t="s">
        <v>9</v>
      </c>
      <c r="C20" s="114">
        <v>0.57999999999999996</v>
      </c>
      <c r="D20" s="71">
        <v>101</v>
      </c>
      <c r="E20" s="90">
        <v>300</v>
      </c>
      <c r="F20" s="116">
        <f t="shared" si="0"/>
        <v>0.19526666666666667</v>
      </c>
      <c r="K20" s="106" t="s">
        <v>144</v>
      </c>
      <c r="L20" s="106"/>
      <c r="M20" s="106" t="s">
        <v>9</v>
      </c>
      <c r="N20" s="106">
        <v>101</v>
      </c>
      <c r="O20" s="107">
        <v>0.57999999999999996</v>
      </c>
    </row>
    <row r="21" spans="1:15" x14ac:dyDescent="0.3">
      <c r="A21" s="70" t="s">
        <v>144</v>
      </c>
      <c r="B21" s="70" t="s">
        <v>9</v>
      </c>
      <c r="C21" s="113">
        <v>0.72</v>
      </c>
      <c r="D21" s="70">
        <v>183</v>
      </c>
      <c r="E21" s="95">
        <v>300</v>
      </c>
      <c r="F21" s="116">
        <f t="shared" si="0"/>
        <v>0.43919999999999998</v>
      </c>
      <c r="K21" s="105" t="s">
        <v>144</v>
      </c>
      <c r="L21" s="105"/>
      <c r="M21" s="105" t="s">
        <v>9</v>
      </c>
      <c r="N21" s="105">
        <v>183</v>
      </c>
      <c r="O21" s="108">
        <v>0.72</v>
      </c>
    </row>
    <row r="22" spans="1:15" x14ac:dyDescent="0.3">
      <c r="A22" s="71" t="s">
        <v>10</v>
      </c>
      <c r="B22" s="71" t="s">
        <v>9</v>
      </c>
      <c r="C22" s="114">
        <v>0.71594202898550729</v>
      </c>
      <c r="D22" s="71">
        <v>234</v>
      </c>
      <c r="E22" s="90">
        <v>69</v>
      </c>
      <c r="F22" s="116">
        <f t="shared" si="0"/>
        <v>2.4279773156899811</v>
      </c>
      <c r="K22" s="106" t="s">
        <v>10</v>
      </c>
      <c r="L22" s="106"/>
      <c r="M22" s="106" t="s">
        <v>9</v>
      </c>
      <c r="N22" s="106">
        <v>234</v>
      </c>
      <c r="O22" s="107">
        <v>0.71594202898550729</v>
      </c>
    </row>
    <row r="23" spans="1:15" x14ac:dyDescent="0.3">
      <c r="A23" s="70" t="s">
        <v>144</v>
      </c>
      <c r="B23" s="70" t="s">
        <v>9</v>
      </c>
      <c r="C23" s="113">
        <v>0.7</v>
      </c>
      <c r="D23" s="70">
        <v>221</v>
      </c>
      <c r="E23" s="95">
        <v>280</v>
      </c>
      <c r="F23" s="116">
        <f t="shared" si="0"/>
        <v>0.55249999999999999</v>
      </c>
      <c r="K23" s="105" t="s">
        <v>144</v>
      </c>
      <c r="L23" s="105"/>
      <c r="M23" s="105" t="s">
        <v>9</v>
      </c>
      <c r="N23" s="105">
        <v>221</v>
      </c>
      <c r="O23" s="108">
        <v>0.7</v>
      </c>
    </row>
    <row r="24" spans="1:15" x14ac:dyDescent="0.3">
      <c r="A24" s="71" t="s">
        <v>10</v>
      </c>
      <c r="B24" s="71" t="s">
        <v>9</v>
      </c>
      <c r="C24" s="114">
        <v>0.58933333333333338</v>
      </c>
      <c r="D24" s="71">
        <v>491</v>
      </c>
      <c r="E24" s="90">
        <v>375</v>
      </c>
      <c r="F24" s="116">
        <f t="shared" si="0"/>
        <v>0.77163377777777786</v>
      </c>
      <c r="K24" s="106" t="s">
        <v>10</v>
      </c>
      <c r="L24" s="106"/>
      <c r="M24" s="106" t="s">
        <v>9</v>
      </c>
      <c r="N24" s="106">
        <v>491</v>
      </c>
      <c r="O24" s="107">
        <v>0.58933333333333338</v>
      </c>
    </row>
    <row r="25" spans="1:15" x14ac:dyDescent="0.3">
      <c r="A25" s="70" t="s">
        <v>10</v>
      </c>
      <c r="B25" s="70" t="s">
        <v>9</v>
      </c>
      <c r="C25" s="113">
        <v>0.64102564102564108</v>
      </c>
      <c r="D25" s="70">
        <v>277</v>
      </c>
      <c r="E25" s="95">
        <v>39</v>
      </c>
      <c r="F25" s="116">
        <f t="shared" si="0"/>
        <v>4.5529257067718607</v>
      </c>
      <c r="K25" s="105" t="s">
        <v>10</v>
      </c>
      <c r="L25" s="105"/>
      <c r="M25" s="105" t="s">
        <v>9</v>
      </c>
      <c r="N25" s="105">
        <v>277</v>
      </c>
      <c r="O25" s="108">
        <v>0.64102564102564108</v>
      </c>
    </row>
    <row r="26" spans="1:15" x14ac:dyDescent="0.3">
      <c r="A26" s="71" t="s">
        <v>10</v>
      </c>
      <c r="B26" s="71" t="s">
        <v>9</v>
      </c>
      <c r="C26" s="114">
        <v>0.7846153846153846</v>
      </c>
      <c r="D26" s="71">
        <v>270</v>
      </c>
      <c r="E26" s="90">
        <v>130</v>
      </c>
      <c r="F26" s="116">
        <f t="shared" si="0"/>
        <v>1.6295857988165681</v>
      </c>
      <c r="K26" s="106" t="s">
        <v>10</v>
      </c>
      <c r="L26" s="106"/>
      <c r="M26" s="106" t="s">
        <v>9</v>
      </c>
      <c r="N26" s="106">
        <v>270</v>
      </c>
      <c r="O26" s="107">
        <v>0.7846153846153846</v>
      </c>
    </row>
    <row r="27" spans="1:15" x14ac:dyDescent="0.3">
      <c r="A27" s="70" t="s">
        <v>144</v>
      </c>
      <c r="B27" s="70" t="s">
        <v>9</v>
      </c>
      <c r="C27" s="113">
        <v>0.61111111111111116</v>
      </c>
      <c r="D27" s="70">
        <v>70</v>
      </c>
      <c r="E27" s="95">
        <v>180</v>
      </c>
      <c r="F27" s="116">
        <f t="shared" si="0"/>
        <v>0.23765432098765432</v>
      </c>
      <c r="K27" s="105" t="s">
        <v>144</v>
      </c>
      <c r="L27" s="105"/>
      <c r="M27" s="105" t="s">
        <v>9</v>
      </c>
      <c r="N27" s="105">
        <v>70</v>
      </c>
      <c r="O27" s="108">
        <v>0.61111111111111116</v>
      </c>
    </row>
    <row r="28" spans="1:15" x14ac:dyDescent="0.3">
      <c r="A28" s="71" t="s">
        <v>10</v>
      </c>
      <c r="B28" s="71" t="s">
        <v>9</v>
      </c>
      <c r="C28" s="114">
        <v>0.68802228412256272</v>
      </c>
      <c r="D28" s="71">
        <v>770</v>
      </c>
      <c r="E28" s="90">
        <v>359</v>
      </c>
      <c r="F28" s="116">
        <f t="shared" si="0"/>
        <v>1.4757023921291736</v>
      </c>
      <c r="K28" s="106" t="s">
        <v>10</v>
      </c>
      <c r="L28" s="106"/>
      <c r="M28" s="106" t="s">
        <v>9</v>
      </c>
      <c r="N28" s="106">
        <v>770</v>
      </c>
      <c r="O28" s="107">
        <v>0.68802228412256272</v>
      </c>
    </row>
    <row r="29" spans="1:15" x14ac:dyDescent="0.3">
      <c r="A29" s="70" t="s">
        <v>10</v>
      </c>
      <c r="B29" s="70" t="s">
        <v>9</v>
      </c>
      <c r="C29" s="113">
        <v>0.68499999999999994</v>
      </c>
      <c r="D29" s="70">
        <v>758</v>
      </c>
      <c r="E29" s="95">
        <v>40</v>
      </c>
      <c r="F29" s="116">
        <f t="shared" si="0"/>
        <v>12.980749999999997</v>
      </c>
      <c r="K29" s="105" t="s">
        <v>10</v>
      </c>
      <c r="L29" s="105"/>
      <c r="M29" s="105" t="s">
        <v>9</v>
      </c>
      <c r="N29" s="105">
        <v>758</v>
      </c>
      <c r="O29" s="108">
        <v>0.68499999999999994</v>
      </c>
    </row>
    <row r="30" spans="1:15" x14ac:dyDescent="0.3">
      <c r="A30" s="71" t="s">
        <v>10</v>
      </c>
      <c r="B30" s="71" t="s">
        <v>9</v>
      </c>
      <c r="C30" s="114">
        <v>0.79466666666666663</v>
      </c>
      <c r="D30" s="71">
        <v>120</v>
      </c>
      <c r="E30" s="90">
        <v>75</v>
      </c>
      <c r="F30" s="116">
        <f t="shared" si="0"/>
        <v>1.2714666666666667</v>
      </c>
      <c r="K30" s="106" t="s">
        <v>10</v>
      </c>
      <c r="L30" s="106"/>
      <c r="M30" s="106" t="s">
        <v>9</v>
      </c>
      <c r="N30" s="106">
        <v>120</v>
      </c>
      <c r="O30" s="107">
        <v>0.79466666666666663</v>
      </c>
    </row>
    <row r="31" spans="1:15" x14ac:dyDescent="0.3">
      <c r="A31" s="70" t="s">
        <v>144</v>
      </c>
      <c r="B31" s="70" t="s">
        <v>9</v>
      </c>
      <c r="C31" s="113">
        <v>0.82079999999999997</v>
      </c>
      <c r="D31" s="70">
        <v>448</v>
      </c>
      <c r="E31" s="95">
        <v>125</v>
      </c>
      <c r="F31" s="116">
        <f t="shared" si="0"/>
        <v>2.9417472</v>
      </c>
      <c r="K31" s="105" t="s">
        <v>144</v>
      </c>
      <c r="L31" s="105"/>
      <c r="M31" s="105" t="s">
        <v>9</v>
      </c>
      <c r="N31" s="105">
        <v>448</v>
      </c>
      <c r="O31" s="108">
        <v>0.82079999999999997</v>
      </c>
    </row>
    <row r="32" spans="1:15" x14ac:dyDescent="0.3">
      <c r="A32" s="71" t="s">
        <v>10</v>
      </c>
      <c r="B32" s="71" t="s">
        <v>9</v>
      </c>
      <c r="C32" s="114">
        <v>0.68835616438356162</v>
      </c>
      <c r="D32" s="71">
        <v>322</v>
      </c>
      <c r="E32" s="90">
        <v>584</v>
      </c>
      <c r="F32" s="116">
        <f t="shared" si="0"/>
        <v>0.37953884406079941</v>
      </c>
      <c r="K32" s="106" t="s">
        <v>10</v>
      </c>
      <c r="L32" s="106"/>
      <c r="M32" s="106" t="s">
        <v>9</v>
      </c>
      <c r="N32" s="106">
        <v>322</v>
      </c>
      <c r="O32" s="107">
        <v>0.68835616438356162</v>
      </c>
    </row>
    <row r="33" spans="1:15" x14ac:dyDescent="0.3">
      <c r="A33" s="70" t="s">
        <v>10</v>
      </c>
      <c r="B33" s="70" t="s">
        <v>9</v>
      </c>
      <c r="C33" s="113">
        <v>0.7094339622641509</v>
      </c>
      <c r="D33" s="70">
        <v>269</v>
      </c>
      <c r="E33" s="95">
        <v>530</v>
      </c>
      <c r="F33" s="116">
        <f t="shared" si="0"/>
        <v>0.36007119971520113</v>
      </c>
      <c r="K33" s="105" t="s">
        <v>10</v>
      </c>
      <c r="L33" s="105"/>
      <c r="M33" s="105" t="s">
        <v>9</v>
      </c>
      <c r="N33" s="105">
        <v>269</v>
      </c>
      <c r="O33" s="108">
        <v>0.7094339622641509</v>
      </c>
    </row>
    <row r="34" spans="1:15" x14ac:dyDescent="0.3">
      <c r="A34" s="71" t="s">
        <v>10</v>
      </c>
      <c r="B34" s="71" t="s">
        <v>9</v>
      </c>
      <c r="C34" s="114">
        <v>0.65538461538461545</v>
      </c>
      <c r="D34" s="71">
        <v>791</v>
      </c>
      <c r="E34" s="90">
        <v>65</v>
      </c>
      <c r="F34" s="116">
        <f t="shared" si="0"/>
        <v>7.9755266272189358</v>
      </c>
      <c r="K34" s="106" t="s">
        <v>10</v>
      </c>
      <c r="L34" s="106"/>
      <c r="M34" s="106" t="s">
        <v>9</v>
      </c>
      <c r="N34" s="106">
        <v>791</v>
      </c>
      <c r="O34" s="107">
        <v>0.65538461538461545</v>
      </c>
    </row>
    <row r="35" spans="1:15" x14ac:dyDescent="0.3">
      <c r="A35" s="70" t="s">
        <v>10</v>
      </c>
      <c r="B35" s="70" t="s">
        <v>9</v>
      </c>
      <c r="C35" s="113">
        <v>0.75</v>
      </c>
      <c r="D35" s="70">
        <v>759</v>
      </c>
      <c r="E35" s="95">
        <v>56</v>
      </c>
      <c r="F35" s="116">
        <f t="shared" si="0"/>
        <v>10.165178571428571</v>
      </c>
      <c r="K35" s="105" t="s">
        <v>10</v>
      </c>
      <c r="L35" s="105"/>
      <c r="M35" s="105" t="s">
        <v>9</v>
      </c>
      <c r="N35" s="105">
        <v>759</v>
      </c>
      <c r="O35" s="108">
        <v>0.75</v>
      </c>
    </row>
    <row r="36" spans="1:15" x14ac:dyDescent="0.3">
      <c r="A36" s="71" t="s">
        <v>10</v>
      </c>
      <c r="B36" s="71" t="s">
        <v>9</v>
      </c>
      <c r="C36" s="114">
        <v>0.72000000000000008</v>
      </c>
      <c r="D36" s="71">
        <v>180</v>
      </c>
      <c r="E36" s="90">
        <v>35</v>
      </c>
      <c r="F36" s="116">
        <f t="shared" si="0"/>
        <v>3.7028571428571433</v>
      </c>
      <c r="K36" s="106" t="s">
        <v>10</v>
      </c>
      <c r="L36" s="106"/>
      <c r="M36" s="106" t="s">
        <v>9</v>
      </c>
      <c r="N36" s="106">
        <v>180</v>
      </c>
      <c r="O36" s="107">
        <v>0.72000000000000008</v>
      </c>
    </row>
    <row r="37" spans="1:15" x14ac:dyDescent="0.3">
      <c r="A37" s="70" t="s">
        <v>144</v>
      </c>
      <c r="B37" s="70" t="s">
        <v>9</v>
      </c>
      <c r="C37" s="113">
        <v>0.29292929292929293</v>
      </c>
      <c r="D37" s="70">
        <v>395</v>
      </c>
      <c r="E37" s="95">
        <v>99</v>
      </c>
      <c r="F37" s="116">
        <f t="shared" si="0"/>
        <v>1.1687582899704112</v>
      </c>
      <c r="K37" s="105" t="s">
        <v>144</v>
      </c>
      <c r="L37" s="105"/>
      <c r="M37" s="105" t="s">
        <v>9</v>
      </c>
      <c r="N37" s="105">
        <v>395</v>
      </c>
      <c r="O37" s="108">
        <v>0.29292929292929293</v>
      </c>
    </row>
    <row r="38" spans="1:15" x14ac:dyDescent="0.3">
      <c r="A38" s="71" t="s">
        <v>144</v>
      </c>
      <c r="B38" s="71" t="s">
        <v>9</v>
      </c>
      <c r="C38" s="114">
        <v>0.66400000000000003</v>
      </c>
      <c r="D38" s="71">
        <v>591</v>
      </c>
      <c r="E38" s="90">
        <v>250</v>
      </c>
      <c r="F38" s="116">
        <f t="shared" si="0"/>
        <v>1.5696960000000002</v>
      </c>
      <c r="K38" s="106" t="s">
        <v>144</v>
      </c>
      <c r="L38" s="106"/>
      <c r="M38" s="106" t="s">
        <v>9</v>
      </c>
      <c r="N38" s="106">
        <v>591</v>
      </c>
      <c r="O38" s="107">
        <v>0.66400000000000003</v>
      </c>
    </row>
    <row r="39" spans="1:15" x14ac:dyDescent="0.3">
      <c r="A39" s="70" t="s">
        <v>10</v>
      </c>
      <c r="B39" s="70" t="s">
        <v>9</v>
      </c>
      <c r="C39" s="113">
        <v>0.44</v>
      </c>
      <c r="D39" s="70">
        <v>791</v>
      </c>
      <c r="E39" s="95">
        <v>45</v>
      </c>
      <c r="F39" s="116">
        <f t="shared" si="0"/>
        <v>7.7342222222222228</v>
      </c>
      <c r="K39" s="105" t="s">
        <v>10</v>
      </c>
      <c r="L39" s="105"/>
      <c r="M39" s="105" t="s">
        <v>9</v>
      </c>
      <c r="N39" s="105">
        <v>791</v>
      </c>
      <c r="O39" s="108">
        <v>0.44</v>
      </c>
    </row>
    <row r="40" spans="1:15" x14ac:dyDescent="0.3">
      <c r="A40" s="71" t="s">
        <v>144</v>
      </c>
      <c r="B40" s="71" t="s">
        <v>9</v>
      </c>
      <c r="C40" s="114">
        <v>0.87076923076923074</v>
      </c>
      <c r="D40" s="71">
        <v>162</v>
      </c>
      <c r="E40" s="90">
        <v>130</v>
      </c>
      <c r="F40" s="116">
        <f t="shared" si="0"/>
        <v>1.085112426035503</v>
      </c>
      <c r="K40" s="106" t="s">
        <v>144</v>
      </c>
      <c r="L40" s="106"/>
      <c r="M40" s="106" t="s">
        <v>9</v>
      </c>
      <c r="N40" s="106">
        <v>162</v>
      </c>
      <c r="O40" s="107">
        <v>0.87076923076923074</v>
      </c>
    </row>
    <row r="41" spans="1:15" x14ac:dyDescent="0.3">
      <c r="A41" s="70" t="s">
        <v>10</v>
      </c>
      <c r="B41" s="70" t="s">
        <v>9</v>
      </c>
      <c r="C41" s="113">
        <v>0.63793103448275867</v>
      </c>
      <c r="D41" s="70">
        <v>438</v>
      </c>
      <c r="E41" s="95">
        <v>58</v>
      </c>
      <c r="F41" s="116">
        <f t="shared" si="0"/>
        <v>4.817479191438764</v>
      </c>
      <c r="K41" s="105" t="s">
        <v>10</v>
      </c>
      <c r="L41" s="105"/>
      <c r="M41" s="105" t="s">
        <v>9</v>
      </c>
      <c r="N41" s="105">
        <v>438</v>
      </c>
      <c r="O41" s="108">
        <v>0.63793103448275867</v>
      </c>
    </row>
    <row r="42" spans="1:15" x14ac:dyDescent="0.3">
      <c r="A42" s="71" t="s">
        <v>10</v>
      </c>
      <c r="B42" s="71" t="s">
        <v>9</v>
      </c>
      <c r="C42" s="114">
        <v>0.4702702702702703</v>
      </c>
      <c r="D42" s="71">
        <v>801</v>
      </c>
      <c r="E42" s="90">
        <v>185</v>
      </c>
      <c r="F42" s="116">
        <f t="shared" si="0"/>
        <v>2.0361431701972244</v>
      </c>
      <c r="K42" s="106" t="s">
        <v>10</v>
      </c>
      <c r="L42" s="106"/>
      <c r="M42" s="106" t="s">
        <v>9</v>
      </c>
      <c r="N42" s="106">
        <v>801</v>
      </c>
      <c r="O42" s="107">
        <v>0.4702702702702703</v>
      </c>
    </row>
    <row r="43" spans="1:15" x14ac:dyDescent="0.3">
      <c r="A43" s="70" t="s">
        <v>10</v>
      </c>
      <c r="B43" s="70" t="s">
        <v>9</v>
      </c>
      <c r="C43" s="113">
        <v>0.27407407407407408</v>
      </c>
      <c r="D43" s="70">
        <v>1239</v>
      </c>
      <c r="E43" s="95">
        <v>135</v>
      </c>
      <c r="F43" s="116">
        <f t="shared" si="0"/>
        <v>2.5153909465020576</v>
      </c>
      <c r="K43" s="105" t="s">
        <v>10</v>
      </c>
      <c r="L43" s="105"/>
      <c r="M43" s="105" t="s">
        <v>9</v>
      </c>
      <c r="N43" s="105">
        <v>1239</v>
      </c>
      <c r="O43" s="108">
        <v>0.27407407407407408</v>
      </c>
    </row>
    <row r="44" spans="1:15" x14ac:dyDescent="0.3">
      <c r="A44" s="71" t="s">
        <v>10</v>
      </c>
      <c r="B44" s="71" t="s">
        <v>9</v>
      </c>
      <c r="C44" s="114">
        <v>0.72000000000000008</v>
      </c>
      <c r="D44" s="71">
        <v>340</v>
      </c>
      <c r="E44" s="90">
        <v>35</v>
      </c>
      <c r="F44" s="116">
        <f t="shared" si="0"/>
        <v>6.9942857142857155</v>
      </c>
      <c r="K44" s="106" t="s">
        <v>10</v>
      </c>
      <c r="L44" s="106"/>
      <c r="M44" s="106" t="s">
        <v>9</v>
      </c>
      <c r="N44" s="106">
        <v>340</v>
      </c>
      <c r="O44" s="107">
        <v>0.72000000000000008</v>
      </c>
    </row>
    <row r="45" spans="1:15" x14ac:dyDescent="0.3">
      <c r="A45" s="70" t="s">
        <v>10</v>
      </c>
      <c r="B45" s="70" t="s">
        <v>9</v>
      </c>
      <c r="C45" s="113">
        <v>0.65538461538461545</v>
      </c>
      <c r="D45" s="70">
        <v>820</v>
      </c>
      <c r="E45" s="95">
        <v>65</v>
      </c>
      <c r="F45" s="116">
        <f t="shared" si="0"/>
        <v>8.2679289940828422</v>
      </c>
      <c r="K45" s="105" t="s">
        <v>10</v>
      </c>
      <c r="L45" s="105"/>
      <c r="M45" s="105" t="s">
        <v>9</v>
      </c>
      <c r="N45" s="105">
        <v>820</v>
      </c>
      <c r="O45" s="108">
        <v>0.65538461538461545</v>
      </c>
    </row>
    <row r="46" spans="1:15" x14ac:dyDescent="0.3">
      <c r="A46" s="71" t="s">
        <v>144</v>
      </c>
      <c r="B46" s="71" t="s">
        <v>9</v>
      </c>
      <c r="C46" s="114">
        <v>0.49090909090909091</v>
      </c>
      <c r="D46" s="71">
        <v>1081</v>
      </c>
      <c r="E46" s="90">
        <v>55</v>
      </c>
      <c r="F46" s="116">
        <f t="shared" si="0"/>
        <v>9.6485950413223129</v>
      </c>
      <c r="K46" s="106" t="s">
        <v>144</v>
      </c>
      <c r="L46" s="106"/>
      <c r="M46" s="106" t="s">
        <v>9</v>
      </c>
      <c r="N46" s="106">
        <v>1081</v>
      </c>
      <c r="O46" s="107">
        <v>0.49090909090909091</v>
      </c>
    </row>
    <row r="47" spans="1:15" x14ac:dyDescent="0.3">
      <c r="A47" s="70" t="s">
        <v>144</v>
      </c>
      <c r="B47" s="70" t="s">
        <v>9</v>
      </c>
      <c r="C47" s="113">
        <v>0.62666666666666671</v>
      </c>
      <c r="D47" s="70">
        <v>735</v>
      </c>
      <c r="E47" s="95">
        <v>150</v>
      </c>
      <c r="F47" s="116">
        <f t="shared" si="0"/>
        <v>3.0706666666666669</v>
      </c>
      <c r="K47" s="105" t="s">
        <v>144</v>
      </c>
      <c r="L47" s="105"/>
      <c r="M47" s="105" t="s">
        <v>9</v>
      </c>
      <c r="N47" s="105">
        <v>735</v>
      </c>
      <c r="O47" s="108">
        <v>0.62666666666666671</v>
      </c>
    </row>
    <row r="48" spans="1:15" x14ac:dyDescent="0.3">
      <c r="A48" s="71" t="s">
        <v>10</v>
      </c>
      <c r="B48" s="71" t="s">
        <v>9</v>
      </c>
      <c r="C48" s="114">
        <v>0.83529411764705885</v>
      </c>
      <c r="D48" s="71">
        <v>2285</v>
      </c>
      <c r="E48" s="90">
        <v>85</v>
      </c>
      <c r="F48" s="116">
        <f t="shared" si="0"/>
        <v>22.454671280276816</v>
      </c>
      <c r="K48" s="106" t="s">
        <v>10</v>
      </c>
      <c r="L48" s="106"/>
      <c r="M48" s="106" t="s">
        <v>9</v>
      </c>
      <c r="N48" s="106">
        <v>2285</v>
      </c>
      <c r="O48" s="107">
        <v>0.83529411764705885</v>
      </c>
    </row>
    <row r="49" spans="1:15" x14ac:dyDescent="0.3">
      <c r="A49" s="70" t="s">
        <v>10</v>
      </c>
      <c r="B49" s="70" t="s">
        <v>9</v>
      </c>
      <c r="C49" s="113">
        <v>0.65000000000000013</v>
      </c>
      <c r="D49" s="70">
        <v>1844</v>
      </c>
      <c r="E49" s="95">
        <v>28</v>
      </c>
      <c r="F49" s="116">
        <f t="shared" si="0"/>
        <v>42.807142857142864</v>
      </c>
      <c r="K49" s="105" t="s">
        <v>10</v>
      </c>
      <c r="L49" s="105"/>
      <c r="M49" s="105" t="s">
        <v>9</v>
      </c>
      <c r="N49" s="105">
        <v>1844</v>
      </c>
      <c r="O49" s="108">
        <v>0.65000000000000013</v>
      </c>
    </row>
    <row r="50" spans="1:15" x14ac:dyDescent="0.3">
      <c r="A50" s="71" t="s">
        <v>144</v>
      </c>
      <c r="B50" s="71" t="s">
        <v>9</v>
      </c>
      <c r="C50" s="114">
        <v>0.55200000000000005</v>
      </c>
      <c r="D50" s="71">
        <v>2668</v>
      </c>
      <c r="E50" s="90">
        <v>75</v>
      </c>
      <c r="F50" s="116">
        <f t="shared" si="0"/>
        <v>19.636480000000002</v>
      </c>
      <c r="K50" s="106" t="s">
        <v>144</v>
      </c>
      <c r="L50" s="106"/>
      <c r="M50" s="106" t="s">
        <v>9</v>
      </c>
      <c r="N50" s="106">
        <v>2668</v>
      </c>
      <c r="O50" s="107">
        <v>0.55200000000000005</v>
      </c>
    </row>
    <row r="51" spans="1:15" x14ac:dyDescent="0.3">
      <c r="A51" s="70" t="s">
        <v>144</v>
      </c>
      <c r="B51" s="70" t="s">
        <v>9</v>
      </c>
      <c r="C51" s="113">
        <v>0.77599999999999991</v>
      </c>
      <c r="D51" s="70">
        <v>1700</v>
      </c>
      <c r="E51" s="95">
        <v>50</v>
      </c>
      <c r="F51" s="116">
        <f t="shared" si="0"/>
        <v>26.383999999999997</v>
      </c>
      <c r="K51" s="105" t="s">
        <v>144</v>
      </c>
      <c r="L51" s="105"/>
      <c r="M51" s="105" t="s">
        <v>9</v>
      </c>
      <c r="N51" s="105">
        <v>1700</v>
      </c>
      <c r="O51" s="108">
        <v>0.77599999999999991</v>
      </c>
    </row>
    <row r="52" spans="1:15" x14ac:dyDescent="0.3">
      <c r="A52" s="71" t="s">
        <v>10</v>
      </c>
      <c r="B52" s="71" t="s">
        <v>9</v>
      </c>
      <c r="C52" s="114">
        <v>0.6080000000000001</v>
      </c>
      <c r="D52" s="71">
        <v>2246</v>
      </c>
      <c r="E52" s="90">
        <v>25</v>
      </c>
      <c r="F52" s="116">
        <f t="shared" si="0"/>
        <v>54.622720000000008</v>
      </c>
      <c r="K52" s="106" t="s">
        <v>10</v>
      </c>
      <c r="L52" s="106"/>
      <c r="M52" s="106" t="s">
        <v>9</v>
      </c>
      <c r="N52" s="106">
        <v>2246</v>
      </c>
      <c r="O52" s="107">
        <v>0.6080000000000001</v>
      </c>
    </row>
    <row r="53" spans="1:15" x14ac:dyDescent="0.3">
      <c r="A53" s="70" t="s">
        <v>10</v>
      </c>
      <c r="B53" s="70" t="s">
        <v>9</v>
      </c>
      <c r="C53" s="113">
        <v>0.58000000000000007</v>
      </c>
      <c r="D53" s="70">
        <v>5216</v>
      </c>
      <c r="E53" s="95">
        <v>40</v>
      </c>
      <c r="F53" s="116">
        <f t="shared" si="0"/>
        <v>75.632000000000005</v>
      </c>
      <c r="K53" s="105" t="s">
        <v>10</v>
      </c>
      <c r="L53" s="105"/>
      <c r="M53" s="105" t="s">
        <v>9</v>
      </c>
      <c r="N53" s="105">
        <v>5216</v>
      </c>
      <c r="O53" s="108">
        <v>0.58000000000000007</v>
      </c>
    </row>
    <row r="54" spans="1:15" x14ac:dyDescent="0.3">
      <c r="A54" s="71" t="s">
        <v>144</v>
      </c>
      <c r="B54" s="71" t="s">
        <v>9</v>
      </c>
      <c r="C54" s="114">
        <v>0.75111111111111106</v>
      </c>
      <c r="D54" s="71">
        <v>1916</v>
      </c>
      <c r="E54" s="90">
        <v>450</v>
      </c>
      <c r="F54" s="116">
        <f t="shared" si="0"/>
        <v>3.1980641975308637</v>
      </c>
      <c r="K54" s="106" t="s">
        <v>144</v>
      </c>
      <c r="L54" s="106"/>
      <c r="M54" s="106" t="s">
        <v>9</v>
      </c>
      <c r="N54" s="106">
        <v>1916</v>
      </c>
      <c r="O54" s="107">
        <v>0.75111111111111106</v>
      </c>
    </row>
    <row r="55" spans="1:15" x14ac:dyDescent="0.3">
      <c r="A55" s="70" t="s">
        <v>10</v>
      </c>
      <c r="B55" s="70" t="s">
        <v>9</v>
      </c>
      <c r="C55" s="113">
        <v>0.6</v>
      </c>
      <c r="D55" s="70">
        <v>2769</v>
      </c>
      <c r="E55" s="95">
        <v>35</v>
      </c>
      <c r="F55" s="116">
        <f t="shared" si="0"/>
        <v>47.468571428571423</v>
      </c>
      <c r="K55" s="105" t="s">
        <v>10</v>
      </c>
      <c r="L55" s="105"/>
      <c r="M55" s="105" t="s">
        <v>9</v>
      </c>
      <c r="N55" s="105">
        <v>2769</v>
      </c>
      <c r="O55" s="108">
        <v>0.6</v>
      </c>
    </row>
    <row r="56" spans="1:15" x14ac:dyDescent="0.3">
      <c r="A56" s="71" t="s">
        <v>10</v>
      </c>
      <c r="B56" s="71" t="s">
        <v>9</v>
      </c>
      <c r="C56" s="114">
        <v>0.6080000000000001</v>
      </c>
      <c r="D56" s="71">
        <v>5502</v>
      </c>
      <c r="E56" s="90">
        <v>25</v>
      </c>
      <c r="F56" s="116">
        <f t="shared" si="0"/>
        <v>133.80864000000003</v>
      </c>
      <c r="K56" s="106" t="s">
        <v>10</v>
      </c>
      <c r="L56" s="106"/>
      <c r="M56" s="106" t="s">
        <v>9</v>
      </c>
      <c r="N56" s="106">
        <v>5502</v>
      </c>
      <c r="O56" s="107">
        <v>0.6080000000000001</v>
      </c>
    </row>
    <row r="57" spans="1:15" x14ac:dyDescent="0.3">
      <c r="A57" s="70" t="s">
        <v>10</v>
      </c>
      <c r="B57" s="70" t="s">
        <v>9</v>
      </c>
      <c r="C57" s="113">
        <v>0.7846153846153846</v>
      </c>
      <c r="D57" s="70">
        <v>6204</v>
      </c>
      <c r="E57" s="95">
        <v>65</v>
      </c>
      <c r="F57" s="116">
        <f t="shared" si="0"/>
        <v>74.888520710059169</v>
      </c>
      <c r="K57" s="105" t="s">
        <v>10</v>
      </c>
      <c r="L57" s="105"/>
      <c r="M57" s="105" t="s">
        <v>9</v>
      </c>
      <c r="N57" s="105">
        <v>6204</v>
      </c>
      <c r="O57" s="108">
        <v>0.7846153846153846</v>
      </c>
    </row>
    <row r="58" spans="1:15" x14ac:dyDescent="0.3">
      <c r="A58" s="71" t="s">
        <v>10</v>
      </c>
      <c r="B58" s="71" t="s">
        <v>9</v>
      </c>
      <c r="C58" s="114">
        <v>0.68888888888888888</v>
      </c>
      <c r="D58" s="71">
        <v>6860</v>
      </c>
      <c r="E58" s="90">
        <v>45</v>
      </c>
      <c r="F58" s="116">
        <f t="shared" si="0"/>
        <v>105.01728395061727</v>
      </c>
      <c r="K58" s="106" t="s">
        <v>10</v>
      </c>
      <c r="L58" s="106"/>
      <c r="M58" s="106" t="s">
        <v>9</v>
      </c>
      <c r="N58" s="106">
        <v>6860</v>
      </c>
      <c r="O58" s="107">
        <v>0.68888888888888888</v>
      </c>
    </row>
    <row r="59" spans="1:15" x14ac:dyDescent="0.3">
      <c r="A59" s="70" t="s">
        <v>10</v>
      </c>
      <c r="B59" s="70" t="s">
        <v>9</v>
      </c>
      <c r="C59" s="113">
        <v>0.75111111111111106</v>
      </c>
      <c r="D59" s="70">
        <v>9251</v>
      </c>
      <c r="E59" s="95">
        <v>45</v>
      </c>
      <c r="F59" s="116">
        <f t="shared" si="0"/>
        <v>154.41175308641974</v>
      </c>
      <c r="K59" s="105" t="s">
        <v>10</v>
      </c>
      <c r="L59" s="105"/>
      <c r="M59" s="105" t="s">
        <v>9</v>
      </c>
      <c r="N59" s="105">
        <v>9251</v>
      </c>
      <c r="O59" s="108">
        <v>0.75111111111111106</v>
      </c>
    </row>
    <row r="60" spans="1:15" x14ac:dyDescent="0.3">
      <c r="A60" s="71" t="s">
        <v>10</v>
      </c>
      <c r="B60" s="71" t="s">
        <v>9</v>
      </c>
      <c r="C60" s="114">
        <v>0.56444444444444453</v>
      </c>
      <c r="D60" s="71">
        <v>11224</v>
      </c>
      <c r="E60" s="90">
        <v>45</v>
      </c>
      <c r="F60" s="116">
        <f t="shared" si="0"/>
        <v>140.78498765432101</v>
      </c>
      <c r="K60" s="106" t="s">
        <v>10</v>
      </c>
      <c r="L60" s="106"/>
      <c r="M60" s="106" t="s">
        <v>9</v>
      </c>
      <c r="N60" s="106">
        <v>11224</v>
      </c>
      <c r="O60" s="107">
        <v>0.56444444444444453</v>
      </c>
    </row>
    <row r="61" spans="1:15" x14ac:dyDescent="0.3">
      <c r="A61" s="70" t="s">
        <v>10</v>
      </c>
      <c r="B61" s="70" t="s">
        <v>9</v>
      </c>
      <c r="C61" s="113">
        <v>0.34666666666666673</v>
      </c>
      <c r="D61" s="70">
        <v>13819</v>
      </c>
      <c r="E61" s="95">
        <v>30</v>
      </c>
      <c r="F61" s="116">
        <f t="shared" si="0"/>
        <v>159.68622222222226</v>
      </c>
      <c r="K61" s="105" t="s">
        <v>10</v>
      </c>
      <c r="L61" s="105"/>
      <c r="M61" s="105" t="s">
        <v>9</v>
      </c>
      <c r="N61" s="105">
        <v>13819</v>
      </c>
      <c r="O61" s="108">
        <v>0.34666666666666673</v>
      </c>
    </row>
    <row r="62" spans="1:15" x14ac:dyDescent="0.3">
      <c r="A62" s="71" t="s">
        <v>10</v>
      </c>
      <c r="B62" s="71" t="s">
        <v>28</v>
      </c>
      <c r="C62" s="114">
        <v>0.4</v>
      </c>
      <c r="D62" s="71">
        <v>1053</v>
      </c>
      <c r="E62" s="90">
        <v>75</v>
      </c>
      <c r="F62" s="116">
        <f t="shared" si="0"/>
        <v>5.6160000000000005</v>
      </c>
      <c r="K62" s="106" t="s">
        <v>10</v>
      </c>
      <c r="L62" s="106"/>
      <c r="M62" s="106" t="s">
        <v>28</v>
      </c>
      <c r="N62" s="106">
        <v>1053</v>
      </c>
      <c r="O62" s="107">
        <v>0.4</v>
      </c>
    </row>
    <row r="63" spans="1:15" x14ac:dyDescent="0.3">
      <c r="A63" s="70" t="s">
        <v>10</v>
      </c>
      <c r="B63" s="70" t="s">
        <v>43</v>
      </c>
      <c r="C63" s="113">
        <v>0.78181818181818186</v>
      </c>
      <c r="D63" s="70">
        <v>5</v>
      </c>
      <c r="E63" s="95">
        <v>55</v>
      </c>
      <c r="F63" s="116">
        <f t="shared" si="0"/>
        <v>7.1074380165289261E-2</v>
      </c>
      <c r="K63" s="105" t="s">
        <v>10</v>
      </c>
      <c r="L63" s="105"/>
      <c r="M63" s="105" t="s">
        <v>43</v>
      </c>
      <c r="N63" s="105">
        <v>5</v>
      </c>
      <c r="O63" s="108">
        <v>0.78181818181818186</v>
      </c>
    </row>
    <row r="64" spans="1:15" x14ac:dyDescent="0.3">
      <c r="A64" s="71" t="s">
        <v>10</v>
      </c>
      <c r="B64" s="71" t="s">
        <v>43</v>
      </c>
      <c r="C64" s="114">
        <v>0.7</v>
      </c>
      <c r="D64" s="71">
        <v>13</v>
      </c>
      <c r="E64" s="90">
        <v>35</v>
      </c>
      <c r="F64" s="116">
        <f t="shared" si="0"/>
        <v>0.26</v>
      </c>
      <c r="K64" s="106" t="s">
        <v>10</v>
      </c>
      <c r="L64" s="106"/>
      <c r="M64" s="106" t="s">
        <v>43</v>
      </c>
      <c r="N64" s="106">
        <v>13</v>
      </c>
      <c r="O64" s="107">
        <v>0.7</v>
      </c>
    </row>
    <row r="65" spans="1:15" x14ac:dyDescent="0.3">
      <c r="A65" s="70" t="s">
        <v>10</v>
      </c>
      <c r="B65" s="70" t="s">
        <v>43</v>
      </c>
      <c r="C65" s="113">
        <v>0.77272727272727271</v>
      </c>
      <c r="D65" s="70">
        <v>5</v>
      </c>
      <c r="E65" s="95">
        <v>66</v>
      </c>
      <c r="F65" s="116">
        <f t="shared" si="0"/>
        <v>5.8539944903581262E-2</v>
      </c>
      <c r="K65" s="105" t="s">
        <v>10</v>
      </c>
      <c r="L65" s="105"/>
      <c r="M65" s="105" t="s">
        <v>43</v>
      </c>
      <c r="N65" s="105">
        <v>5</v>
      </c>
      <c r="O65" s="108">
        <v>0.77272727272727271</v>
      </c>
    </row>
    <row r="66" spans="1:15" x14ac:dyDescent="0.3">
      <c r="A66" s="71" t="s">
        <v>10</v>
      </c>
      <c r="B66" s="71" t="s">
        <v>43</v>
      </c>
      <c r="C66" s="114">
        <v>0.73417721518987344</v>
      </c>
      <c r="D66" s="71">
        <v>3</v>
      </c>
      <c r="E66" s="90">
        <v>79</v>
      </c>
      <c r="F66" s="116">
        <f t="shared" si="0"/>
        <v>2.7880147412273678E-2</v>
      </c>
      <c r="K66" s="106" t="s">
        <v>10</v>
      </c>
      <c r="L66" s="106"/>
      <c r="M66" s="106" t="s">
        <v>43</v>
      </c>
      <c r="N66" s="106">
        <v>3</v>
      </c>
      <c r="O66" s="107">
        <v>0.73417721518987344</v>
      </c>
    </row>
    <row r="67" spans="1:15" x14ac:dyDescent="0.3">
      <c r="A67" s="70" t="s">
        <v>10</v>
      </c>
      <c r="B67" s="70" t="s">
        <v>43</v>
      </c>
      <c r="C67" s="113">
        <v>0.74285714285714288</v>
      </c>
      <c r="D67" s="70">
        <v>3</v>
      </c>
      <c r="E67" s="95">
        <v>70</v>
      </c>
      <c r="F67" s="116">
        <f t="shared" ref="F67:F130" si="1">(D67*C67)/E67</f>
        <v>3.1836734693877551E-2</v>
      </c>
      <c r="K67" s="105" t="s">
        <v>10</v>
      </c>
      <c r="L67" s="105"/>
      <c r="M67" s="105" t="s">
        <v>43</v>
      </c>
      <c r="N67" s="105">
        <v>3</v>
      </c>
      <c r="O67" s="108">
        <v>0.74285714285714288</v>
      </c>
    </row>
    <row r="68" spans="1:15" x14ac:dyDescent="0.3">
      <c r="A68" s="71" t="s">
        <v>10</v>
      </c>
      <c r="B68" s="71" t="s">
        <v>43</v>
      </c>
      <c r="C68" s="114">
        <v>0.52</v>
      </c>
      <c r="D68" s="71">
        <v>5</v>
      </c>
      <c r="E68" s="90">
        <v>250</v>
      </c>
      <c r="F68" s="116">
        <f t="shared" si="1"/>
        <v>1.04E-2</v>
      </c>
      <c r="K68" s="106" t="s">
        <v>10</v>
      </c>
      <c r="L68" s="106"/>
      <c r="M68" s="106" t="s">
        <v>43</v>
      </c>
      <c r="N68" s="106">
        <v>5</v>
      </c>
      <c r="O68" s="107">
        <v>0.52</v>
      </c>
    </row>
    <row r="69" spans="1:15" x14ac:dyDescent="0.3">
      <c r="A69" s="70" t="s">
        <v>10</v>
      </c>
      <c r="B69" s="70" t="s">
        <v>43</v>
      </c>
      <c r="C69" s="113">
        <v>0.69387755102040816</v>
      </c>
      <c r="D69" s="70">
        <v>1</v>
      </c>
      <c r="E69" s="95">
        <v>49</v>
      </c>
      <c r="F69" s="116">
        <f t="shared" si="1"/>
        <v>1.4160766347355268E-2</v>
      </c>
      <c r="K69" s="105" t="s">
        <v>10</v>
      </c>
      <c r="L69" s="105"/>
      <c r="M69" s="105" t="s">
        <v>43</v>
      </c>
      <c r="N69" s="105">
        <v>1</v>
      </c>
      <c r="O69" s="108">
        <v>0.69387755102040816</v>
      </c>
    </row>
    <row r="70" spans="1:15" x14ac:dyDescent="0.3">
      <c r="A70" s="71" t="s">
        <v>10</v>
      </c>
      <c r="B70" s="71" t="s">
        <v>43</v>
      </c>
      <c r="C70" s="114">
        <v>0.7931034482758621</v>
      </c>
      <c r="D70" s="71">
        <v>2</v>
      </c>
      <c r="E70" s="90">
        <v>145</v>
      </c>
      <c r="F70" s="116">
        <f t="shared" si="1"/>
        <v>1.0939357907253271E-2</v>
      </c>
      <c r="K70" s="106" t="s">
        <v>10</v>
      </c>
      <c r="L70" s="106"/>
      <c r="M70" s="106" t="s">
        <v>43</v>
      </c>
      <c r="N70" s="106">
        <v>2</v>
      </c>
      <c r="O70" s="107">
        <v>0.7931034482758621</v>
      </c>
    </row>
    <row r="71" spans="1:15" x14ac:dyDescent="0.3">
      <c r="A71" s="70" t="s">
        <v>10</v>
      </c>
      <c r="B71" s="70" t="s">
        <v>43</v>
      </c>
      <c r="C71" s="113">
        <v>0.83333333333333337</v>
      </c>
      <c r="D71" s="70">
        <v>2</v>
      </c>
      <c r="E71" s="95">
        <v>99</v>
      </c>
      <c r="F71" s="116">
        <f t="shared" si="1"/>
        <v>1.6835016835016835E-2</v>
      </c>
      <c r="K71" s="105" t="s">
        <v>10</v>
      </c>
      <c r="L71" s="105"/>
      <c r="M71" s="105" t="s">
        <v>43</v>
      </c>
      <c r="N71" s="105">
        <v>2</v>
      </c>
      <c r="O71" s="108">
        <v>0.83333333333333337</v>
      </c>
    </row>
    <row r="72" spans="1:15" x14ac:dyDescent="0.3">
      <c r="A72" s="71" t="s">
        <v>10</v>
      </c>
      <c r="B72" s="71" t="s">
        <v>43</v>
      </c>
      <c r="C72" s="114">
        <v>0.61891891891891893</v>
      </c>
      <c r="D72" s="71">
        <v>2</v>
      </c>
      <c r="E72" s="90">
        <v>370</v>
      </c>
      <c r="F72" s="116">
        <f t="shared" si="1"/>
        <v>3.3455076698319943E-3</v>
      </c>
      <c r="K72" s="106" t="s">
        <v>10</v>
      </c>
      <c r="L72" s="106"/>
      <c r="M72" s="106" t="s">
        <v>43</v>
      </c>
      <c r="N72" s="106">
        <v>2</v>
      </c>
      <c r="O72" s="107">
        <v>0.61891891891891893</v>
      </c>
    </row>
    <row r="73" spans="1:15" x14ac:dyDescent="0.3">
      <c r="A73" s="70" t="s">
        <v>10</v>
      </c>
      <c r="B73" s="70" t="s">
        <v>43</v>
      </c>
      <c r="C73" s="113">
        <v>0.6785714285714286</v>
      </c>
      <c r="D73" s="70">
        <v>5</v>
      </c>
      <c r="E73" s="95">
        <v>70</v>
      </c>
      <c r="F73" s="116">
        <f t="shared" si="1"/>
        <v>4.8469387755102046E-2</v>
      </c>
      <c r="K73" s="105" t="s">
        <v>10</v>
      </c>
      <c r="L73" s="105"/>
      <c r="M73" s="105" t="s">
        <v>43</v>
      </c>
      <c r="N73" s="105">
        <v>5</v>
      </c>
      <c r="O73" s="108">
        <v>0.6785714285714286</v>
      </c>
    </row>
    <row r="74" spans="1:15" x14ac:dyDescent="0.3">
      <c r="A74" s="71" t="s">
        <v>10</v>
      </c>
      <c r="B74" s="71" t="s">
        <v>43</v>
      </c>
      <c r="C74" s="114">
        <v>0.25</v>
      </c>
      <c r="D74" s="71">
        <v>8</v>
      </c>
      <c r="E74" s="90">
        <v>120</v>
      </c>
      <c r="F74" s="116">
        <f t="shared" si="1"/>
        <v>1.6666666666666666E-2</v>
      </c>
      <c r="K74" s="106" t="s">
        <v>10</v>
      </c>
      <c r="L74" s="106"/>
      <c r="M74" s="106" t="s">
        <v>43</v>
      </c>
      <c r="N74" s="106">
        <v>8</v>
      </c>
      <c r="O74" s="107">
        <v>0.25</v>
      </c>
    </row>
    <row r="75" spans="1:15" x14ac:dyDescent="0.3">
      <c r="A75" s="70" t="s">
        <v>10</v>
      </c>
      <c r="B75" s="70" t="s">
        <v>43</v>
      </c>
      <c r="C75" s="113">
        <v>0.66666666666666663</v>
      </c>
      <c r="D75" s="70">
        <v>33</v>
      </c>
      <c r="E75" s="95">
        <v>45</v>
      </c>
      <c r="F75" s="116">
        <f t="shared" si="1"/>
        <v>0.48888888888888887</v>
      </c>
      <c r="K75" s="105" t="s">
        <v>10</v>
      </c>
      <c r="L75" s="105"/>
      <c r="M75" s="105" t="s">
        <v>43</v>
      </c>
      <c r="N75" s="105">
        <v>33</v>
      </c>
      <c r="O75" s="108">
        <v>0.66666666666666663</v>
      </c>
    </row>
    <row r="76" spans="1:15" x14ac:dyDescent="0.3">
      <c r="A76" s="71" t="s">
        <v>10</v>
      </c>
      <c r="B76" s="71" t="s">
        <v>20</v>
      </c>
      <c r="C76" s="114">
        <v>0.55200000000000005</v>
      </c>
      <c r="D76" s="71">
        <v>39</v>
      </c>
      <c r="E76" s="90">
        <v>250</v>
      </c>
      <c r="F76" s="116">
        <f t="shared" si="1"/>
        <v>8.6112000000000008E-2</v>
      </c>
      <c r="K76" s="106" t="s">
        <v>10</v>
      </c>
      <c r="L76" s="106"/>
      <c r="M76" s="106" t="s">
        <v>20</v>
      </c>
      <c r="N76" s="106">
        <v>39</v>
      </c>
      <c r="O76" s="107">
        <v>0.55200000000000005</v>
      </c>
    </row>
    <row r="77" spans="1:15" x14ac:dyDescent="0.3">
      <c r="A77" s="70" t="s">
        <v>10</v>
      </c>
      <c r="B77" s="70" t="s">
        <v>21</v>
      </c>
      <c r="C77" s="113">
        <v>0.55862068965517242</v>
      </c>
      <c r="D77" s="70">
        <v>1</v>
      </c>
      <c r="E77" s="95">
        <v>290</v>
      </c>
      <c r="F77" s="116">
        <f t="shared" si="1"/>
        <v>1.9262782401902497E-3</v>
      </c>
      <c r="K77" s="105" t="s">
        <v>10</v>
      </c>
      <c r="L77" s="105"/>
      <c r="M77" s="105" t="s">
        <v>21</v>
      </c>
      <c r="N77" s="105">
        <v>1</v>
      </c>
      <c r="O77" s="108">
        <v>0.55862068965517242</v>
      </c>
    </row>
    <row r="78" spans="1:15" x14ac:dyDescent="0.3">
      <c r="A78" s="71" t="s">
        <v>10</v>
      </c>
      <c r="B78" s="71" t="s">
        <v>21</v>
      </c>
      <c r="C78" s="114">
        <v>0.70285714285714285</v>
      </c>
      <c r="D78" s="71">
        <v>5</v>
      </c>
      <c r="E78" s="90">
        <v>700</v>
      </c>
      <c r="F78" s="116">
        <f t="shared" si="1"/>
        <v>5.0204081632653063E-3</v>
      </c>
      <c r="K78" s="106" t="s">
        <v>10</v>
      </c>
      <c r="L78" s="106"/>
      <c r="M78" s="106" t="s">
        <v>21</v>
      </c>
      <c r="N78" s="106">
        <v>5</v>
      </c>
      <c r="O78" s="107">
        <v>0.70285714285714285</v>
      </c>
    </row>
    <row r="79" spans="1:15" x14ac:dyDescent="0.3">
      <c r="A79" s="70" t="s">
        <v>10</v>
      </c>
      <c r="B79" s="70" t="s">
        <v>21</v>
      </c>
      <c r="C79" s="113">
        <v>0.36</v>
      </c>
      <c r="D79" s="70">
        <v>51</v>
      </c>
      <c r="E79" s="95">
        <v>150</v>
      </c>
      <c r="F79" s="116">
        <f t="shared" si="1"/>
        <v>0.12239999999999999</v>
      </c>
      <c r="K79" s="105" t="s">
        <v>10</v>
      </c>
      <c r="L79" s="105"/>
      <c r="M79" s="105" t="s">
        <v>21</v>
      </c>
      <c r="N79" s="105">
        <v>51</v>
      </c>
      <c r="O79" s="108">
        <v>0.36</v>
      </c>
    </row>
    <row r="80" spans="1:15" x14ac:dyDescent="0.3">
      <c r="A80" s="71" t="s">
        <v>10</v>
      </c>
      <c r="B80" s="71" t="s">
        <v>21</v>
      </c>
      <c r="C80" s="114">
        <v>0.67919799498746869</v>
      </c>
      <c r="D80" s="71">
        <v>30</v>
      </c>
      <c r="E80" s="90">
        <v>399</v>
      </c>
      <c r="F80" s="116">
        <f t="shared" si="1"/>
        <v>5.1067518420110425E-2</v>
      </c>
      <c r="K80" s="106" t="s">
        <v>10</v>
      </c>
      <c r="L80" s="106"/>
      <c r="M80" s="106" t="s">
        <v>21</v>
      </c>
      <c r="N80" s="106">
        <v>30</v>
      </c>
      <c r="O80" s="107">
        <v>0.67919799498746869</v>
      </c>
    </row>
    <row r="81" spans="1:15" x14ac:dyDescent="0.3">
      <c r="A81" s="70" t="s">
        <v>10</v>
      </c>
      <c r="B81" s="70" t="s">
        <v>21</v>
      </c>
      <c r="C81" s="113">
        <v>0.65490196078431373</v>
      </c>
      <c r="D81" s="70">
        <v>74</v>
      </c>
      <c r="E81" s="95">
        <v>510</v>
      </c>
      <c r="F81" s="116">
        <f t="shared" si="1"/>
        <v>9.5024990388312178E-2</v>
      </c>
      <c r="K81" s="105" t="s">
        <v>10</v>
      </c>
      <c r="L81" s="105"/>
      <c r="M81" s="105" t="s">
        <v>21</v>
      </c>
      <c r="N81" s="105">
        <v>74</v>
      </c>
      <c r="O81" s="108">
        <v>0.65490196078431373</v>
      </c>
    </row>
    <row r="82" spans="1:15" x14ac:dyDescent="0.3">
      <c r="A82" s="71" t="s">
        <v>10</v>
      </c>
      <c r="B82" s="71" t="s">
        <v>21</v>
      </c>
      <c r="C82" s="114">
        <v>0.71382113821138216</v>
      </c>
      <c r="D82" s="71">
        <v>92</v>
      </c>
      <c r="E82" s="90">
        <v>615</v>
      </c>
      <c r="F82" s="116">
        <f t="shared" si="1"/>
        <v>0.10678299953731245</v>
      </c>
      <c r="K82" s="106" t="s">
        <v>10</v>
      </c>
      <c r="L82" s="106"/>
      <c r="M82" s="106" t="s">
        <v>21</v>
      </c>
      <c r="N82" s="106">
        <v>92</v>
      </c>
      <c r="O82" s="107">
        <v>0.71382113821138216</v>
      </c>
    </row>
    <row r="83" spans="1:15" x14ac:dyDescent="0.3">
      <c r="A83" s="70" t="s">
        <v>10</v>
      </c>
      <c r="B83" s="70" t="s">
        <v>21</v>
      </c>
      <c r="C83" s="113">
        <v>0.55200000000000005</v>
      </c>
      <c r="D83" s="70">
        <v>213</v>
      </c>
      <c r="E83" s="95">
        <v>250</v>
      </c>
      <c r="F83" s="116">
        <f t="shared" si="1"/>
        <v>0.47030400000000006</v>
      </c>
      <c r="K83" s="105" t="s">
        <v>10</v>
      </c>
      <c r="L83" s="105"/>
      <c r="M83" s="105" t="s">
        <v>21</v>
      </c>
      <c r="N83" s="105">
        <v>213</v>
      </c>
      <c r="O83" s="108">
        <v>0.55200000000000005</v>
      </c>
    </row>
    <row r="84" spans="1:15" x14ac:dyDescent="0.3">
      <c r="A84" s="71" t="s">
        <v>10</v>
      </c>
      <c r="B84" s="71" t="s">
        <v>25</v>
      </c>
      <c r="C84" s="114">
        <v>0.7</v>
      </c>
      <c r="D84" s="71">
        <v>3</v>
      </c>
      <c r="E84" s="90">
        <v>650</v>
      </c>
      <c r="F84" s="116">
        <f t="shared" si="1"/>
        <v>3.2307692307692302E-3</v>
      </c>
      <c r="K84" s="106" t="s">
        <v>10</v>
      </c>
      <c r="L84" s="106"/>
      <c r="M84" s="106" t="s">
        <v>25</v>
      </c>
      <c r="N84" s="106">
        <v>3</v>
      </c>
      <c r="O84" s="107">
        <v>0.7</v>
      </c>
    </row>
    <row r="85" spans="1:15" x14ac:dyDescent="0.3">
      <c r="A85" s="70" t="s">
        <v>10</v>
      </c>
      <c r="B85" s="70" t="s">
        <v>25</v>
      </c>
      <c r="C85" s="113">
        <v>0.79</v>
      </c>
      <c r="D85" s="70">
        <v>3</v>
      </c>
      <c r="E85" s="95">
        <v>50</v>
      </c>
      <c r="F85" s="116">
        <f t="shared" si="1"/>
        <v>4.7400000000000005E-2</v>
      </c>
      <c r="K85" s="105" t="s">
        <v>10</v>
      </c>
      <c r="L85" s="105"/>
      <c r="M85" s="105" t="s">
        <v>25</v>
      </c>
      <c r="N85" s="105">
        <v>3</v>
      </c>
      <c r="O85" s="108">
        <v>0.79</v>
      </c>
    </row>
    <row r="86" spans="1:15" x14ac:dyDescent="0.3">
      <c r="A86" s="71" t="s">
        <v>10</v>
      </c>
      <c r="B86" s="71" t="s">
        <v>25</v>
      </c>
      <c r="C86" s="114">
        <v>0.7857142857142857</v>
      </c>
      <c r="D86" s="71">
        <v>15</v>
      </c>
      <c r="E86" s="90">
        <v>70</v>
      </c>
      <c r="F86" s="116">
        <f t="shared" si="1"/>
        <v>0.1683673469387755</v>
      </c>
      <c r="K86" s="106" t="s">
        <v>10</v>
      </c>
      <c r="L86" s="106"/>
      <c r="M86" s="106" t="s">
        <v>25</v>
      </c>
      <c r="N86" s="106">
        <v>15</v>
      </c>
      <c r="O86" s="107">
        <v>0.7857142857142857</v>
      </c>
    </row>
    <row r="87" spans="1:15" x14ac:dyDescent="0.3">
      <c r="A87" s="70" t="s">
        <v>10</v>
      </c>
      <c r="B87" s="70" t="s">
        <v>25</v>
      </c>
      <c r="C87" s="113">
        <v>0.61818181818181817</v>
      </c>
      <c r="D87" s="70">
        <v>38</v>
      </c>
      <c r="E87" s="95">
        <v>55</v>
      </c>
      <c r="F87" s="116">
        <f t="shared" si="1"/>
        <v>0.42710743801652895</v>
      </c>
      <c r="K87" s="105" t="s">
        <v>10</v>
      </c>
      <c r="L87" s="105"/>
      <c r="M87" s="105" t="s">
        <v>25</v>
      </c>
      <c r="N87" s="105">
        <v>38</v>
      </c>
      <c r="O87" s="108">
        <v>0.61818181818181817</v>
      </c>
    </row>
    <row r="88" spans="1:15" x14ac:dyDescent="0.3">
      <c r="A88" s="71" t="s">
        <v>10</v>
      </c>
      <c r="B88" s="71" t="s">
        <v>38</v>
      </c>
      <c r="C88" s="114">
        <v>0.57333333333333336</v>
      </c>
      <c r="D88" s="71">
        <v>5</v>
      </c>
      <c r="E88" s="90">
        <v>300</v>
      </c>
      <c r="F88" s="116">
        <f t="shared" si="1"/>
        <v>9.555555555555555E-3</v>
      </c>
      <c r="K88" s="106" t="s">
        <v>10</v>
      </c>
      <c r="L88" s="106"/>
      <c r="M88" s="106" t="s">
        <v>38</v>
      </c>
      <c r="N88" s="106">
        <v>5</v>
      </c>
      <c r="O88" s="107">
        <v>0.57333333333333336</v>
      </c>
    </row>
    <row r="89" spans="1:15" x14ac:dyDescent="0.3">
      <c r="A89" s="70" t="s">
        <v>10</v>
      </c>
      <c r="B89" s="70" t="s">
        <v>38</v>
      </c>
      <c r="C89" s="113">
        <v>0.624</v>
      </c>
      <c r="D89" s="70">
        <v>1</v>
      </c>
      <c r="E89" s="95">
        <v>400</v>
      </c>
      <c r="F89" s="116">
        <f t="shared" si="1"/>
        <v>1.56E-3</v>
      </c>
      <c r="K89" s="105" t="s">
        <v>10</v>
      </c>
      <c r="L89" s="105"/>
      <c r="M89" s="105" t="s">
        <v>38</v>
      </c>
      <c r="N89" s="105">
        <v>1</v>
      </c>
      <c r="O89" s="108">
        <v>0.624</v>
      </c>
    </row>
    <row r="90" spans="1:15" x14ac:dyDescent="0.3">
      <c r="A90" s="71" t="s">
        <v>10</v>
      </c>
      <c r="B90" s="71" t="s">
        <v>38</v>
      </c>
      <c r="C90" s="114">
        <v>0.59351351351351345</v>
      </c>
      <c r="D90" s="71">
        <v>1</v>
      </c>
      <c r="E90" s="90">
        <v>370</v>
      </c>
      <c r="F90" s="116">
        <f t="shared" si="1"/>
        <v>1.6040905770635498E-3</v>
      </c>
      <c r="K90" s="106" t="s">
        <v>10</v>
      </c>
      <c r="L90" s="106"/>
      <c r="M90" s="106" t="s">
        <v>38</v>
      </c>
      <c r="N90" s="106">
        <v>1</v>
      </c>
      <c r="O90" s="107">
        <v>0.59351351351351345</v>
      </c>
    </row>
    <row r="91" spans="1:15" x14ac:dyDescent="0.3">
      <c r="A91" s="70" t="s">
        <v>10</v>
      </c>
      <c r="B91" s="70" t="s">
        <v>38</v>
      </c>
      <c r="C91" s="113">
        <v>0.64800000000000002</v>
      </c>
      <c r="D91" s="70">
        <v>1</v>
      </c>
      <c r="E91" s="95">
        <v>500</v>
      </c>
      <c r="F91" s="116">
        <f t="shared" si="1"/>
        <v>1.2960000000000001E-3</v>
      </c>
      <c r="K91" s="105" t="s">
        <v>10</v>
      </c>
      <c r="L91" s="105"/>
      <c r="M91" s="105" t="s">
        <v>38</v>
      </c>
      <c r="N91" s="105">
        <v>1</v>
      </c>
      <c r="O91" s="108">
        <v>0.64800000000000002</v>
      </c>
    </row>
    <row r="92" spans="1:15" x14ac:dyDescent="0.3">
      <c r="A92" s="71" t="s">
        <v>97</v>
      </c>
      <c r="B92" s="71" t="s">
        <v>38</v>
      </c>
      <c r="C92" s="114">
        <v>-0.20888888888888901</v>
      </c>
      <c r="D92" s="71">
        <v>0</v>
      </c>
      <c r="E92" s="90">
        <v>45</v>
      </c>
      <c r="F92" s="116">
        <f t="shared" si="1"/>
        <v>0</v>
      </c>
      <c r="K92" s="106" t="s">
        <v>97</v>
      </c>
      <c r="L92" s="106"/>
      <c r="M92" s="106" t="s">
        <v>38</v>
      </c>
      <c r="N92" s="106">
        <v>0</v>
      </c>
      <c r="O92" s="107">
        <v>-0.20888888888888901</v>
      </c>
    </row>
    <row r="93" spans="1:15" x14ac:dyDescent="0.3">
      <c r="A93" s="70" t="s">
        <v>97</v>
      </c>
      <c r="B93" s="70" t="s">
        <v>38</v>
      </c>
      <c r="C93" s="113">
        <v>0.58588235294117641</v>
      </c>
      <c r="D93" s="70">
        <v>0</v>
      </c>
      <c r="E93" s="95">
        <v>85</v>
      </c>
      <c r="F93" s="116">
        <f t="shared" si="1"/>
        <v>0</v>
      </c>
      <c r="K93" s="105" t="s">
        <v>97</v>
      </c>
      <c r="L93" s="105"/>
      <c r="M93" s="105" t="s">
        <v>38</v>
      </c>
      <c r="N93" s="105">
        <v>0</v>
      </c>
      <c r="O93" s="108">
        <v>0.58588235294117641</v>
      </c>
    </row>
    <row r="94" spans="1:15" x14ac:dyDescent="0.3">
      <c r="A94" s="71" t="s">
        <v>10</v>
      </c>
      <c r="B94" s="71" t="s">
        <v>38</v>
      </c>
      <c r="C94" s="114">
        <v>0.37777777777777777</v>
      </c>
      <c r="D94" s="71">
        <v>5</v>
      </c>
      <c r="E94" s="90">
        <v>180</v>
      </c>
      <c r="F94" s="116">
        <f t="shared" si="1"/>
        <v>1.0493827160493827E-2</v>
      </c>
      <c r="K94" s="106" t="s">
        <v>10</v>
      </c>
      <c r="L94" s="106"/>
      <c r="M94" s="106" t="s">
        <v>38</v>
      </c>
      <c r="N94" s="106">
        <v>5</v>
      </c>
      <c r="O94" s="107">
        <v>0.37777777777777777</v>
      </c>
    </row>
    <row r="95" spans="1:15" x14ac:dyDescent="0.3">
      <c r="A95" s="70" t="s">
        <v>10</v>
      </c>
      <c r="B95" s="70" t="s">
        <v>38</v>
      </c>
      <c r="C95" s="113">
        <v>0.70461538461538464</v>
      </c>
      <c r="D95" s="70">
        <v>5</v>
      </c>
      <c r="E95" s="95">
        <v>650</v>
      </c>
      <c r="F95" s="116">
        <f t="shared" si="1"/>
        <v>5.4201183431952663E-3</v>
      </c>
      <c r="K95" s="105" t="s">
        <v>10</v>
      </c>
      <c r="L95" s="105"/>
      <c r="M95" s="105" t="s">
        <v>38</v>
      </c>
      <c r="N95" s="105">
        <v>5</v>
      </c>
      <c r="O95" s="108">
        <v>0.70461538461538464</v>
      </c>
    </row>
    <row r="96" spans="1:15" x14ac:dyDescent="0.3">
      <c r="A96" s="71" t="s">
        <v>10</v>
      </c>
      <c r="B96" s="71" t="s">
        <v>38</v>
      </c>
      <c r="C96" s="114">
        <v>0.55862068965517242</v>
      </c>
      <c r="D96" s="71">
        <v>5</v>
      </c>
      <c r="E96" s="90">
        <v>290</v>
      </c>
      <c r="F96" s="116">
        <f t="shared" si="1"/>
        <v>9.6313912009512483E-3</v>
      </c>
      <c r="K96" s="106" t="s">
        <v>10</v>
      </c>
      <c r="L96" s="106"/>
      <c r="M96" s="106" t="s">
        <v>38</v>
      </c>
      <c r="N96" s="106">
        <v>5</v>
      </c>
      <c r="O96" s="107">
        <v>0.55862068965517242</v>
      </c>
    </row>
    <row r="97" spans="1:15" x14ac:dyDescent="0.3">
      <c r="A97" s="70" t="s">
        <v>10</v>
      </c>
      <c r="B97" s="70" t="s">
        <v>38</v>
      </c>
      <c r="C97" s="113">
        <v>0.73333333333333328</v>
      </c>
      <c r="D97" s="70">
        <v>58</v>
      </c>
      <c r="E97" s="95">
        <v>60</v>
      </c>
      <c r="F97" s="116">
        <f t="shared" si="1"/>
        <v>0.7088888888888889</v>
      </c>
      <c r="K97" s="105" t="s">
        <v>10</v>
      </c>
      <c r="L97" s="105"/>
      <c r="M97" s="105" t="s">
        <v>38</v>
      </c>
      <c r="N97" s="105">
        <v>58</v>
      </c>
      <c r="O97" s="108">
        <v>0.73333333333333328</v>
      </c>
    </row>
    <row r="98" spans="1:15" x14ac:dyDescent="0.3">
      <c r="A98" s="71" t="s">
        <v>10</v>
      </c>
      <c r="B98" s="71" t="s">
        <v>22</v>
      </c>
      <c r="C98" s="114">
        <v>0.55200000000000005</v>
      </c>
      <c r="D98" s="71">
        <v>23</v>
      </c>
      <c r="E98" s="90">
        <v>250</v>
      </c>
      <c r="F98" s="116">
        <f t="shared" si="1"/>
        <v>5.0784000000000003E-2</v>
      </c>
      <c r="K98" s="106" t="s">
        <v>10</v>
      </c>
      <c r="L98" s="106"/>
      <c r="M98" s="106" t="s">
        <v>22</v>
      </c>
      <c r="N98" s="106">
        <v>23</v>
      </c>
      <c r="O98" s="107">
        <v>0.55200000000000005</v>
      </c>
    </row>
    <row r="99" spans="1:15" x14ac:dyDescent="0.3">
      <c r="A99" s="70" t="s">
        <v>10</v>
      </c>
      <c r="B99" s="70" t="s">
        <v>33</v>
      </c>
      <c r="C99" s="113">
        <v>0.70285714285714285</v>
      </c>
      <c r="D99" s="70">
        <v>5</v>
      </c>
      <c r="E99" s="95">
        <v>700</v>
      </c>
      <c r="F99" s="116">
        <f t="shared" si="1"/>
        <v>5.0204081632653063E-3</v>
      </c>
      <c r="K99" s="105" t="s">
        <v>10</v>
      </c>
      <c r="L99" s="105"/>
      <c r="M99" s="105" t="s">
        <v>33</v>
      </c>
      <c r="N99" s="105">
        <v>5</v>
      </c>
      <c r="O99" s="108">
        <v>0.70285714285714285</v>
      </c>
    </row>
    <row r="100" spans="1:15" x14ac:dyDescent="0.3">
      <c r="A100" s="71" t="s">
        <v>10</v>
      </c>
      <c r="B100" s="71" t="s">
        <v>13</v>
      </c>
      <c r="C100" s="114">
        <v>0.78181818181818186</v>
      </c>
      <c r="D100" s="71">
        <v>5</v>
      </c>
      <c r="E100" s="90">
        <v>55</v>
      </c>
      <c r="F100" s="116">
        <f t="shared" si="1"/>
        <v>7.1074380165289261E-2</v>
      </c>
      <c r="K100" s="106" t="s">
        <v>10</v>
      </c>
      <c r="L100" s="106"/>
      <c r="M100" s="106" t="s">
        <v>13</v>
      </c>
      <c r="N100" s="106">
        <v>5</v>
      </c>
      <c r="O100" s="107">
        <v>0.78181818181818186</v>
      </c>
    </row>
    <row r="101" spans="1:15" x14ac:dyDescent="0.3">
      <c r="A101" s="70" t="s">
        <v>10</v>
      </c>
      <c r="B101" s="70" t="s">
        <v>13</v>
      </c>
      <c r="C101" s="113">
        <v>0.77272727272727271</v>
      </c>
      <c r="D101" s="70">
        <v>1</v>
      </c>
      <c r="E101" s="95">
        <v>66</v>
      </c>
      <c r="F101" s="116">
        <f t="shared" si="1"/>
        <v>1.1707988980716254E-2</v>
      </c>
      <c r="K101" s="105" t="s">
        <v>10</v>
      </c>
      <c r="L101" s="105"/>
      <c r="M101" s="105" t="s">
        <v>13</v>
      </c>
      <c r="N101" s="105">
        <v>1</v>
      </c>
      <c r="O101" s="108">
        <v>0.77272727272727271</v>
      </c>
    </row>
    <row r="102" spans="1:15" x14ac:dyDescent="0.3">
      <c r="A102" s="71" t="s">
        <v>10</v>
      </c>
      <c r="B102" s="71" t="s">
        <v>13</v>
      </c>
      <c r="C102" s="114">
        <v>0.47499999999999998</v>
      </c>
      <c r="D102" s="71">
        <v>21</v>
      </c>
      <c r="E102" s="90">
        <v>40</v>
      </c>
      <c r="F102" s="116">
        <f t="shared" si="1"/>
        <v>0.24937499999999999</v>
      </c>
      <c r="K102" s="106" t="s">
        <v>10</v>
      </c>
      <c r="L102" s="106"/>
      <c r="M102" s="106" t="s">
        <v>13</v>
      </c>
      <c r="N102" s="106">
        <v>21</v>
      </c>
      <c r="O102" s="107">
        <v>0.47499999999999998</v>
      </c>
    </row>
    <row r="103" spans="1:15" x14ac:dyDescent="0.3">
      <c r="A103" s="70" t="s">
        <v>10</v>
      </c>
      <c r="B103" s="70" t="s">
        <v>17</v>
      </c>
      <c r="C103" s="113">
        <v>0.37777777777777777</v>
      </c>
      <c r="D103" s="70">
        <v>89</v>
      </c>
      <c r="E103" s="95">
        <v>180</v>
      </c>
      <c r="F103" s="116">
        <f t="shared" si="1"/>
        <v>0.18679012345679011</v>
      </c>
      <c r="K103" s="105" t="s">
        <v>10</v>
      </c>
      <c r="L103" s="105"/>
      <c r="M103" s="105" t="s">
        <v>17</v>
      </c>
      <c r="N103" s="105">
        <v>89</v>
      </c>
      <c r="O103" s="108">
        <v>0.37777777777777777</v>
      </c>
    </row>
    <row r="104" spans="1:15" x14ac:dyDescent="0.3">
      <c r="A104" s="71" t="s">
        <v>10</v>
      </c>
      <c r="B104" s="71" t="s">
        <v>17</v>
      </c>
      <c r="C104" s="114">
        <v>0.57333333333333336</v>
      </c>
      <c r="D104" s="71">
        <v>5</v>
      </c>
      <c r="E104" s="90">
        <v>300</v>
      </c>
      <c r="F104" s="116">
        <f t="shared" si="1"/>
        <v>9.555555555555555E-3</v>
      </c>
      <c r="K104" s="106" t="s">
        <v>10</v>
      </c>
      <c r="L104" s="106"/>
      <c r="M104" s="106" t="s">
        <v>17</v>
      </c>
      <c r="N104" s="106">
        <v>5</v>
      </c>
      <c r="O104" s="107">
        <v>0.57333333333333336</v>
      </c>
    </row>
    <row r="105" spans="1:15" x14ac:dyDescent="0.3">
      <c r="A105" s="70" t="s">
        <v>10</v>
      </c>
      <c r="B105" s="70" t="s">
        <v>17</v>
      </c>
      <c r="C105" s="113">
        <v>0.59351351351351345</v>
      </c>
      <c r="D105" s="70">
        <v>1</v>
      </c>
      <c r="E105" s="95">
        <v>370</v>
      </c>
      <c r="F105" s="116">
        <f t="shared" si="1"/>
        <v>1.6040905770635498E-3</v>
      </c>
      <c r="K105" s="105" t="s">
        <v>10</v>
      </c>
      <c r="L105" s="105"/>
      <c r="M105" s="105" t="s">
        <v>17</v>
      </c>
      <c r="N105" s="105">
        <v>1</v>
      </c>
      <c r="O105" s="108">
        <v>0.59351351351351345</v>
      </c>
    </row>
    <row r="106" spans="1:15" x14ac:dyDescent="0.3">
      <c r="A106" s="71" t="s">
        <v>10</v>
      </c>
      <c r="B106" s="71" t="s">
        <v>17</v>
      </c>
      <c r="C106" s="114">
        <v>0.64800000000000002</v>
      </c>
      <c r="D106" s="71">
        <v>1</v>
      </c>
      <c r="E106" s="90">
        <v>500</v>
      </c>
      <c r="F106" s="116">
        <f t="shared" si="1"/>
        <v>1.2960000000000001E-3</v>
      </c>
      <c r="K106" s="106" t="s">
        <v>10</v>
      </c>
      <c r="L106" s="106"/>
      <c r="M106" s="106" t="s">
        <v>17</v>
      </c>
      <c r="N106" s="106">
        <v>1</v>
      </c>
      <c r="O106" s="107">
        <v>0.64800000000000002</v>
      </c>
    </row>
    <row r="107" spans="1:15" x14ac:dyDescent="0.3">
      <c r="A107" s="70" t="s">
        <v>10</v>
      </c>
      <c r="B107" s="70" t="s">
        <v>17</v>
      </c>
      <c r="C107" s="113">
        <v>0.81333333333333324</v>
      </c>
      <c r="D107" s="70">
        <v>3</v>
      </c>
      <c r="E107" s="95">
        <v>60</v>
      </c>
      <c r="F107" s="116">
        <f t="shared" si="1"/>
        <v>4.0666666666666657E-2</v>
      </c>
      <c r="K107" s="105" t="s">
        <v>10</v>
      </c>
      <c r="L107" s="105"/>
      <c r="M107" s="105" t="s">
        <v>17</v>
      </c>
      <c r="N107" s="105">
        <v>3</v>
      </c>
      <c r="O107" s="108">
        <v>0.81333333333333324</v>
      </c>
    </row>
    <row r="108" spans="1:15" x14ac:dyDescent="0.3">
      <c r="A108" s="71" t="s">
        <v>10</v>
      </c>
      <c r="B108" s="71" t="s">
        <v>17</v>
      </c>
      <c r="C108" s="114">
        <v>0.70461538461538464</v>
      </c>
      <c r="D108" s="71">
        <v>3</v>
      </c>
      <c r="E108" s="90">
        <v>650</v>
      </c>
      <c r="F108" s="116">
        <f t="shared" si="1"/>
        <v>3.25207100591716E-3</v>
      </c>
      <c r="K108" s="106" t="s">
        <v>10</v>
      </c>
      <c r="L108" s="106"/>
      <c r="M108" s="106" t="s">
        <v>17</v>
      </c>
      <c r="N108" s="106">
        <v>3</v>
      </c>
      <c r="O108" s="107">
        <v>0.70461538461538464</v>
      </c>
    </row>
    <row r="109" spans="1:15" x14ac:dyDescent="0.3">
      <c r="A109" s="70" t="s">
        <v>10</v>
      </c>
      <c r="B109" s="70" t="s">
        <v>17</v>
      </c>
      <c r="C109" s="113">
        <v>0.77846153846153854</v>
      </c>
      <c r="D109" s="70">
        <v>5</v>
      </c>
      <c r="E109" s="95">
        <v>65</v>
      </c>
      <c r="F109" s="116">
        <f t="shared" si="1"/>
        <v>5.9881656804733736E-2</v>
      </c>
      <c r="K109" s="105" t="s">
        <v>10</v>
      </c>
      <c r="L109" s="105"/>
      <c r="M109" s="105" t="s">
        <v>17</v>
      </c>
      <c r="N109" s="105">
        <v>5</v>
      </c>
      <c r="O109" s="108">
        <v>0.77846153846153854</v>
      </c>
    </row>
    <row r="110" spans="1:15" x14ac:dyDescent="0.3">
      <c r="A110" s="71" t="s">
        <v>10</v>
      </c>
      <c r="B110" s="71" t="s">
        <v>17</v>
      </c>
      <c r="C110" s="114">
        <v>0.69882352941176473</v>
      </c>
      <c r="D110" s="71">
        <v>5</v>
      </c>
      <c r="E110" s="90">
        <v>85</v>
      </c>
      <c r="F110" s="116">
        <f t="shared" si="1"/>
        <v>4.110726643598616E-2</v>
      </c>
      <c r="K110" s="106" t="s">
        <v>10</v>
      </c>
      <c r="L110" s="106"/>
      <c r="M110" s="106" t="s">
        <v>17</v>
      </c>
      <c r="N110" s="106">
        <v>5</v>
      </c>
      <c r="O110" s="107">
        <v>0.69882352941176473</v>
      </c>
    </row>
    <row r="111" spans="1:15" x14ac:dyDescent="0.3">
      <c r="A111" s="70" t="s">
        <v>10</v>
      </c>
      <c r="B111" s="70" t="s">
        <v>17</v>
      </c>
      <c r="C111" s="113">
        <v>0.624</v>
      </c>
      <c r="D111" s="70">
        <v>5</v>
      </c>
      <c r="E111" s="95">
        <v>400</v>
      </c>
      <c r="F111" s="116">
        <f t="shared" si="1"/>
        <v>7.8000000000000005E-3</v>
      </c>
      <c r="K111" s="105" t="s">
        <v>10</v>
      </c>
      <c r="L111" s="105"/>
      <c r="M111" s="105" t="s">
        <v>17</v>
      </c>
      <c r="N111" s="105">
        <v>5</v>
      </c>
      <c r="O111" s="108">
        <v>0.624</v>
      </c>
    </row>
    <row r="112" spans="1:15" x14ac:dyDescent="0.3">
      <c r="A112" s="71" t="s">
        <v>10</v>
      </c>
      <c r="B112" s="71" t="s">
        <v>17</v>
      </c>
      <c r="C112" s="114">
        <v>0.55862068965517242</v>
      </c>
      <c r="D112" s="71">
        <v>5</v>
      </c>
      <c r="E112" s="90">
        <v>290</v>
      </c>
      <c r="F112" s="116">
        <f t="shared" si="1"/>
        <v>9.6313912009512483E-3</v>
      </c>
      <c r="K112" s="106" t="s">
        <v>10</v>
      </c>
      <c r="L112" s="106"/>
      <c r="M112" s="106" t="s">
        <v>17</v>
      </c>
      <c r="N112" s="106">
        <v>5</v>
      </c>
      <c r="O112" s="107">
        <v>0.55862068965517242</v>
      </c>
    </row>
    <row r="113" spans="1:15" x14ac:dyDescent="0.3">
      <c r="A113" s="70" t="s">
        <v>10</v>
      </c>
      <c r="B113" s="70" t="s">
        <v>17</v>
      </c>
      <c r="C113" s="113">
        <v>0.77931034482758621</v>
      </c>
      <c r="D113" s="70">
        <v>23</v>
      </c>
      <c r="E113" s="95">
        <v>145</v>
      </c>
      <c r="F113" s="116">
        <f t="shared" si="1"/>
        <v>0.12361474435196196</v>
      </c>
      <c r="K113" s="105" t="s">
        <v>10</v>
      </c>
      <c r="L113" s="105"/>
      <c r="M113" s="105" t="s">
        <v>17</v>
      </c>
      <c r="N113" s="105">
        <v>23</v>
      </c>
      <c r="O113" s="108">
        <v>0.77931034482758621</v>
      </c>
    </row>
    <row r="114" spans="1:15" x14ac:dyDescent="0.3">
      <c r="A114" s="71" t="s">
        <v>10</v>
      </c>
      <c r="B114" s="71" t="s">
        <v>17</v>
      </c>
      <c r="C114" s="114">
        <v>0.8222222222222223</v>
      </c>
      <c r="D114" s="71">
        <v>23</v>
      </c>
      <c r="E114" s="90">
        <v>99</v>
      </c>
      <c r="F114" s="116">
        <f t="shared" si="1"/>
        <v>0.19102132435465768</v>
      </c>
      <c r="K114" s="106" t="s">
        <v>10</v>
      </c>
      <c r="L114" s="106"/>
      <c r="M114" s="106" t="s">
        <v>17</v>
      </c>
      <c r="N114" s="106">
        <v>23</v>
      </c>
      <c r="O114" s="107">
        <v>0.8222222222222223</v>
      </c>
    </row>
    <row r="115" spans="1:15" x14ac:dyDescent="0.3">
      <c r="A115" s="70" t="s">
        <v>10</v>
      </c>
      <c r="B115" s="70" t="s">
        <v>17</v>
      </c>
      <c r="C115" s="113">
        <v>0.75111111111111106</v>
      </c>
      <c r="D115" s="70">
        <v>25</v>
      </c>
      <c r="E115" s="95">
        <v>90</v>
      </c>
      <c r="F115" s="116">
        <f t="shared" si="1"/>
        <v>0.20864197530864195</v>
      </c>
      <c r="K115" s="105" t="s">
        <v>10</v>
      </c>
      <c r="L115" s="105"/>
      <c r="M115" s="105" t="s">
        <v>17</v>
      </c>
      <c r="N115" s="105">
        <v>25</v>
      </c>
      <c r="O115" s="108">
        <v>0.75111111111111106</v>
      </c>
    </row>
    <row r="116" spans="1:15" x14ac:dyDescent="0.3">
      <c r="A116" s="71" t="s">
        <v>10</v>
      </c>
      <c r="B116" s="71" t="s">
        <v>17</v>
      </c>
      <c r="C116" s="114">
        <v>0.65490196078431373</v>
      </c>
      <c r="D116" s="71">
        <v>48</v>
      </c>
      <c r="E116" s="90">
        <v>510</v>
      </c>
      <c r="F116" s="116">
        <f t="shared" si="1"/>
        <v>6.1637831603229533E-2</v>
      </c>
      <c r="K116" s="106" t="s">
        <v>10</v>
      </c>
      <c r="L116" s="106"/>
      <c r="M116" s="106" t="s">
        <v>17</v>
      </c>
      <c r="N116" s="106">
        <v>48</v>
      </c>
      <c r="O116" s="107">
        <v>0.65490196078431373</v>
      </c>
    </row>
    <row r="117" spans="1:15" x14ac:dyDescent="0.3">
      <c r="A117" s="70" t="s">
        <v>10</v>
      </c>
      <c r="B117" s="70" t="s">
        <v>17</v>
      </c>
      <c r="C117" s="113">
        <v>0.70666666666666667</v>
      </c>
      <c r="D117" s="70">
        <v>49</v>
      </c>
      <c r="E117" s="95">
        <v>600</v>
      </c>
      <c r="F117" s="116">
        <f t="shared" si="1"/>
        <v>5.7711111111111109E-2</v>
      </c>
      <c r="K117" s="105" t="s">
        <v>10</v>
      </c>
      <c r="L117" s="105"/>
      <c r="M117" s="105" t="s">
        <v>17</v>
      </c>
      <c r="N117" s="105">
        <v>49</v>
      </c>
      <c r="O117" s="108">
        <v>0.70666666666666667</v>
      </c>
    </row>
    <row r="118" spans="1:15" x14ac:dyDescent="0.3">
      <c r="A118" s="71" t="s">
        <v>10</v>
      </c>
      <c r="B118" s="71" t="s">
        <v>17</v>
      </c>
      <c r="C118" s="114">
        <v>0.82769230769230762</v>
      </c>
      <c r="D118" s="71">
        <v>35</v>
      </c>
      <c r="E118" s="90">
        <v>65</v>
      </c>
      <c r="F118" s="116">
        <f t="shared" si="1"/>
        <v>0.44568047337278099</v>
      </c>
      <c r="K118" s="106" t="s">
        <v>10</v>
      </c>
      <c r="L118" s="106"/>
      <c r="M118" s="106" t="s">
        <v>17</v>
      </c>
      <c r="N118" s="106">
        <v>35</v>
      </c>
      <c r="O118" s="107">
        <v>0.82769230769230762</v>
      </c>
    </row>
    <row r="119" spans="1:15" x14ac:dyDescent="0.3">
      <c r="A119" s="70" t="s">
        <v>10</v>
      </c>
      <c r="B119" s="70" t="s">
        <v>17</v>
      </c>
      <c r="C119" s="113">
        <v>0.8147368421052632</v>
      </c>
      <c r="D119" s="70">
        <v>35</v>
      </c>
      <c r="E119" s="95">
        <v>95</v>
      </c>
      <c r="F119" s="116">
        <f t="shared" si="1"/>
        <v>0.3001662049861496</v>
      </c>
      <c r="K119" s="105" t="s">
        <v>10</v>
      </c>
      <c r="L119" s="105"/>
      <c r="M119" s="105" t="s">
        <v>17</v>
      </c>
      <c r="N119" s="105">
        <v>35</v>
      </c>
      <c r="O119" s="108">
        <v>0.8147368421052632</v>
      </c>
    </row>
    <row r="120" spans="1:15" x14ac:dyDescent="0.3">
      <c r="A120" s="71" t="s">
        <v>10</v>
      </c>
      <c r="B120" s="71" t="s">
        <v>17</v>
      </c>
      <c r="C120" s="114">
        <v>0.67999999999999994</v>
      </c>
      <c r="D120" s="71">
        <v>58</v>
      </c>
      <c r="E120" s="90">
        <v>80</v>
      </c>
      <c r="F120" s="116">
        <f t="shared" si="1"/>
        <v>0.49299999999999999</v>
      </c>
      <c r="K120" s="106" t="s">
        <v>10</v>
      </c>
      <c r="L120" s="106"/>
      <c r="M120" s="106" t="s">
        <v>17</v>
      </c>
      <c r="N120" s="106">
        <v>58</v>
      </c>
      <c r="O120" s="107">
        <v>0.67999999999999994</v>
      </c>
    </row>
    <row r="121" spans="1:15" x14ac:dyDescent="0.3">
      <c r="A121" s="70" t="s">
        <v>10</v>
      </c>
      <c r="B121" s="70" t="s">
        <v>17</v>
      </c>
      <c r="C121" s="113">
        <v>0.2</v>
      </c>
      <c r="D121" s="70">
        <v>208</v>
      </c>
      <c r="E121" s="95">
        <v>120</v>
      </c>
      <c r="F121" s="116">
        <f t="shared" si="1"/>
        <v>0.34666666666666668</v>
      </c>
      <c r="K121" s="105" t="s">
        <v>10</v>
      </c>
      <c r="L121" s="105"/>
      <c r="M121" s="105" t="s">
        <v>17</v>
      </c>
      <c r="N121" s="105">
        <v>208</v>
      </c>
      <c r="O121" s="108">
        <v>0.2</v>
      </c>
    </row>
    <row r="122" spans="1:15" x14ac:dyDescent="0.3">
      <c r="A122" s="71" t="s">
        <v>10</v>
      </c>
      <c r="B122" s="71" t="s">
        <v>17</v>
      </c>
      <c r="C122" s="114">
        <v>0.70285714285714285</v>
      </c>
      <c r="D122" s="71">
        <v>81</v>
      </c>
      <c r="E122" s="90">
        <v>700</v>
      </c>
      <c r="F122" s="116">
        <f t="shared" si="1"/>
        <v>8.133061224489796E-2</v>
      </c>
      <c r="K122" s="106" t="s">
        <v>10</v>
      </c>
      <c r="L122" s="106"/>
      <c r="M122" s="106" t="s">
        <v>17</v>
      </c>
      <c r="N122" s="106">
        <v>81</v>
      </c>
      <c r="O122" s="107">
        <v>0.70285714285714285</v>
      </c>
    </row>
    <row r="123" spans="1:15" x14ac:dyDescent="0.3">
      <c r="A123" s="70" t="s">
        <v>10</v>
      </c>
      <c r="B123" s="70" t="s">
        <v>17</v>
      </c>
      <c r="C123" s="113">
        <v>0.67919799498746869</v>
      </c>
      <c r="D123" s="70">
        <v>100</v>
      </c>
      <c r="E123" s="95">
        <v>399</v>
      </c>
      <c r="F123" s="116">
        <f t="shared" si="1"/>
        <v>0.17022506140036808</v>
      </c>
      <c r="K123" s="105" t="s">
        <v>10</v>
      </c>
      <c r="L123" s="105"/>
      <c r="M123" s="105" t="s">
        <v>17</v>
      </c>
      <c r="N123" s="105">
        <v>100</v>
      </c>
      <c r="O123" s="108">
        <v>0.67919799498746869</v>
      </c>
    </row>
    <row r="124" spans="1:15" x14ac:dyDescent="0.3">
      <c r="A124" s="71" t="s">
        <v>10</v>
      </c>
      <c r="B124" s="71" t="s">
        <v>17</v>
      </c>
      <c r="C124" s="114">
        <v>0.8</v>
      </c>
      <c r="D124" s="71">
        <v>55</v>
      </c>
      <c r="E124" s="90">
        <v>160</v>
      </c>
      <c r="F124" s="116">
        <f t="shared" si="1"/>
        <v>0.27500000000000002</v>
      </c>
      <c r="K124" s="106" t="s">
        <v>10</v>
      </c>
      <c r="L124" s="106"/>
      <c r="M124" s="106" t="s">
        <v>17</v>
      </c>
      <c r="N124" s="106">
        <v>55</v>
      </c>
      <c r="O124" s="107">
        <v>0.8</v>
      </c>
    </row>
    <row r="125" spans="1:15" x14ac:dyDescent="0.3">
      <c r="A125" s="70" t="s">
        <v>10</v>
      </c>
      <c r="B125" s="70" t="s">
        <v>17</v>
      </c>
      <c r="C125" s="113">
        <v>0.55200000000000005</v>
      </c>
      <c r="D125" s="70">
        <v>131</v>
      </c>
      <c r="E125" s="95">
        <v>250</v>
      </c>
      <c r="F125" s="116">
        <f t="shared" si="1"/>
        <v>0.28924800000000006</v>
      </c>
      <c r="K125" s="105" t="s">
        <v>10</v>
      </c>
      <c r="L125" s="105"/>
      <c r="M125" s="105" t="s">
        <v>17</v>
      </c>
      <c r="N125" s="105">
        <v>131</v>
      </c>
      <c r="O125" s="108">
        <v>0.55200000000000005</v>
      </c>
    </row>
    <row r="126" spans="1:15" x14ac:dyDescent="0.3">
      <c r="A126" s="71" t="s">
        <v>10</v>
      </c>
      <c r="B126" s="71" t="s">
        <v>17</v>
      </c>
      <c r="C126" s="114">
        <v>0.65090909090909088</v>
      </c>
      <c r="D126" s="71">
        <v>665</v>
      </c>
      <c r="E126" s="90">
        <v>55</v>
      </c>
      <c r="F126" s="116">
        <f t="shared" si="1"/>
        <v>7.8700826446280985</v>
      </c>
      <c r="K126" s="106" t="s">
        <v>10</v>
      </c>
      <c r="L126" s="106"/>
      <c r="M126" s="106" t="s">
        <v>17</v>
      </c>
      <c r="N126" s="106">
        <v>665</v>
      </c>
      <c r="O126" s="107">
        <v>0.65090909090909088</v>
      </c>
    </row>
    <row r="127" spans="1:15" x14ac:dyDescent="0.3">
      <c r="A127" s="70" t="s">
        <v>10</v>
      </c>
      <c r="B127" s="70" t="s">
        <v>14</v>
      </c>
      <c r="C127" s="113">
        <v>0.52</v>
      </c>
      <c r="D127" s="70">
        <v>5</v>
      </c>
      <c r="E127" s="95">
        <v>250</v>
      </c>
      <c r="F127" s="116">
        <f t="shared" si="1"/>
        <v>1.04E-2</v>
      </c>
      <c r="K127" s="105" t="s">
        <v>10</v>
      </c>
      <c r="L127" s="105"/>
      <c r="M127" s="105" t="s">
        <v>14</v>
      </c>
      <c r="N127" s="105">
        <v>5</v>
      </c>
      <c r="O127" s="108">
        <v>0.52</v>
      </c>
    </row>
    <row r="128" spans="1:15" x14ac:dyDescent="0.3">
      <c r="A128" s="71" t="s">
        <v>10</v>
      </c>
      <c r="B128" s="71" t="s">
        <v>14</v>
      </c>
      <c r="C128" s="114">
        <v>0.69387755102040816</v>
      </c>
      <c r="D128" s="71">
        <v>1</v>
      </c>
      <c r="E128" s="90">
        <v>49</v>
      </c>
      <c r="F128" s="116">
        <f t="shared" si="1"/>
        <v>1.4160766347355268E-2</v>
      </c>
      <c r="K128" s="106" t="s">
        <v>10</v>
      </c>
      <c r="L128" s="106"/>
      <c r="M128" s="106" t="s">
        <v>14</v>
      </c>
      <c r="N128" s="106">
        <v>1</v>
      </c>
      <c r="O128" s="107">
        <v>0.69387755102040816</v>
      </c>
    </row>
    <row r="129" spans="1:15" x14ac:dyDescent="0.3">
      <c r="A129" s="70" t="s">
        <v>10</v>
      </c>
      <c r="B129" s="70" t="s">
        <v>14</v>
      </c>
      <c r="C129" s="113">
        <v>0.53846153846153844</v>
      </c>
      <c r="D129" s="70">
        <v>1</v>
      </c>
      <c r="E129" s="95">
        <v>260</v>
      </c>
      <c r="F129" s="116">
        <f t="shared" si="1"/>
        <v>2.0710059171597634E-3</v>
      </c>
      <c r="K129" s="105" t="s">
        <v>10</v>
      </c>
      <c r="L129" s="105"/>
      <c r="M129" s="105" t="s">
        <v>14</v>
      </c>
      <c r="N129" s="105">
        <v>1</v>
      </c>
      <c r="O129" s="108">
        <v>0.53846153846153844</v>
      </c>
    </row>
    <row r="130" spans="1:15" x14ac:dyDescent="0.3">
      <c r="A130" s="71" t="s">
        <v>10</v>
      </c>
      <c r="B130" s="71" t="s">
        <v>14</v>
      </c>
      <c r="C130" s="114">
        <v>0.78181818181818186</v>
      </c>
      <c r="D130" s="71">
        <v>5</v>
      </c>
      <c r="E130" s="90">
        <v>55</v>
      </c>
      <c r="F130" s="116">
        <f t="shared" si="1"/>
        <v>7.1074380165289261E-2</v>
      </c>
      <c r="K130" s="106" t="s">
        <v>10</v>
      </c>
      <c r="L130" s="106"/>
      <c r="M130" s="106" t="s">
        <v>14</v>
      </c>
      <c r="N130" s="106">
        <v>5</v>
      </c>
      <c r="O130" s="107">
        <v>0.78181818181818186</v>
      </c>
    </row>
    <row r="131" spans="1:15" x14ac:dyDescent="0.3">
      <c r="A131" s="70" t="s">
        <v>10</v>
      </c>
      <c r="B131" s="70" t="s">
        <v>14</v>
      </c>
      <c r="C131" s="113">
        <v>0.25</v>
      </c>
      <c r="D131" s="70">
        <v>5</v>
      </c>
      <c r="E131" s="95">
        <v>120</v>
      </c>
      <c r="F131" s="116">
        <f t="shared" ref="F131:F194" si="2">(D131*C131)/E131</f>
        <v>1.0416666666666666E-2</v>
      </c>
      <c r="K131" s="105" t="s">
        <v>10</v>
      </c>
      <c r="L131" s="105"/>
      <c r="M131" s="105" t="s">
        <v>14</v>
      </c>
      <c r="N131" s="105">
        <v>5</v>
      </c>
      <c r="O131" s="108">
        <v>0.25</v>
      </c>
    </row>
    <row r="132" spans="1:15" x14ac:dyDescent="0.3">
      <c r="A132" s="71" t="s">
        <v>10</v>
      </c>
      <c r="B132" s="71" t="s">
        <v>14</v>
      </c>
      <c r="C132" s="114">
        <v>0.7857142857142857</v>
      </c>
      <c r="D132" s="71">
        <v>28</v>
      </c>
      <c r="E132" s="90">
        <v>70</v>
      </c>
      <c r="F132" s="116">
        <f t="shared" si="2"/>
        <v>0.31428571428571428</v>
      </c>
      <c r="K132" s="106" t="s">
        <v>10</v>
      </c>
      <c r="L132" s="106"/>
      <c r="M132" s="106" t="s">
        <v>14</v>
      </c>
      <c r="N132" s="106">
        <v>28</v>
      </c>
      <c r="O132" s="107">
        <v>0.7857142857142857</v>
      </c>
    </row>
    <row r="133" spans="1:15" x14ac:dyDescent="0.3">
      <c r="A133" s="70" t="s">
        <v>10</v>
      </c>
      <c r="B133" s="70" t="s">
        <v>14</v>
      </c>
      <c r="C133" s="113">
        <v>0.47499999999999998</v>
      </c>
      <c r="D133" s="70">
        <v>181</v>
      </c>
      <c r="E133" s="95">
        <v>40</v>
      </c>
      <c r="F133" s="116">
        <f t="shared" si="2"/>
        <v>2.149375</v>
      </c>
      <c r="K133" s="105" t="s">
        <v>10</v>
      </c>
      <c r="L133" s="105"/>
      <c r="M133" s="105" t="s">
        <v>14</v>
      </c>
      <c r="N133" s="105">
        <v>181</v>
      </c>
      <c r="O133" s="108">
        <v>0.47499999999999998</v>
      </c>
    </row>
    <row r="134" spans="1:15" x14ac:dyDescent="0.3">
      <c r="A134" s="71" t="s">
        <v>10</v>
      </c>
      <c r="B134" s="71" t="s">
        <v>12</v>
      </c>
      <c r="C134" s="114">
        <v>0.52</v>
      </c>
      <c r="D134" s="71">
        <v>1</v>
      </c>
      <c r="E134" s="90">
        <v>250</v>
      </c>
      <c r="F134" s="116">
        <f t="shared" si="2"/>
        <v>2.0800000000000003E-3</v>
      </c>
      <c r="K134" s="106" t="s">
        <v>10</v>
      </c>
      <c r="L134" s="106"/>
      <c r="M134" s="106" t="s">
        <v>12</v>
      </c>
      <c r="N134" s="106">
        <v>1</v>
      </c>
      <c r="O134" s="107">
        <v>0.52</v>
      </c>
    </row>
    <row r="135" spans="1:15" x14ac:dyDescent="0.3">
      <c r="A135" s="70" t="s">
        <v>10</v>
      </c>
      <c r="B135" s="70" t="s">
        <v>12</v>
      </c>
      <c r="C135" s="113">
        <v>0.58529411764705885</v>
      </c>
      <c r="D135" s="70">
        <v>1</v>
      </c>
      <c r="E135" s="95">
        <v>340</v>
      </c>
      <c r="F135" s="116">
        <f t="shared" si="2"/>
        <v>1.7214532871972319E-3</v>
      </c>
      <c r="K135" s="105" t="s">
        <v>10</v>
      </c>
      <c r="L135" s="105"/>
      <c r="M135" s="105" t="s">
        <v>12</v>
      </c>
      <c r="N135" s="105">
        <v>1</v>
      </c>
      <c r="O135" s="108">
        <v>0.58529411764705885</v>
      </c>
    </row>
    <row r="136" spans="1:15" x14ac:dyDescent="0.3">
      <c r="A136" s="71" t="s">
        <v>10</v>
      </c>
      <c r="B136" s="71" t="s">
        <v>12</v>
      </c>
      <c r="C136" s="114">
        <v>0.64893617021276595</v>
      </c>
      <c r="D136" s="71">
        <v>2</v>
      </c>
      <c r="E136" s="90">
        <v>470</v>
      </c>
      <c r="F136" s="116">
        <f t="shared" si="2"/>
        <v>2.7614305115436851E-3</v>
      </c>
      <c r="K136" s="106" t="s">
        <v>10</v>
      </c>
      <c r="L136" s="106"/>
      <c r="M136" s="106" t="s">
        <v>12</v>
      </c>
      <c r="N136" s="106">
        <v>2</v>
      </c>
      <c r="O136" s="107">
        <v>0.64893617021276595</v>
      </c>
    </row>
    <row r="137" spans="1:15" x14ac:dyDescent="0.3">
      <c r="A137" s="70" t="s">
        <v>10</v>
      </c>
      <c r="B137" s="70" t="s">
        <v>12</v>
      </c>
      <c r="C137" s="113">
        <v>0.74285714285714288</v>
      </c>
      <c r="D137" s="70">
        <v>3</v>
      </c>
      <c r="E137" s="95">
        <v>70</v>
      </c>
      <c r="F137" s="116">
        <f t="shared" si="2"/>
        <v>3.1836734693877551E-2</v>
      </c>
      <c r="K137" s="105" t="s">
        <v>10</v>
      </c>
      <c r="L137" s="105"/>
      <c r="M137" s="105" t="s">
        <v>12</v>
      </c>
      <c r="N137" s="105">
        <v>3</v>
      </c>
      <c r="O137" s="108">
        <v>0.74285714285714288</v>
      </c>
    </row>
    <row r="138" spans="1:15" x14ac:dyDescent="0.3">
      <c r="A138" s="71" t="s">
        <v>10</v>
      </c>
      <c r="B138" s="71" t="s">
        <v>12</v>
      </c>
      <c r="C138" s="114">
        <v>0.61891891891891893</v>
      </c>
      <c r="D138" s="71">
        <v>3</v>
      </c>
      <c r="E138" s="90">
        <v>370</v>
      </c>
      <c r="F138" s="116">
        <f t="shared" si="2"/>
        <v>5.0182615047479912E-3</v>
      </c>
      <c r="K138" s="106" t="s">
        <v>10</v>
      </c>
      <c r="L138" s="106"/>
      <c r="M138" s="106" t="s">
        <v>12</v>
      </c>
      <c r="N138" s="106">
        <v>3</v>
      </c>
      <c r="O138" s="107">
        <v>0.61891891891891893</v>
      </c>
    </row>
    <row r="139" spans="1:15" x14ac:dyDescent="0.3">
      <c r="A139" s="70" t="s">
        <v>10</v>
      </c>
      <c r="B139" s="70" t="s">
        <v>12</v>
      </c>
      <c r="C139" s="113">
        <v>0.79</v>
      </c>
      <c r="D139" s="70">
        <v>5</v>
      </c>
      <c r="E139" s="95">
        <v>50</v>
      </c>
      <c r="F139" s="116">
        <f t="shared" si="2"/>
        <v>7.9000000000000001E-2</v>
      </c>
      <c r="K139" s="105" t="s">
        <v>10</v>
      </c>
      <c r="L139" s="105"/>
      <c r="M139" s="105" t="s">
        <v>12</v>
      </c>
      <c r="N139" s="105">
        <v>5</v>
      </c>
      <c r="O139" s="108">
        <v>0.79</v>
      </c>
    </row>
    <row r="140" spans="1:15" x14ac:dyDescent="0.3">
      <c r="A140" s="71" t="s">
        <v>10</v>
      </c>
      <c r="B140" s="71" t="s">
        <v>12</v>
      </c>
      <c r="C140" s="114">
        <v>0.7931034482758621</v>
      </c>
      <c r="D140" s="71">
        <v>10</v>
      </c>
      <c r="E140" s="90">
        <v>145</v>
      </c>
      <c r="F140" s="116">
        <f t="shared" si="2"/>
        <v>5.4696789536266353E-2</v>
      </c>
      <c r="K140" s="106" t="s">
        <v>10</v>
      </c>
      <c r="L140" s="106"/>
      <c r="M140" s="106" t="s">
        <v>12</v>
      </c>
      <c r="N140" s="106">
        <v>10</v>
      </c>
      <c r="O140" s="107">
        <v>0.7931034482758621</v>
      </c>
    </row>
    <row r="141" spans="1:15" x14ac:dyDescent="0.3">
      <c r="A141" s="70" t="s">
        <v>10</v>
      </c>
      <c r="B141" s="70" t="s">
        <v>12</v>
      </c>
      <c r="C141" s="113">
        <v>0.80588235294117649</v>
      </c>
      <c r="D141" s="70">
        <v>10</v>
      </c>
      <c r="E141" s="95">
        <v>85</v>
      </c>
      <c r="F141" s="116">
        <f t="shared" si="2"/>
        <v>9.4809688581314874E-2</v>
      </c>
      <c r="K141" s="105" t="s">
        <v>10</v>
      </c>
      <c r="L141" s="105"/>
      <c r="M141" s="105" t="s">
        <v>12</v>
      </c>
      <c r="N141" s="105">
        <v>10</v>
      </c>
      <c r="O141" s="108">
        <v>0.80588235294117649</v>
      </c>
    </row>
    <row r="142" spans="1:15" x14ac:dyDescent="0.3">
      <c r="A142" s="71" t="s">
        <v>10</v>
      </c>
      <c r="B142" s="71" t="s">
        <v>12</v>
      </c>
      <c r="C142" s="114">
        <v>0.69439728353140917</v>
      </c>
      <c r="D142" s="71">
        <v>10</v>
      </c>
      <c r="E142" s="90">
        <v>589</v>
      </c>
      <c r="F142" s="116">
        <f t="shared" si="2"/>
        <v>1.1789427564200495E-2</v>
      </c>
      <c r="K142" s="106" t="s">
        <v>10</v>
      </c>
      <c r="L142" s="106"/>
      <c r="M142" s="106" t="s">
        <v>12</v>
      </c>
      <c r="N142" s="106">
        <v>10</v>
      </c>
      <c r="O142" s="107">
        <v>0.69439728353140917</v>
      </c>
    </row>
    <row r="143" spans="1:15" x14ac:dyDescent="0.3">
      <c r="A143" s="70" t="s">
        <v>10</v>
      </c>
      <c r="B143" s="70" t="s">
        <v>12</v>
      </c>
      <c r="C143" s="113">
        <v>0.76666666666666672</v>
      </c>
      <c r="D143" s="70">
        <v>24</v>
      </c>
      <c r="E143" s="95">
        <v>45</v>
      </c>
      <c r="F143" s="116">
        <f t="shared" si="2"/>
        <v>0.40888888888888891</v>
      </c>
      <c r="K143" s="105" t="s">
        <v>10</v>
      </c>
      <c r="L143" s="105"/>
      <c r="M143" s="105" t="s">
        <v>12</v>
      </c>
      <c r="N143" s="105">
        <v>24</v>
      </c>
      <c r="O143" s="108">
        <v>0.76666666666666672</v>
      </c>
    </row>
    <row r="144" spans="1:15" x14ac:dyDescent="0.3">
      <c r="A144" s="71" t="s">
        <v>10</v>
      </c>
      <c r="B144" s="71" t="s">
        <v>12</v>
      </c>
      <c r="C144" s="114">
        <v>0.58750000000000002</v>
      </c>
      <c r="D144" s="71">
        <v>270</v>
      </c>
      <c r="E144" s="90">
        <v>400</v>
      </c>
      <c r="F144" s="116">
        <f t="shared" si="2"/>
        <v>0.39656249999999998</v>
      </c>
      <c r="K144" s="106" t="s">
        <v>10</v>
      </c>
      <c r="L144" s="106"/>
      <c r="M144" s="106" t="s">
        <v>12</v>
      </c>
      <c r="N144" s="106">
        <v>270</v>
      </c>
      <c r="O144" s="107">
        <v>0.58750000000000002</v>
      </c>
    </row>
    <row r="145" spans="1:15" x14ac:dyDescent="0.3">
      <c r="A145" s="70" t="s">
        <v>10</v>
      </c>
      <c r="B145" s="70" t="s">
        <v>12</v>
      </c>
      <c r="C145" s="113">
        <v>0.73</v>
      </c>
      <c r="D145" s="70">
        <v>208</v>
      </c>
      <c r="E145" s="95">
        <v>50</v>
      </c>
      <c r="F145" s="116">
        <f t="shared" si="2"/>
        <v>3.0367999999999999</v>
      </c>
      <c r="K145" s="105" t="s">
        <v>10</v>
      </c>
      <c r="L145" s="105"/>
      <c r="M145" s="105" t="s">
        <v>12</v>
      </c>
      <c r="N145" s="105">
        <v>208</v>
      </c>
      <c r="O145" s="108">
        <v>0.73</v>
      </c>
    </row>
    <row r="146" spans="1:15" x14ac:dyDescent="0.3">
      <c r="A146" s="71" t="s">
        <v>10</v>
      </c>
      <c r="B146" s="71" t="s">
        <v>12</v>
      </c>
      <c r="C146" s="114">
        <v>0.73417721518987344</v>
      </c>
      <c r="D146" s="71">
        <v>221</v>
      </c>
      <c r="E146" s="90">
        <v>79</v>
      </c>
      <c r="F146" s="116">
        <f t="shared" si="2"/>
        <v>2.0538375260374937</v>
      </c>
      <c r="K146" s="106" t="s">
        <v>10</v>
      </c>
      <c r="L146" s="106"/>
      <c r="M146" s="106" t="s">
        <v>12</v>
      </c>
      <c r="N146" s="106">
        <v>221</v>
      </c>
      <c r="O146" s="107">
        <v>0.73417721518987344</v>
      </c>
    </row>
    <row r="147" spans="1:15" x14ac:dyDescent="0.3">
      <c r="A147" s="70" t="s">
        <v>10</v>
      </c>
      <c r="B147" s="70" t="s">
        <v>12</v>
      </c>
      <c r="C147" s="113">
        <v>0.7931034482758621</v>
      </c>
      <c r="D147" s="70">
        <v>195</v>
      </c>
      <c r="E147" s="95">
        <v>145</v>
      </c>
      <c r="F147" s="116">
        <f t="shared" si="2"/>
        <v>1.0665873959571939</v>
      </c>
      <c r="K147" s="105" t="s">
        <v>10</v>
      </c>
      <c r="L147" s="105"/>
      <c r="M147" s="105" t="s">
        <v>12</v>
      </c>
      <c r="N147" s="105">
        <v>195</v>
      </c>
      <c r="O147" s="108">
        <v>0.7931034482758621</v>
      </c>
    </row>
    <row r="148" spans="1:15" x14ac:dyDescent="0.3">
      <c r="A148" s="71" t="s">
        <v>10</v>
      </c>
      <c r="B148" s="71" t="s">
        <v>12</v>
      </c>
      <c r="C148" s="114">
        <v>0.72499999999999998</v>
      </c>
      <c r="D148" s="71">
        <v>211</v>
      </c>
      <c r="E148" s="90">
        <v>600</v>
      </c>
      <c r="F148" s="116">
        <f t="shared" si="2"/>
        <v>0.25495833333333334</v>
      </c>
      <c r="K148" s="106" t="s">
        <v>10</v>
      </c>
      <c r="L148" s="106"/>
      <c r="M148" s="106" t="s">
        <v>12</v>
      </c>
      <c r="N148" s="106">
        <v>211</v>
      </c>
      <c r="O148" s="107">
        <v>0.72499999999999998</v>
      </c>
    </row>
    <row r="149" spans="1:15" x14ac:dyDescent="0.3">
      <c r="A149" s="70" t="s">
        <v>10</v>
      </c>
      <c r="B149" s="70" t="s">
        <v>12</v>
      </c>
      <c r="C149" s="113">
        <v>0.69387755102040816</v>
      </c>
      <c r="D149" s="70">
        <v>242</v>
      </c>
      <c r="E149" s="95">
        <v>49</v>
      </c>
      <c r="F149" s="116">
        <f t="shared" si="2"/>
        <v>3.4269054560599748</v>
      </c>
      <c r="K149" s="105" t="s">
        <v>10</v>
      </c>
      <c r="L149" s="105"/>
      <c r="M149" s="105" t="s">
        <v>12</v>
      </c>
      <c r="N149" s="105">
        <v>242</v>
      </c>
      <c r="O149" s="108">
        <v>0.69387755102040816</v>
      </c>
    </row>
    <row r="150" spans="1:15" x14ac:dyDescent="0.3">
      <c r="A150" s="71" t="s">
        <v>10</v>
      </c>
      <c r="B150" s="71" t="s">
        <v>12</v>
      </c>
      <c r="C150" s="114">
        <v>0.77272727272727271</v>
      </c>
      <c r="D150" s="71">
        <v>354</v>
      </c>
      <c r="E150" s="90">
        <v>66</v>
      </c>
      <c r="F150" s="116">
        <f t="shared" si="2"/>
        <v>4.1446280991735538</v>
      </c>
      <c r="K150" s="106" t="s">
        <v>10</v>
      </c>
      <c r="L150" s="106"/>
      <c r="M150" s="106" t="s">
        <v>12</v>
      </c>
      <c r="N150" s="106">
        <v>354</v>
      </c>
      <c r="O150" s="107">
        <v>0.77272727272727271</v>
      </c>
    </row>
    <row r="151" spans="1:15" x14ac:dyDescent="0.3">
      <c r="A151" s="70" t="s">
        <v>10</v>
      </c>
      <c r="B151" s="70" t="s">
        <v>12</v>
      </c>
      <c r="C151" s="113">
        <v>0.68</v>
      </c>
      <c r="D151" s="70">
        <v>574</v>
      </c>
      <c r="E151" s="95">
        <v>75</v>
      </c>
      <c r="F151" s="116">
        <f t="shared" si="2"/>
        <v>5.2042666666666673</v>
      </c>
      <c r="K151" s="105" t="s">
        <v>10</v>
      </c>
      <c r="L151" s="105"/>
      <c r="M151" s="105" t="s">
        <v>12</v>
      </c>
      <c r="N151" s="105">
        <v>574</v>
      </c>
      <c r="O151" s="108">
        <v>0.68</v>
      </c>
    </row>
    <row r="152" spans="1:15" x14ac:dyDescent="0.3">
      <c r="A152" s="71" t="s">
        <v>10</v>
      </c>
      <c r="B152" s="71" t="s">
        <v>12</v>
      </c>
      <c r="C152" s="114">
        <v>0.7</v>
      </c>
      <c r="D152" s="71">
        <v>521</v>
      </c>
      <c r="E152" s="90">
        <v>650</v>
      </c>
      <c r="F152" s="116">
        <f t="shared" si="2"/>
        <v>0.56107692307692303</v>
      </c>
      <c r="K152" s="106" t="s">
        <v>10</v>
      </c>
      <c r="L152" s="106"/>
      <c r="M152" s="106" t="s">
        <v>12</v>
      </c>
      <c r="N152" s="106">
        <v>521</v>
      </c>
      <c r="O152" s="107">
        <v>0.7</v>
      </c>
    </row>
    <row r="153" spans="1:15" x14ac:dyDescent="0.3">
      <c r="A153" s="70" t="s">
        <v>10</v>
      </c>
      <c r="B153" s="70" t="s">
        <v>12</v>
      </c>
      <c r="C153" s="113">
        <v>0.82352941176470584</v>
      </c>
      <c r="D153" s="70">
        <v>180</v>
      </c>
      <c r="E153" s="95">
        <v>85</v>
      </c>
      <c r="F153" s="116">
        <f t="shared" si="2"/>
        <v>1.7439446366782005</v>
      </c>
      <c r="K153" s="105" t="s">
        <v>10</v>
      </c>
      <c r="L153" s="105"/>
      <c r="M153" s="105" t="s">
        <v>12</v>
      </c>
      <c r="N153" s="105">
        <v>180</v>
      </c>
      <c r="O153" s="108">
        <v>0.82352941176470584</v>
      </c>
    </row>
    <row r="154" spans="1:15" x14ac:dyDescent="0.3">
      <c r="A154" s="71" t="s">
        <v>10</v>
      </c>
      <c r="B154" s="71" t="s">
        <v>12</v>
      </c>
      <c r="C154" s="114">
        <v>0.7</v>
      </c>
      <c r="D154" s="71">
        <v>637</v>
      </c>
      <c r="E154" s="90">
        <v>80</v>
      </c>
      <c r="F154" s="116">
        <f t="shared" si="2"/>
        <v>5.5737499999999995</v>
      </c>
      <c r="K154" s="106" t="s">
        <v>10</v>
      </c>
      <c r="L154" s="106"/>
      <c r="M154" s="106" t="s">
        <v>12</v>
      </c>
      <c r="N154" s="106">
        <v>637</v>
      </c>
      <c r="O154" s="107">
        <v>0.7</v>
      </c>
    </row>
    <row r="155" spans="1:15" x14ac:dyDescent="0.3">
      <c r="A155" s="70" t="s">
        <v>10</v>
      </c>
      <c r="B155" s="70" t="s">
        <v>12</v>
      </c>
      <c r="C155" s="113">
        <v>0.79374999999999996</v>
      </c>
      <c r="D155" s="70">
        <v>250</v>
      </c>
      <c r="E155" s="95">
        <v>80</v>
      </c>
      <c r="F155" s="116">
        <f t="shared" si="2"/>
        <v>2.48046875</v>
      </c>
      <c r="K155" s="105" t="s">
        <v>10</v>
      </c>
      <c r="L155" s="105"/>
      <c r="M155" s="105" t="s">
        <v>12</v>
      </c>
      <c r="N155" s="105">
        <v>250</v>
      </c>
      <c r="O155" s="108">
        <v>0.79374999999999996</v>
      </c>
    </row>
    <row r="156" spans="1:15" x14ac:dyDescent="0.3">
      <c r="A156" s="71" t="s">
        <v>10</v>
      </c>
      <c r="B156" s="71" t="s">
        <v>12</v>
      </c>
      <c r="C156" s="114">
        <v>0.57999999999999996</v>
      </c>
      <c r="D156" s="71">
        <v>927</v>
      </c>
      <c r="E156" s="90">
        <v>250</v>
      </c>
      <c r="F156" s="116">
        <f t="shared" si="2"/>
        <v>2.1506399999999997</v>
      </c>
      <c r="K156" s="106" t="s">
        <v>10</v>
      </c>
      <c r="L156" s="106"/>
      <c r="M156" s="106" t="s">
        <v>12</v>
      </c>
      <c r="N156" s="106">
        <v>927</v>
      </c>
      <c r="O156" s="107">
        <v>0.57999999999999996</v>
      </c>
    </row>
    <row r="157" spans="1:15" x14ac:dyDescent="0.3">
      <c r="A157" s="70" t="s">
        <v>10</v>
      </c>
      <c r="B157" s="70" t="s">
        <v>12</v>
      </c>
      <c r="C157" s="113">
        <v>0.50909090909090904</v>
      </c>
      <c r="D157" s="70">
        <v>691</v>
      </c>
      <c r="E157" s="95">
        <v>55</v>
      </c>
      <c r="F157" s="116">
        <f t="shared" si="2"/>
        <v>6.3960330578512394</v>
      </c>
      <c r="K157" s="105" t="s">
        <v>10</v>
      </c>
      <c r="L157" s="105"/>
      <c r="M157" s="105" t="s">
        <v>12</v>
      </c>
      <c r="N157" s="105">
        <v>691</v>
      </c>
      <c r="O157" s="108">
        <v>0.50909090909090904</v>
      </c>
    </row>
    <row r="158" spans="1:15" x14ac:dyDescent="0.3">
      <c r="A158" s="71" t="s">
        <v>10</v>
      </c>
      <c r="B158" s="71" t="s">
        <v>12</v>
      </c>
      <c r="C158" s="114">
        <v>0.66666666666666663</v>
      </c>
      <c r="D158" s="71">
        <v>1992</v>
      </c>
      <c r="E158" s="90">
        <v>45</v>
      </c>
      <c r="F158" s="116">
        <f t="shared" si="2"/>
        <v>29.511111111111113</v>
      </c>
      <c r="K158" s="106" t="s">
        <v>10</v>
      </c>
      <c r="L158" s="106"/>
      <c r="M158" s="106" t="s">
        <v>12</v>
      </c>
      <c r="N158" s="106">
        <v>1992</v>
      </c>
      <c r="O158" s="107">
        <v>0.66666666666666663</v>
      </c>
    </row>
    <row r="159" spans="1:15" x14ac:dyDescent="0.3">
      <c r="A159" s="70" t="s">
        <v>10</v>
      </c>
      <c r="B159" s="70" t="s">
        <v>12</v>
      </c>
      <c r="C159" s="113">
        <v>0.6785714285714286</v>
      </c>
      <c r="D159" s="70">
        <v>836</v>
      </c>
      <c r="E159" s="95">
        <v>70</v>
      </c>
      <c r="F159" s="116">
        <f t="shared" si="2"/>
        <v>8.1040816326530614</v>
      </c>
      <c r="K159" s="105" t="s">
        <v>10</v>
      </c>
      <c r="L159" s="105"/>
      <c r="M159" s="105" t="s">
        <v>12</v>
      </c>
      <c r="N159" s="105">
        <v>836</v>
      </c>
      <c r="O159" s="108">
        <v>0.6785714285714286</v>
      </c>
    </row>
    <row r="160" spans="1:15" x14ac:dyDescent="0.3">
      <c r="A160" s="71" t="s">
        <v>10</v>
      </c>
      <c r="B160" s="71" t="s">
        <v>12</v>
      </c>
      <c r="C160" s="114">
        <v>0.7</v>
      </c>
      <c r="D160" s="71">
        <v>1378</v>
      </c>
      <c r="E160" s="90">
        <v>35</v>
      </c>
      <c r="F160" s="116">
        <f t="shared" si="2"/>
        <v>27.56</v>
      </c>
      <c r="K160" s="106" t="s">
        <v>10</v>
      </c>
      <c r="L160" s="106"/>
      <c r="M160" s="106" t="s">
        <v>12</v>
      </c>
      <c r="N160" s="106">
        <v>1378</v>
      </c>
      <c r="O160" s="107">
        <v>0.7</v>
      </c>
    </row>
    <row r="161" spans="1:15" x14ac:dyDescent="0.3">
      <c r="A161" s="70" t="s">
        <v>10</v>
      </c>
      <c r="B161" s="70" t="s">
        <v>12</v>
      </c>
      <c r="C161" s="113">
        <v>0.7</v>
      </c>
      <c r="D161" s="70">
        <v>2083</v>
      </c>
      <c r="E161" s="95">
        <v>60</v>
      </c>
      <c r="F161" s="116">
        <f t="shared" si="2"/>
        <v>24.301666666666666</v>
      </c>
      <c r="K161" s="105" t="s">
        <v>10</v>
      </c>
      <c r="L161" s="105"/>
      <c r="M161" s="105" t="s">
        <v>12</v>
      </c>
      <c r="N161" s="105">
        <v>2083</v>
      </c>
      <c r="O161" s="108">
        <v>0.7</v>
      </c>
    </row>
    <row r="162" spans="1:15" x14ac:dyDescent="0.3">
      <c r="A162" s="71" t="s">
        <v>10</v>
      </c>
      <c r="B162" s="71" t="s">
        <v>12</v>
      </c>
      <c r="C162" s="114">
        <v>0.64</v>
      </c>
      <c r="D162" s="71">
        <v>2110</v>
      </c>
      <c r="E162" s="90">
        <v>50</v>
      </c>
      <c r="F162" s="116">
        <f t="shared" si="2"/>
        <v>27.008000000000003</v>
      </c>
      <c r="K162" s="106" t="s">
        <v>10</v>
      </c>
      <c r="L162" s="106"/>
      <c r="M162" s="106" t="s">
        <v>12</v>
      </c>
      <c r="N162" s="106">
        <v>2110</v>
      </c>
      <c r="O162" s="107">
        <v>0.64</v>
      </c>
    </row>
    <row r="163" spans="1:15" x14ac:dyDescent="0.3">
      <c r="A163" s="70" t="s">
        <v>10</v>
      </c>
      <c r="B163" s="70" t="s">
        <v>12</v>
      </c>
      <c r="C163" s="113">
        <v>0.7</v>
      </c>
      <c r="D163" s="70">
        <v>2277</v>
      </c>
      <c r="E163" s="95">
        <v>35</v>
      </c>
      <c r="F163" s="116">
        <f t="shared" si="2"/>
        <v>45.54</v>
      </c>
      <c r="K163" s="105" t="s">
        <v>10</v>
      </c>
      <c r="L163" s="105"/>
      <c r="M163" s="105" t="s">
        <v>12</v>
      </c>
      <c r="N163" s="105">
        <v>2277</v>
      </c>
      <c r="O163" s="108">
        <v>0.7</v>
      </c>
    </row>
    <row r="164" spans="1:15" x14ac:dyDescent="0.3">
      <c r="A164" s="71" t="s">
        <v>10</v>
      </c>
      <c r="B164" s="71" t="s">
        <v>12</v>
      </c>
      <c r="C164" s="114">
        <v>0.7</v>
      </c>
      <c r="D164" s="71">
        <v>3234</v>
      </c>
      <c r="E164" s="90">
        <v>50</v>
      </c>
      <c r="F164" s="116">
        <f t="shared" si="2"/>
        <v>45.275999999999996</v>
      </c>
      <c r="K164" s="106" t="s">
        <v>10</v>
      </c>
      <c r="L164" s="106"/>
      <c r="M164" s="106" t="s">
        <v>12</v>
      </c>
      <c r="N164" s="106">
        <v>3234</v>
      </c>
      <c r="O164" s="107">
        <v>0.7</v>
      </c>
    </row>
    <row r="165" spans="1:15" x14ac:dyDescent="0.3">
      <c r="A165" s="70" t="s">
        <v>10</v>
      </c>
      <c r="B165" s="70" t="s">
        <v>12</v>
      </c>
      <c r="C165" s="113">
        <v>0.7857142857142857</v>
      </c>
      <c r="D165" s="70">
        <v>4130</v>
      </c>
      <c r="E165" s="95">
        <v>70</v>
      </c>
      <c r="F165" s="116">
        <f t="shared" si="2"/>
        <v>46.357142857142854</v>
      </c>
      <c r="K165" s="105" t="s">
        <v>10</v>
      </c>
      <c r="L165" s="105"/>
      <c r="M165" s="105" t="s">
        <v>12</v>
      </c>
      <c r="N165" s="105">
        <v>4130</v>
      </c>
      <c r="O165" s="108">
        <v>0.7857142857142857</v>
      </c>
    </row>
    <row r="166" spans="1:15" x14ac:dyDescent="0.3">
      <c r="A166" s="71" t="s">
        <v>10</v>
      </c>
      <c r="B166" s="71" t="s">
        <v>12</v>
      </c>
      <c r="C166" s="114">
        <v>0.47499999999999998</v>
      </c>
      <c r="D166" s="71">
        <v>7350</v>
      </c>
      <c r="E166" s="90">
        <v>40</v>
      </c>
      <c r="F166" s="116">
        <f t="shared" si="2"/>
        <v>87.28125</v>
      </c>
      <c r="K166" s="106" t="s">
        <v>10</v>
      </c>
      <c r="L166" s="106"/>
      <c r="M166" s="106" t="s">
        <v>12</v>
      </c>
      <c r="N166" s="106">
        <v>7350</v>
      </c>
      <c r="O166" s="107">
        <v>0.47499999999999998</v>
      </c>
    </row>
    <row r="167" spans="1:15" x14ac:dyDescent="0.3">
      <c r="A167" s="70" t="s">
        <v>10</v>
      </c>
      <c r="B167" s="70" t="s">
        <v>12</v>
      </c>
      <c r="C167" s="113">
        <v>0.7</v>
      </c>
      <c r="D167" s="70">
        <v>5107</v>
      </c>
      <c r="E167" s="95">
        <v>35</v>
      </c>
      <c r="F167" s="116">
        <f t="shared" si="2"/>
        <v>102.13999999999999</v>
      </c>
      <c r="K167" s="105" t="s">
        <v>10</v>
      </c>
      <c r="L167" s="105"/>
      <c r="M167" s="105" t="s">
        <v>12</v>
      </c>
      <c r="N167" s="105">
        <v>5107</v>
      </c>
      <c r="O167" s="108">
        <v>0.7</v>
      </c>
    </row>
    <row r="168" spans="1:15" x14ac:dyDescent="0.3">
      <c r="A168" s="71" t="s">
        <v>10</v>
      </c>
      <c r="B168" s="71" t="s">
        <v>12</v>
      </c>
      <c r="C168" s="114">
        <v>0.78181818181818186</v>
      </c>
      <c r="D168" s="71">
        <v>5052</v>
      </c>
      <c r="E168" s="90">
        <v>55</v>
      </c>
      <c r="F168" s="116">
        <f t="shared" si="2"/>
        <v>71.813553719008269</v>
      </c>
      <c r="K168" s="106" t="s">
        <v>10</v>
      </c>
      <c r="L168" s="106"/>
      <c r="M168" s="106" t="s">
        <v>12</v>
      </c>
      <c r="N168" s="106">
        <v>5052</v>
      </c>
      <c r="O168" s="107">
        <v>0.78181818181818186</v>
      </c>
    </row>
    <row r="169" spans="1:15" x14ac:dyDescent="0.3">
      <c r="A169" s="70" t="s">
        <v>10</v>
      </c>
      <c r="B169" s="70" t="s">
        <v>12</v>
      </c>
      <c r="C169" s="113">
        <v>0.61818181818181817</v>
      </c>
      <c r="D169" s="70">
        <v>10200</v>
      </c>
      <c r="E169" s="95">
        <v>55</v>
      </c>
      <c r="F169" s="116">
        <f t="shared" si="2"/>
        <v>114.64462809917354</v>
      </c>
      <c r="K169" s="105" t="s">
        <v>10</v>
      </c>
      <c r="L169" s="105"/>
      <c r="M169" s="105" t="s">
        <v>12</v>
      </c>
      <c r="N169" s="105">
        <v>10200</v>
      </c>
      <c r="O169" s="108">
        <v>0.61818181818181817</v>
      </c>
    </row>
    <row r="170" spans="1:15" x14ac:dyDescent="0.3">
      <c r="A170" s="71" t="s">
        <v>97</v>
      </c>
      <c r="B170" s="71" t="s">
        <v>96</v>
      </c>
      <c r="C170" s="114">
        <v>0.578125</v>
      </c>
      <c r="D170" s="71">
        <v>57</v>
      </c>
      <c r="E170" s="90">
        <v>64</v>
      </c>
      <c r="F170" s="116">
        <f t="shared" si="2"/>
        <v>0.514892578125</v>
      </c>
      <c r="K170" s="106" t="s">
        <v>97</v>
      </c>
      <c r="L170" s="106"/>
      <c r="M170" s="106" t="s">
        <v>96</v>
      </c>
      <c r="N170" s="106">
        <v>57</v>
      </c>
      <c r="O170" s="107">
        <v>0.578125</v>
      </c>
    </row>
    <row r="171" spans="1:15" x14ac:dyDescent="0.3">
      <c r="A171" s="70" t="s">
        <v>97</v>
      </c>
      <c r="B171" s="70" t="s">
        <v>96</v>
      </c>
      <c r="C171" s="113">
        <v>0.48</v>
      </c>
      <c r="D171" s="70">
        <v>13</v>
      </c>
      <c r="E171" s="95">
        <v>75</v>
      </c>
      <c r="F171" s="116">
        <f t="shared" si="2"/>
        <v>8.3199999999999996E-2</v>
      </c>
      <c r="K171" s="105" t="s">
        <v>97</v>
      </c>
      <c r="L171" s="105"/>
      <c r="M171" s="105" t="s">
        <v>96</v>
      </c>
      <c r="N171" s="105">
        <v>13</v>
      </c>
      <c r="O171" s="108">
        <v>0.48</v>
      </c>
    </row>
    <row r="172" spans="1:15" x14ac:dyDescent="0.3">
      <c r="A172" s="71" t="s">
        <v>97</v>
      </c>
      <c r="B172" s="71" t="s">
        <v>96</v>
      </c>
      <c r="C172" s="114">
        <v>0.48863636363636365</v>
      </c>
      <c r="D172" s="71">
        <v>18</v>
      </c>
      <c r="E172" s="90">
        <v>88</v>
      </c>
      <c r="F172" s="116">
        <f t="shared" si="2"/>
        <v>9.994834710743801E-2</v>
      </c>
      <c r="K172" s="106" t="s">
        <v>97</v>
      </c>
      <c r="L172" s="106"/>
      <c r="M172" s="106" t="s">
        <v>96</v>
      </c>
      <c r="N172" s="106">
        <v>18</v>
      </c>
      <c r="O172" s="107">
        <v>0.48863636363636365</v>
      </c>
    </row>
    <row r="173" spans="1:15" x14ac:dyDescent="0.3">
      <c r="A173" s="70" t="s">
        <v>97</v>
      </c>
      <c r="B173" s="70" t="s">
        <v>96</v>
      </c>
      <c r="C173" s="113">
        <v>0.45</v>
      </c>
      <c r="D173" s="70">
        <v>48</v>
      </c>
      <c r="E173" s="95">
        <v>60</v>
      </c>
      <c r="F173" s="116">
        <f t="shared" si="2"/>
        <v>0.36000000000000004</v>
      </c>
      <c r="K173" s="105" t="s">
        <v>97</v>
      </c>
      <c r="L173" s="105"/>
      <c r="M173" s="105" t="s">
        <v>96</v>
      </c>
      <c r="N173" s="105">
        <v>48</v>
      </c>
      <c r="O173" s="108">
        <v>0.45</v>
      </c>
    </row>
    <row r="174" spans="1:15" x14ac:dyDescent="0.3">
      <c r="A174" s="71" t="s">
        <v>97</v>
      </c>
      <c r="B174" s="71" t="s">
        <v>96</v>
      </c>
      <c r="C174" s="114">
        <v>0.1</v>
      </c>
      <c r="D174" s="71">
        <v>125</v>
      </c>
      <c r="E174" s="90">
        <v>50</v>
      </c>
      <c r="F174" s="116">
        <f t="shared" si="2"/>
        <v>0.25</v>
      </c>
      <c r="K174" s="106" t="s">
        <v>97</v>
      </c>
      <c r="L174" s="106"/>
      <c r="M174" s="106" t="s">
        <v>96</v>
      </c>
      <c r="N174" s="106">
        <v>125</v>
      </c>
      <c r="O174" s="107">
        <v>0.1</v>
      </c>
    </row>
    <row r="175" spans="1:15" x14ac:dyDescent="0.3">
      <c r="A175" s="70" t="s">
        <v>97</v>
      </c>
      <c r="B175" s="70" t="s">
        <v>96</v>
      </c>
      <c r="C175" s="113">
        <v>0.54430379746835444</v>
      </c>
      <c r="D175" s="70">
        <v>75</v>
      </c>
      <c r="E175" s="95">
        <v>79</v>
      </c>
      <c r="F175" s="116">
        <f t="shared" si="2"/>
        <v>0.51674411152058963</v>
      </c>
      <c r="K175" s="105" t="s">
        <v>97</v>
      </c>
      <c r="L175" s="105"/>
      <c r="M175" s="105" t="s">
        <v>96</v>
      </c>
      <c r="N175" s="105">
        <v>75</v>
      </c>
      <c r="O175" s="108">
        <v>0.54430379746835444</v>
      </c>
    </row>
    <row r="176" spans="1:15" x14ac:dyDescent="0.3">
      <c r="A176" s="71" t="s">
        <v>97</v>
      </c>
      <c r="B176" s="71" t="s">
        <v>96</v>
      </c>
      <c r="C176" s="114">
        <v>6.25E-2</v>
      </c>
      <c r="D176" s="71">
        <v>54</v>
      </c>
      <c r="E176" s="90">
        <v>48</v>
      </c>
      <c r="F176" s="116">
        <f t="shared" si="2"/>
        <v>7.03125E-2</v>
      </c>
      <c r="K176" s="106" t="s">
        <v>97</v>
      </c>
      <c r="L176" s="106"/>
      <c r="M176" s="106" t="s">
        <v>96</v>
      </c>
      <c r="N176" s="106">
        <v>54</v>
      </c>
      <c r="O176" s="107">
        <v>6.25E-2</v>
      </c>
    </row>
    <row r="177" spans="1:15" x14ac:dyDescent="0.3">
      <c r="A177" s="70" t="s">
        <v>97</v>
      </c>
      <c r="B177" s="70" t="s">
        <v>96</v>
      </c>
      <c r="C177" s="113">
        <v>0</v>
      </c>
      <c r="D177" s="70">
        <v>97</v>
      </c>
      <c r="E177" s="95">
        <v>60</v>
      </c>
      <c r="F177" s="116">
        <f t="shared" si="2"/>
        <v>0</v>
      </c>
      <c r="K177" s="105" t="s">
        <v>97</v>
      </c>
      <c r="L177" s="105"/>
      <c r="M177" s="105" t="s">
        <v>96</v>
      </c>
      <c r="N177" s="105">
        <v>97</v>
      </c>
      <c r="O177" s="108">
        <v>0</v>
      </c>
    </row>
    <row r="178" spans="1:15" x14ac:dyDescent="0.3">
      <c r="A178" s="71" t="s">
        <v>97</v>
      </c>
      <c r="B178" s="71" t="s">
        <v>96</v>
      </c>
      <c r="C178" s="114">
        <v>-0.27500000000000002</v>
      </c>
      <c r="D178" s="71">
        <v>66</v>
      </c>
      <c r="E178" s="90">
        <v>40</v>
      </c>
      <c r="F178" s="116">
        <f t="shared" si="2"/>
        <v>-0.45375000000000004</v>
      </c>
      <c r="K178" s="106" t="s">
        <v>97</v>
      </c>
      <c r="L178" s="106"/>
      <c r="M178" s="106" t="s">
        <v>96</v>
      </c>
      <c r="N178" s="106">
        <v>66</v>
      </c>
      <c r="O178" s="107">
        <v>-0.27500000000000002</v>
      </c>
    </row>
    <row r="179" spans="1:15" x14ac:dyDescent="0.3">
      <c r="A179" s="70" t="s">
        <v>97</v>
      </c>
      <c r="B179" s="70" t="s">
        <v>96</v>
      </c>
      <c r="C179" s="113">
        <v>0.58904109589041098</v>
      </c>
      <c r="D179" s="70">
        <v>77</v>
      </c>
      <c r="E179" s="95">
        <v>73</v>
      </c>
      <c r="F179" s="116">
        <f t="shared" si="2"/>
        <v>0.62131732032276232</v>
      </c>
      <c r="K179" s="105" t="s">
        <v>97</v>
      </c>
      <c r="L179" s="105"/>
      <c r="M179" s="105" t="s">
        <v>96</v>
      </c>
      <c r="N179" s="105">
        <v>77</v>
      </c>
      <c r="O179" s="108">
        <v>0.58904109589041098</v>
      </c>
    </row>
    <row r="180" spans="1:15" x14ac:dyDescent="0.3">
      <c r="A180" s="71" t="s">
        <v>97</v>
      </c>
      <c r="B180" s="71" t="s">
        <v>96</v>
      </c>
      <c r="C180" s="114">
        <v>0.66666666666666663</v>
      </c>
      <c r="D180" s="71">
        <v>108</v>
      </c>
      <c r="E180" s="90">
        <v>45</v>
      </c>
      <c r="F180" s="116">
        <f t="shared" si="2"/>
        <v>1.6</v>
      </c>
      <c r="K180" s="106" t="s">
        <v>97</v>
      </c>
      <c r="L180" s="106"/>
      <c r="M180" s="106" t="s">
        <v>96</v>
      </c>
      <c r="N180" s="106">
        <v>108</v>
      </c>
      <c r="O180" s="107">
        <v>0.66666666666666663</v>
      </c>
    </row>
    <row r="181" spans="1:15" x14ac:dyDescent="0.3">
      <c r="A181" s="70" t="s">
        <v>97</v>
      </c>
      <c r="B181" s="70" t="s">
        <v>96</v>
      </c>
      <c r="C181" s="113">
        <v>0.53125</v>
      </c>
      <c r="D181" s="70">
        <v>135</v>
      </c>
      <c r="E181" s="95">
        <v>32</v>
      </c>
      <c r="F181" s="116">
        <f t="shared" si="2"/>
        <v>2.2412109375</v>
      </c>
      <c r="K181" s="105" t="s">
        <v>97</v>
      </c>
      <c r="L181" s="105"/>
      <c r="M181" s="105" t="s">
        <v>96</v>
      </c>
      <c r="N181" s="105">
        <v>135</v>
      </c>
      <c r="O181" s="108">
        <v>0.53125</v>
      </c>
    </row>
    <row r="182" spans="1:15" x14ac:dyDescent="0.3">
      <c r="A182" s="71" t="s">
        <v>97</v>
      </c>
      <c r="B182" s="71" t="s">
        <v>96</v>
      </c>
      <c r="C182" s="114">
        <v>0.52941176470588236</v>
      </c>
      <c r="D182" s="71">
        <v>140</v>
      </c>
      <c r="E182" s="90">
        <v>51</v>
      </c>
      <c r="F182" s="116">
        <f t="shared" si="2"/>
        <v>1.453287197231834</v>
      </c>
      <c r="K182" s="106" t="s">
        <v>97</v>
      </c>
      <c r="L182" s="106"/>
      <c r="M182" s="106" t="s">
        <v>96</v>
      </c>
      <c r="N182" s="106">
        <v>140</v>
      </c>
      <c r="O182" s="107">
        <v>0.52941176470588236</v>
      </c>
    </row>
    <row r="183" spans="1:15" x14ac:dyDescent="0.3">
      <c r="A183" s="70" t="s">
        <v>97</v>
      </c>
      <c r="B183" s="70" t="s">
        <v>96</v>
      </c>
      <c r="C183" s="113">
        <v>0</v>
      </c>
      <c r="D183" s="70">
        <v>184</v>
      </c>
      <c r="E183" s="95">
        <v>45</v>
      </c>
      <c r="F183" s="116">
        <f t="shared" si="2"/>
        <v>0</v>
      </c>
      <c r="K183" s="105" t="s">
        <v>97</v>
      </c>
      <c r="L183" s="105"/>
      <c r="M183" s="105" t="s">
        <v>96</v>
      </c>
      <c r="N183" s="105">
        <v>184</v>
      </c>
      <c r="O183" s="108">
        <v>0</v>
      </c>
    </row>
    <row r="184" spans="1:15" x14ac:dyDescent="0.3">
      <c r="A184" s="71" t="s">
        <v>97</v>
      </c>
      <c r="B184" s="71" t="s">
        <v>96</v>
      </c>
      <c r="C184" s="114">
        <v>0.41558441558441561</v>
      </c>
      <c r="D184" s="71">
        <v>243</v>
      </c>
      <c r="E184" s="90">
        <v>77</v>
      </c>
      <c r="F184" s="116">
        <f t="shared" si="2"/>
        <v>1.3115196491819869</v>
      </c>
      <c r="K184" s="106" t="s">
        <v>97</v>
      </c>
      <c r="L184" s="106"/>
      <c r="M184" s="106" t="s">
        <v>96</v>
      </c>
      <c r="N184" s="106">
        <v>243</v>
      </c>
      <c r="O184" s="107">
        <v>0.41558441558441561</v>
      </c>
    </row>
    <row r="185" spans="1:15" x14ac:dyDescent="0.3">
      <c r="A185" s="70" t="s">
        <v>97</v>
      </c>
      <c r="B185" s="70" t="s">
        <v>96</v>
      </c>
      <c r="C185" s="113">
        <v>0.66666666666666663</v>
      </c>
      <c r="D185" s="70">
        <v>216</v>
      </c>
      <c r="E185" s="95">
        <v>45</v>
      </c>
      <c r="F185" s="116">
        <f t="shared" si="2"/>
        <v>3.2</v>
      </c>
      <c r="K185" s="105" t="s">
        <v>97</v>
      </c>
      <c r="L185" s="105"/>
      <c r="M185" s="105" t="s">
        <v>96</v>
      </c>
      <c r="N185" s="105">
        <v>216</v>
      </c>
      <c r="O185" s="108">
        <v>0.66666666666666663</v>
      </c>
    </row>
    <row r="186" spans="1:15" x14ac:dyDescent="0.3">
      <c r="A186" s="71" t="s">
        <v>97</v>
      </c>
      <c r="B186" s="71" t="s">
        <v>96</v>
      </c>
      <c r="C186" s="114">
        <v>0.56000000000000005</v>
      </c>
      <c r="D186" s="71">
        <v>219</v>
      </c>
      <c r="E186" s="90">
        <v>75</v>
      </c>
      <c r="F186" s="116">
        <f t="shared" si="2"/>
        <v>1.6352000000000002</v>
      </c>
      <c r="K186" s="106" t="s">
        <v>97</v>
      </c>
      <c r="L186" s="106"/>
      <c r="M186" s="106" t="s">
        <v>96</v>
      </c>
      <c r="N186" s="106">
        <v>219</v>
      </c>
      <c r="O186" s="107">
        <v>0.56000000000000005</v>
      </c>
    </row>
    <row r="187" spans="1:15" x14ac:dyDescent="0.3">
      <c r="A187" s="70" t="s">
        <v>97</v>
      </c>
      <c r="B187" s="70" t="s">
        <v>96</v>
      </c>
      <c r="C187" s="113">
        <v>0.43333333333333335</v>
      </c>
      <c r="D187" s="70">
        <v>234</v>
      </c>
      <c r="E187" s="95">
        <v>90</v>
      </c>
      <c r="F187" s="116">
        <f t="shared" si="2"/>
        <v>1.1266666666666667</v>
      </c>
      <c r="K187" s="105" t="s">
        <v>97</v>
      </c>
      <c r="L187" s="105"/>
      <c r="M187" s="105" t="s">
        <v>96</v>
      </c>
      <c r="N187" s="105">
        <v>234</v>
      </c>
      <c r="O187" s="108">
        <v>0.43333333333333335</v>
      </c>
    </row>
    <row r="188" spans="1:15" x14ac:dyDescent="0.3">
      <c r="A188" s="71" t="s">
        <v>97</v>
      </c>
      <c r="B188" s="71" t="s">
        <v>96</v>
      </c>
      <c r="C188" s="114">
        <v>-0.2</v>
      </c>
      <c r="D188" s="71">
        <v>135</v>
      </c>
      <c r="E188" s="90">
        <v>35</v>
      </c>
      <c r="F188" s="116">
        <f t="shared" si="2"/>
        <v>-0.77142857142857146</v>
      </c>
      <c r="K188" s="106" t="s">
        <v>97</v>
      </c>
      <c r="L188" s="106"/>
      <c r="M188" s="106" t="s">
        <v>96</v>
      </c>
      <c r="N188" s="106">
        <v>135</v>
      </c>
      <c r="O188" s="107">
        <v>-0.2</v>
      </c>
    </row>
    <row r="189" spans="1:15" x14ac:dyDescent="0.3">
      <c r="A189" s="70" t="s">
        <v>97</v>
      </c>
      <c r="B189" s="70" t="s">
        <v>96</v>
      </c>
      <c r="C189" s="113">
        <v>0.25</v>
      </c>
      <c r="D189" s="70">
        <v>207</v>
      </c>
      <c r="E189" s="95">
        <v>60</v>
      </c>
      <c r="F189" s="116">
        <f t="shared" si="2"/>
        <v>0.86250000000000004</v>
      </c>
      <c r="K189" s="105" t="s">
        <v>97</v>
      </c>
      <c r="L189" s="105"/>
      <c r="M189" s="105" t="s">
        <v>96</v>
      </c>
      <c r="N189" s="105">
        <v>207</v>
      </c>
      <c r="O189" s="108">
        <v>0.25</v>
      </c>
    </row>
    <row r="190" spans="1:15" x14ac:dyDescent="0.3">
      <c r="A190" s="71" t="s">
        <v>97</v>
      </c>
      <c r="B190" s="71" t="s">
        <v>96</v>
      </c>
      <c r="C190" s="114">
        <v>0.48</v>
      </c>
      <c r="D190" s="71">
        <v>274</v>
      </c>
      <c r="E190" s="90">
        <v>75</v>
      </c>
      <c r="F190" s="116">
        <f t="shared" si="2"/>
        <v>1.7535999999999998</v>
      </c>
      <c r="K190" s="106" t="s">
        <v>97</v>
      </c>
      <c r="L190" s="106"/>
      <c r="M190" s="106" t="s">
        <v>96</v>
      </c>
      <c r="N190" s="106">
        <v>274</v>
      </c>
      <c r="O190" s="107">
        <v>0.48</v>
      </c>
    </row>
    <row r="191" spans="1:15" x14ac:dyDescent="0.3">
      <c r="A191" s="70" t="s">
        <v>97</v>
      </c>
      <c r="B191" s="70" t="s">
        <v>96</v>
      </c>
      <c r="C191" s="113">
        <v>0.47058823529411764</v>
      </c>
      <c r="D191" s="70">
        <v>204</v>
      </c>
      <c r="E191" s="95">
        <v>85</v>
      </c>
      <c r="F191" s="116">
        <f t="shared" si="2"/>
        <v>1.1294117647058823</v>
      </c>
      <c r="K191" s="105" t="s">
        <v>97</v>
      </c>
      <c r="L191" s="105"/>
      <c r="M191" s="105" t="s">
        <v>96</v>
      </c>
      <c r="N191" s="105">
        <v>204</v>
      </c>
      <c r="O191" s="108">
        <v>0.47058823529411764</v>
      </c>
    </row>
    <row r="192" spans="1:15" x14ac:dyDescent="0.3">
      <c r="A192" s="71" t="s">
        <v>97</v>
      </c>
      <c r="B192" s="71" t="s">
        <v>96</v>
      </c>
      <c r="C192" s="114">
        <v>0.53333333333333333</v>
      </c>
      <c r="D192" s="71">
        <v>296</v>
      </c>
      <c r="E192" s="90">
        <v>45</v>
      </c>
      <c r="F192" s="116">
        <f t="shared" si="2"/>
        <v>3.5081481481481482</v>
      </c>
      <c r="K192" s="106" t="s">
        <v>97</v>
      </c>
      <c r="L192" s="106"/>
      <c r="M192" s="106" t="s">
        <v>96</v>
      </c>
      <c r="N192" s="106">
        <v>296</v>
      </c>
      <c r="O192" s="107">
        <v>0.53333333333333333</v>
      </c>
    </row>
    <row r="193" spans="1:15" x14ac:dyDescent="0.3">
      <c r="A193" s="70" t="s">
        <v>97</v>
      </c>
      <c r="B193" s="70" t="s">
        <v>96</v>
      </c>
      <c r="C193" s="113">
        <v>0.46666666666666667</v>
      </c>
      <c r="D193" s="70">
        <v>339</v>
      </c>
      <c r="E193" s="95">
        <v>45</v>
      </c>
      <c r="F193" s="116">
        <f t="shared" si="2"/>
        <v>3.5155555555555553</v>
      </c>
      <c r="K193" s="105" t="s">
        <v>97</v>
      </c>
      <c r="L193" s="105"/>
      <c r="M193" s="105" t="s">
        <v>96</v>
      </c>
      <c r="N193" s="105">
        <v>339</v>
      </c>
      <c r="O193" s="108">
        <v>0.46666666666666667</v>
      </c>
    </row>
    <row r="194" spans="1:15" x14ac:dyDescent="0.3">
      <c r="A194" s="71" t="s">
        <v>97</v>
      </c>
      <c r="B194" s="71" t="s">
        <v>96</v>
      </c>
      <c r="C194" s="114">
        <v>0.49152542372881358</v>
      </c>
      <c r="D194" s="71">
        <v>298</v>
      </c>
      <c r="E194" s="90">
        <v>59</v>
      </c>
      <c r="F194" s="116">
        <f t="shared" si="2"/>
        <v>2.4826199367997699</v>
      </c>
      <c r="K194" s="106" t="s">
        <v>97</v>
      </c>
      <c r="L194" s="106"/>
      <c r="M194" s="106" t="s">
        <v>96</v>
      </c>
      <c r="N194" s="106">
        <v>298</v>
      </c>
      <c r="O194" s="107">
        <v>0.49152542372881358</v>
      </c>
    </row>
    <row r="195" spans="1:15" x14ac:dyDescent="0.3">
      <c r="A195" s="70" t="s">
        <v>97</v>
      </c>
      <c r="B195" s="70" t="s">
        <v>96</v>
      </c>
      <c r="C195" s="113">
        <v>0.29411764705882354</v>
      </c>
      <c r="D195" s="70">
        <v>311</v>
      </c>
      <c r="E195" s="95">
        <v>85</v>
      </c>
      <c r="F195" s="116">
        <f t="shared" ref="F195:F203" si="3">(D195*C195)/E195</f>
        <v>1.0761245674740485</v>
      </c>
      <c r="K195" s="105" t="s">
        <v>97</v>
      </c>
      <c r="L195" s="105"/>
      <c r="M195" s="105" t="s">
        <v>96</v>
      </c>
      <c r="N195" s="105">
        <v>311</v>
      </c>
      <c r="O195" s="108">
        <v>0.29411764705882354</v>
      </c>
    </row>
    <row r="196" spans="1:15" x14ac:dyDescent="0.3">
      <c r="A196" s="71" t="s">
        <v>97</v>
      </c>
      <c r="B196" s="71" t="s">
        <v>96</v>
      </c>
      <c r="C196" s="114">
        <v>0.4</v>
      </c>
      <c r="D196" s="71">
        <v>407</v>
      </c>
      <c r="E196" s="90">
        <v>35</v>
      </c>
      <c r="F196" s="116">
        <f t="shared" si="3"/>
        <v>4.6514285714285721</v>
      </c>
      <c r="K196" s="106" t="s">
        <v>97</v>
      </c>
      <c r="L196" s="106"/>
      <c r="M196" s="106" t="s">
        <v>96</v>
      </c>
      <c r="N196" s="106">
        <v>407</v>
      </c>
      <c r="O196" s="107">
        <v>0.4</v>
      </c>
    </row>
    <row r="197" spans="1:15" x14ac:dyDescent="0.3">
      <c r="A197" s="70" t="s">
        <v>97</v>
      </c>
      <c r="B197" s="70" t="s">
        <v>96</v>
      </c>
      <c r="C197" s="113">
        <v>0.1</v>
      </c>
      <c r="D197" s="70">
        <v>329</v>
      </c>
      <c r="E197" s="95">
        <v>50</v>
      </c>
      <c r="F197" s="116">
        <f t="shared" si="3"/>
        <v>0.65799999999999992</v>
      </c>
      <c r="K197" s="105" t="s">
        <v>97</v>
      </c>
      <c r="L197" s="105"/>
      <c r="M197" s="105" t="s">
        <v>96</v>
      </c>
      <c r="N197" s="105">
        <v>329</v>
      </c>
      <c r="O197" s="108">
        <v>0.1</v>
      </c>
    </row>
    <row r="198" spans="1:15" x14ac:dyDescent="0.3">
      <c r="A198" s="71" t="s">
        <v>97</v>
      </c>
      <c r="B198" s="71" t="s">
        <v>96</v>
      </c>
      <c r="C198" s="114">
        <v>0.5</v>
      </c>
      <c r="D198" s="71">
        <v>418</v>
      </c>
      <c r="E198" s="90">
        <v>30</v>
      </c>
      <c r="F198" s="116">
        <f t="shared" si="3"/>
        <v>6.9666666666666668</v>
      </c>
      <c r="K198" s="106" t="s">
        <v>97</v>
      </c>
      <c r="L198" s="106"/>
      <c r="M198" s="106" t="s">
        <v>96</v>
      </c>
      <c r="N198" s="106">
        <v>418</v>
      </c>
      <c r="O198" s="107">
        <v>0.5</v>
      </c>
    </row>
    <row r="199" spans="1:15" x14ac:dyDescent="0.3">
      <c r="A199" s="70" t="s">
        <v>97</v>
      </c>
      <c r="B199" s="70" t="s">
        <v>96</v>
      </c>
      <c r="C199" s="113">
        <v>0.44615384615384618</v>
      </c>
      <c r="D199" s="70">
        <v>425</v>
      </c>
      <c r="E199" s="95">
        <v>65</v>
      </c>
      <c r="F199" s="116">
        <f t="shared" si="3"/>
        <v>2.9171597633136095</v>
      </c>
      <c r="K199" s="105" t="s">
        <v>97</v>
      </c>
      <c r="L199" s="105"/>
      <c r="M199" s="105" t="s">
        <v>96</v>
      </c>
      <c r="N199" s="105">
        <v>425</v>
      </c>
      <c r="O199" s="108">
        <v>0.44615384615384618</v>
      </c>
    </row>
    <row r="200" spans="1:15" x14ac:dyDescent="0.3">
      <c r="A200" s="71" t="s">
        <v>97</v>
      </c>
      <c r="B200" s="71" t="s">
        <v>96</v>
      </c>
      <c r="C200" s="114">
        <v>0.42727272727272725</v>
      </c>
      <c r="D200" s="71">
        <v>687</v>
      </c>
      <c r="E200" s="90">
        <v>55</v>
      </c>
      <c r="F200" s="116">
        <f t="shared" si="3"/>
        <v>5.3370247933884292</v>
      </c>
      <c r="K200" s="106" t="s">
        <v>97</v>
      </c>
      <c r="L200" s="106"/>
      <c r="M200" s="106" t="s">
        <v>96</v>
      </c>
      <c r="N200" s="106">
        <v>687</v>
      </c>
      <c r="O200" s="107">
        <v>0.42727272727272725</v>
      </c>
    </row>
    <row r="201" spans="1:15" x14ac:dyDescent="0.3">
      <c r="A201" s="70" t="s">
        <v>97</v>
      </c>
      <c r="B201" s="70" t="s">
        <v>96</v>
      </c>
      <c r="C201" s="113">
        <v>0.4</v>
      </c>
      <c r="D201" s="70">
        <v>450</v>
      </c>
      <c r="E201" s="95">
        <v>45</v>
      </c>
      <c r="F201" s="116">
        <f t="shared" si="3"/>
        <v>4</v>
      </c>
      <c r="K201" s="105" t="s">
        <v>97</v>
      </c>
      <c r="L201" s="105"/>
      <c r="M201" s="105" t="s">
        <v>96</v>
      </c>
      <c r="N201" s="105">
        <v>450</v>
      </c>
      <c r="O201" s="108">
        <v>0.4</v>
      </c>
    </row>
    <row r="202" spans="1:15" x14ac:dyDescent="0.3">
      <c r="A202" s="71" t="s">
        <v>97</v>
      </c>
      <c r="B202" s="71" t="s">
        <v>96</v>
      </c>
      <c r="C202" s="114">
        <v>0.5</v>
      </c>
      <c r="D202" s="71">
        <v>810</v>
      </c>
      <c r="E202" s="90">
        <v>60</v>
      </c>
      <c r="F202" s="116">
        <f t="shared" si="3"/>
        <v>6.75</v>
      </c>
      <c r="K202" s="106" t="s">
        <v>97</v>
      </c>
      <c r="L202" s="106"/>
      <c r="M202" s="106" t="s">
        <v>96</v>
      </c>
      <c r="N202" s="106">
        <v>810</v>
      </c>
      <c r="O202" s="107">
        <v>0.5</v>
      </c>
    </row>
    <row r="203" spans="1:15" ht="15" thickBot="1" x14ac:dyDescent="0.35">
      <c r="A203" s="72" t="s">
        <v>10</v>
      </c>
      <c r="B203" s="72" t="s">
        <v>41</v>
      </c>
      <c r="C203" s="115">
        <v>0.37777777777777777</v>
      </c>
      <c r="D203" s="72">
        <v>5</v>
      </c>
      <c r="E203" s="95">
        <v>180</v>
      </c>
      <c r="F203" s="116">
        <f t="shared" si="3"/>
        <v>1.0493827160493827E-2</v>
      </c>
      <c r="K203" s="105" t="s">
        <v>10</v>
      </c>
      <c r="L203" s="105"/>
      <c r="M203" s="105" t="s">
        <v>41</v>
      </c>
      <c r="N203" s="105">
        <v>5</v>
      </c>
      <c r="O203" s="108">
        <v>0.37777777777777777</v>
      </c>
    </row>
    <row r="204" spans="1:15" ht="15" thickTop="1" x14ac:dyDescent="0.3">
      <c r="E204" s="10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1CCB-3176-4C21-A033-09C9A97A82B9}">
  <dimension ref="A1:E13"/>
  <sheetViews>
    <sheetView workbookViewId="0">
      <selection activeCell="E13" sqref="C8:E13"/>
    </sheetView>
  </sheetViews>
  <sheetFormatPr defaultRowHeight="14.4" x14ac:dyDescent="0.3"/>
  <cols>
    <col min="1" max="1" width="15.44140625" customWidth="1"/>
    <col min="3" max="3" width="14.6640625" customWidth="1"/>
    <col min="4" max="4" width="28.77734375" customWidth="1"/>
    <col min="5" max="5" width="28.88671875" customWidth="1"/>
  </cols>
  <sheetData>
    <row r="1" spans="1:5" x14ac:dyDescent="0.3">
      <c r="A1" t="s">
        <v>5</v>
      </c>
      <c r="B1" t="s">
        <v>144</v>
      </c>
      <c r="C1" t="s">
        <v>361</v>
      </c>
      <c r="D1" t="s">
        <v>362</v>
      </c>
      <c r="E1" t="s">
        <v>363</v>
      </c>
    </row>
    <row r="2" spans="1:5" x14ac:dyDescent="0.3">
      <c r="A2">
        <v>2006</v>
      </c>
      <c r="B2">
        <v>1230</v>
      </c>
    </row>
    <row r="3" spans="1:5" x14ac:dyDescent="0.3">
      <c r="A3">
        <v>2007</v>
      </c>
      <c r="B3">
        <v>1453</v>
      </c>
    </row>
    <row r="4" spans="1:5" x14ac:dyDescent="0.3">
      <c r="A4">
        <v>2008</v>
      </c>
      <c r="B4">
        <v>1674</v>
      </c>
    </row>
    <row r="5" spans="1:5" x14ac:dyDescent="0.3">
      <c r="A5">
        <v>2009</v>
      </c>
      <c r="B5">
        <v>1328</v>
      </c>
    </row>
    <row r="6" spans="1:5" x14ac:dyDescent="0.3">
      <c r="A6">
        <v>2010</v>
      </c>
      <c r="B6">
        <v>2543</v>
      </c>
    </row>
    <row r="7" spans="1:5" x14ac:dyDescent="0.3">
      <c r="A7">
        <v>2011</v>
      </c>
      <c r="B7">
        <v>2081</v>
      </c>
    </row>
    <row r="8" spans="1:5" x14ac:dyDescent="0.3">
      <c r="A8">
        <v>2012</v>
      </c>
      <c r="B8">
        <v>2048</v>
      </c>
      <c r="C8" s="58">
        <v>2048</v>
      </c>
      <c r="D8" s="58">
        <v>2048</v>
      </c>
      <c r="E8" s="58">
        <v>2048</v>
      </c>
    </row>
    <row r="9" spans="1:5" x14ac:dyDescent="0.3">
      <c r="A9">
        <v>2013</v>
      </c>
      <c r="C9" s="58">
        <f>_xlfn.FORECAST.ETS(A9,$B$2:$B$8,$A$2:$A$8,1,1)</f>
        <v>2376.6127652546393</v>
      </c>
      <c r="D9" s="58">
        <f>C9-_xlfn.FORECAST.ETS.CONFINT(A9,$B$2:$B$8,$A$2:$A$8,0.95,1,1)</f>
        <v>1786.4394446787251</v>
      </c>
      <c r="E9" s="58">
        <f>C9+_xlfn.FORECAST.ETS.CONFINT(A9,$B$2:$B$8,$A$2:$A$8,0.95,1,1)</f>
        <v>2966.7860858305535</v>
      </c>
    </row>
    <row r="10" spans="1:5" x14ac:dyDescent="0.3">
      <c r="A10">
        <v>2014</v>
      </c>
      <c r="C10" s="58">
        <f>_xlfn.FORECAST.ETS(A10,$B$2:$B$8,$A$2:$A$8,1,1)</f>
        <v>2540.4576489385904</v>
      </c>
      <c r="D10" s="58">
        <f>C10-_xlfn.FORECAST.ETS.CONFINT(A10,$B$2:$B$8,$A$2:$A$8,0.95,1,1)</f>
        <v>1950.2816725887092</v>
      </c>
      <c r="E10" s="58">
        <f>C10+_xlfn.FORECAST.ETS.CONFINT(A10,$B$2:$B$8,$A$2:$A$8,0.95,1,1)</f>
        <v>3130.6336252884716</v>
      </c>
    </row>
    <row r="11" spans="1:5" x14ac:dyDescent="0.3">
      <c r="A11">
        <v>2015</v>
      </c>
      <c r="C11" s="58">
        <f>_xlfn.FORECAST.ETS(A11,$B$2:$B$8,$A$2:$A$8,1,1)</f>
        <v>2704.3025326225415</v>
      </c>
      <c r="D11" s="58">
        <f>C11-_xlfn.FORECAST.ETS.CONFINT(A11,$B$2:$B$8,$A$2:$A$8,0.95,1,1)</f>
        <v>2114.1218349262272</v>
      </c>
      <c r="E11" s="58">
        <f>C11+_xlfn.FORECAST.ETS.CONFINT(A11,$B$2:$B$8,$A$2:$A$8,0.95,1,1)</f>
        <v>3294.4832303188559</v>
      </c>
    </row>
    <row r="12" spans="1:5" x14ac:dyDescent="0.3">
      <c r="A12">
        <v>2016</v>
      </c>
      <c r="C12" s="58">
        <f>_xlfn.FORECAST.ETS(A12,$B$2:$B$8,$A$2:$A$8,1,1)</f>
        <v>2868.1474163064922</v>
      </c>
      <c r="D12" s="58">
        <f>C12-_xlfn.FORECAST.ETS.CONFINT(A12,$B$2:$B$8,$A$2:$A$8,0.95,1,1)</f>
        <v>2277.9593415819882</v>
      </c>
      <c r="E12" s="58">
        <f>C12+_xlfn.FORECAST.ETS.CONFINT(A12,$B$2:$B$8,$A$2:$A$8,0.95,1,1)</f>
        <v>3458.3354910309963</v>
      </c>
    </row>
    <row r="13" spans="1:5" x14ac:dyDescent="0.3">
      <c r="A13">
        <v>2017</v>
      </c>
      <c r="C13" s="58">
        <f>_xlfn.FORECAST.ETS(A13,$B$2:$B$8,$A$2:$A$8,1,1)</f>
        <v>3031.9922999904438</v>
      </c>
      <c r="D13" s="58">
        <f>C13-_xlfn.FORECAST.ETS.CONFINT(A13,$B$2:$B$8,$A$2:$A$8,0.95,1,1)</f>
        <v>2441.7936025073368</v>
      </c>
      <c r="E13" s="58">
        <f>C13+_xlfn.FORECAST.ETS.CONFINT(A13,$B$2:$B$8,$A$2:$A$8,0.95,1,1)</f>
        <v>3622.1909974735509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07"/>
  <sheetViews>
    <sheetView zoomScaleNormal="100" workbookViewId="0">
      <selection activeCell="N1" sqref="N1"/>
    </sheetView>
  </sheetViews>
  <sheetFormatPr defaultRowHeight="14.4" x14ac:dyDescent="0.3"/>
  <cols>
    <col min="1" max="1" width="12.109375" customWidth="1"/>
    <col min="2" max="2" width="28.88671875" customWidth="1"/>
    <col min="3" max="3" width="17.44140625" customWidth="1"/>
    <col min="4" max="4" width="18" style="3" customWidth="1"/>
    <col min="5" max="5" width="14.109375" style="3" customWidth="1"/>
    <col min="6" max="6" width="11.6640625" style="8" customWidth="1"/>
    <col min="7" max="12" width="9.109375" style="8"/>
    <col min="13" max="13" width="17.88671875" style="3" customWidth="1"/>
    <col min="14" max="14" width="24.33203125" customWidth="1"/>
    <col min="15" max="15" width="31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7">
        <v>2012</v>
      </c>
      <c r="G1" s="7">
        <v>2011</v>
      </c>
      <c r="H1" s="7">
        <v>2010</v>
      </c>
      <c r="I1" s="7">
        <v>2009</v>
      </c>
      <c r="J1" s="7">
        <v>2008</v>
      </c>
      <c r="K1" s="7">
        <v>2007</v>
      </c>
      <c r="L1" s="7">
        <v>2006</v>
      </c>
      <c r="M1" s="3" t="s">
        <v>5</v>
      </c>
      <c r="N1" t="s">
        <v>6</v>
      </c>
    </row>
    <row r="2" spans="1:14" x14ac:dyDescent="0.3">
      <c r="A2" t="s">
        <v>7</v>
      </c>
      <c r="B2" t="s">
        <v>8</v>
      </c>
      <c r="C2" t="s">
        <v>9</v>
      </c>
      <c r="D2" s="3">
        <v>7</v>
      </c>
      <c r="E2" s="3">
        <v>30</v>
      </c>
      <c r="F2" s="8">
        <v>2132</v>
      </c>
      <c r="G2" s="8">
        <v>2648</v>
      </c>
      <c r="H2" s="8">
        <v>2712</v>
      </c>
      <c r="I2" s="8">
        <v>1775</v>
      </c>
      <c r="J2" s="8">
        <v>2302</v>
      </c>
      <c r="K2" s="8">
        <v>2250</v>
      </c>
      <c r="L2" s="8">
        <v>2532</v>
      </c>
      <c r="M2" s="3" t="s">
        <v>10</v>
      </c>
      <c r="N2">
        <v>91</v>
      </c>
    </row>
    <row r="3" spans="1:14" x14ac:dyDescent="0.3">
      <c r="A3" t="s">
        <v>7</v>
      </c>
      <c r="B3" t="s">
        <v>11</v>
      </c>
      <c r="C3" t="s">
        <v>12</v>
      </c>
      <c r="D3" s="3">
        <v>7</v>
      </c>
      <c r="E3" s="3">
        <v>40</v>
      </c>
      <c r="F3" s="8">
        <v>1300</v>
      </c>
      <c r="G3" s="8">
        <v>1250</v>
      </c>
      <c r="H3" s="8">
        <v>800</v>
      </c>
      <c r="I3" s="8">
        <v>750</v>
      </c>
      <c r="J3" s="8">
        <v>1200</v>
      </c>
      <c r="K3" s="8">
        <v>2050</v>
      </c>
      <c r="L3" s="8">
        <v>1980</v>
      </c>
      <c r="M3" s="3" t="s">
        <v>10</v>
      </c>
      <c r="N3">
        <v>97</v>
      </c>
    </row>
    <row r="4" spans="1:14" hidden="1" x14ac:dyDescent="0.3">
      <c r="A4" t="s">
        <v>7</v>
      </c>
      <c r="B4" t="s">
        <v>8</v>
      </c>
      <c r="C4" t="s">
        <v>13</v>
      </c>
      <c r="D4" s="3">
        <v>7</v>
      </c>
      <c r="E4" s="3">
        <v>40</v>
      </c>
      <c r="F4" s="8">
        <v>6</v>
      </c>
      <c r="G4" s="8">
        <v>15</v>
      </c>
      <c r="M4" s="3" t="s">
        <v>10</v>
      </c>
      <c r="N4">
        <v>94</v>
      </c>
    </row>
    <row r="5" spans="1:14" hidden="1" x14ac:dyDescent="0.3">
      <c r="A5" t="s">
        <v>7</v>
      </c>
      <c r="B5" t="s">
        <v>8</v>
      </c>
      <c r="C5" t="s">
        <v>14</v>
      </c>
      <c r="D5" s="3">
        <v>7</v>
      </c>
      <c r="E5" s="3">
        <v>40</v>
      </c>
      <c r="F5" s="8">
        <v>135</v>
      </c>
      <c r="G5" s="8">
        <v>46</v>
      </c>
      <c r="M5" s="3" t="s">
        <v>10</v>
      </c>
      <c r="N5">
        <v>95</v>
      </c>
    </row>
    <row r="6" spans="1:14" x14ac:dyDescent="0.3">
      <c r="A6" t="s">
        <v>15</v>
      </c>
      <c r="B6" t="s">
        <v>16</v>
      </c>
      <c r="C6" t="s">
        <v>9</v>
      </c>
      <c r="D6" s="3">
        <v>6</v>
      </c>
      <c r="E6" s="3">
        <v>40</v>
      </c>
      <c r="F6" s="8">
        <v>405</v>
      </c>
      <c r="G6" s="8">
        <v>534</v>
      </c>
      <c r="H6" s="8">
        <v>987</v>
      </c>
      <c r="I6" s="8">
        <v>1917</v>
      </c>
      <c r="J6" s="8">
        <v>1047</v>
      </c>
      <c r="K6" s="8">
        <v>326</v>
      </c>
      <c r="L6" s="8">
        <v>857</v>
      </c>
      <c r="M6" s="3" t="s">
        <v>10</v>
      </c>
      <c r="N6">
        <v>92</v>
      </c>
    </row>
    <row r="7" spans="1:14" x14ac:dyDescent="0.3">
      <c r="A7" t="s">
        <v>15</v>
      </c>
      <c r="B7" t="s">
        <v>16</v>
      </c>
      <c r="C7" t="s">
        <v>12</v>
      </c>
      <c r="D7" s="3">
        <v>6</v>
      </c>
      <c r="E7" s="3">
        <v>50</v>
      </c>
      <c r="F7" s="8">
        <v>450</v>
      </c>
      <c r="G7" s="8">
        <v>300</v>
      </c>
      <c r="H7" s="8">
        <v>230</v>
      </c>
      <c r="I7" s="8">
        <v>200</v>
      </c>
      <c r="J7" s="8">
        <v>225</v>
      </c>
      <c r="K7" s="8">
        <v>705</v>
      </c>
      <c r="L7" s="8">
        <v>680</v>
      </c>
      <c r="M7" s="3" t="s">
        <v>10</v>
      </c>
      <c r="N7">
        <v>92</v>
      </c>
    </row>
    <row r="8" spans="1:14" hidden="1" x14ac:dyDescent="0.3">
      <c r="A8" t="s">
        <v>15</v>
      </c>
      <c r="B8" t="s">
        <v>16</v>
      </c>
      <c r="C8" t="s">
        <v>17</v>
      </c>
      <c r="D8" s="3">
        <v>6</v>
      </c>
      <c r="E8" s="3">
        <v>55</v>
      </c>
      <c r="F8" s="8">
        <v>530</v>
      </c>
      <c r="G8" s="8">
        <v>135</v>
      </c>
      <c r="M8" s="3" t="s">
        <v>10</v>
      </c>
      <c r="N8">
        <v>90</v>
      </c>
    </row>
    <row r="9" spans="1:14" x14ac:dyDescent="0.3">
      <c r="A9" t="s">
        <v>18</v>
      </c>
      <c r="B9" t="s">
        <v>19</v>
      </c>
      <c r="C9" t="s">
        <v>9</v>
      </c>
      <c r="D9" s="3">
        <v>35</v>
      </c>
      <c r="E9" s="3">
        <v>185</v>
      </c>
      <c r="F9" s="8">
        <v>112</v>
      </c>
      <c r="G9" s="8">
        <v>98</v>
      </c>
      <c r="H9" s="8">
        <v>92</v>
      </c>
      <c r="I9" s="8">
        <v>235</v>
      </c>
      <c r="J9" s="8">
        <v>176</v>
      </c>
      <c r="K9" s="8">
        <v>88</v>
      </c>
      <c r="L9" s="8">
        <v>28</v>
      </c>
      <c r="M9" s="3" t="s">
        <v>10</v>
      </c>
      <c r="N9">
        <v>97</v>
      </c>
    </row>
    <row r="10" spans="1:14" x14ac:dyDescent="0.3">
      <c r="A10" t="s">
        <v>18</v>
      </c>
      <c r="B10" t="s">
        <v>19</v>
      </c>
      <c r="C10" t="s">
        <v>12</v>
      </c>
      <c r="D10" s="3">
        <v>35</v>
      </c>
      <c r="E10" s="3">
        <v>250</v>
      </c>
      <c r="F10" s="8">
        <v>230</v>
      </c>
      <c r="G10" s="8">
        <v>187</v>
      </c>
      <c r="H10" s="8">
        <v>135</v>
      </c>
      <c r="I10" s="8">
        <v>87</v>
      </c>
      <c r="J10" s="8">
        <v>53</v>
      </c>
      <c r="K10" s="8">
        <v>235</v>
      </c>
      <c r="L10" s="8">
        <v>200</v>
      </c>
      <c r="M10" s="3" t="s">
        <v>10</v>
      </c>
      <c r="N10">
        <v>96</v>
      </c>
    </row>
    <row r="11" spans="1:14" hidden="1" x14ac:dyDescent="0.3">
      <c r="A11" t="s">
        <v>18</v>
      </c>
      <c r="B11" t="s">
        <v>19</v>
      </c>
      <c r="C11" t="s">
        <v>20</v>
      </c>
      <c r="D11" s="3">
        <v>35</v>
      </c>
      <c r="E11" s="3">
        <v>250</v>
      </c>
      <c r="F11" s="8">
        <v>26</v>
      </c>
      <c r="G11" s="8">
        <v>13</v>
      </c>
      <c r="M11" s="3" t="s">
        <v>10</v>
      </c>
      <c r="N11">
        <v>95</v>
      </c>
    </row>
    <row r="12" spans="1:14" hidden="1" x14ac:dyDescent="0.3">
      <c r="A12" t="s">
        <v>18</v>
      </c>
      <c r="B12" t="s">
        <v>19</v>
      </c>
      <c r="C12" t="s">
        <v>21</v>
      </c>
      <c r="D12" s="3">
        <v>35</v>
      </c>
      <c r="E12" s="3">
        <v>250</v>
      </c>
      <c r="F12" s="8">
        <v>135</v>
      </c>
      <c r="G12" s="8">
        <v>78</v>
      </c>
      <c r="M12" s="3" t="s">
        <v>10</v>
      </c>
      <c r="N12">
        <v>95</v>
      </c>
    </row>
    <row r="13" spans="1:14" hidden="1" x14ac:dyDescent="0.3">
      <c r="A13" t="s">
        <v>18</v>
      </c>
      <c r="B13" t="s">
        <v>19</v>
      </c>
      <c r="C13" t="s">
        <v>22</v>
      </c>
      <c r="D13" s="3">
        <v>35</v>
      </c>
      <c r="E13" s="3">
        <v>250</v>
      </c>
      <c r="F13" s="8">
        <v>15</v>
      </c>
      <c r="G13" s="8">
        <v>8</v>
      </c>
      <c r="M13" s="3" t="s">
        <v>10</v>
      </c>
      <c r="N13">
        <v>97</v>
      </c>
    </row>
    <row r="14" spans="1:14" hidden="1" x14ac:dyDescent="0.3">
      <c r="A14" t="s">
        <v>18</v>
      </c>
      <c r="B14" t="s">
        <v>19</v>
      </c>
      <c r="C14" t="s">
        <v>17</v>
      </c>
      <c r="D14" s="3">
        <v>35</v>
      </c>
      <c r="E14" s="3">
        <v>250</v>
      </c>
      <c r="F14" s="8">
        <v>76</v>
      </c>
      <c r="G14" s="8">
        <v>55</v>
      </c>
      <c r="M14" s="3" t="s">
        <v>10</v>
      </c>
      <c r="N14">
        <v>95</v>
      </c>
    </row>
    <row r="15" spans="1:14" x14ac:dyDescent="0.3">
      <c r="A15" t="s">
        <v>23</v>
      </c>
      <c r="B15" t="s">
        <v>24</v>
      </c>
      <c r="C15" t="s">
        <v>9</v>
      </c>
      <c r="D15" s="3">
        <v>7</v>
      </c>
      <c r="E15" s="3">
        <v>45</v>
      </c>
      <c r="F15" s="8">
        <v>1064</v>
      </c>
      <c r="G15" s="8">
        <v>1153</v>
      </c>
      <c r="H15" s="8">
        <v>1979</v>
      </c>
      <c r="I15" s="8">
        <v>2901</v>
      </c>
      <c r="J15" s="8">
        <v>2434</v>
      </c>
      <c r="K15" s="8">
        <v>1693</v>
      </c>
      <c r="L15" s="8">
        <v>1311</v>
      </c>
      <c r="M15" s="3" t="s">
        <v>10</v>
      </c>
      <c r="N15">
        <v>94</v>
      </c>
    </row>
    <row r="16" spans="1:14" x14ac:dyDescent="0.3">
      <c r="A16" t="s">
        <v>23</v>
      </c>
      <c r="B16" t="s">
        <v>24</v>
      </c>
      <c r="C16" t="s">
        <v>12</v>
      </c>
      <c r="D16" s="3">
        <v>7</v>
      </c>
      <c r="E16" s="3">
        <v>55</v>
      </c>
      <c r="F16" s="8">
        <v>1578</v>
      </c>
      <c r="G16" s="8">
        <v>1450</v>
      </c>
      <c r="H16" s="8">
        <v>1135</v>
      </c>
      <c r="I16" s="8">
        <v>957</v>
      </c>
      <c r="J16" s="8">
        <v>2300</v>
      </c>
      <c r="K16" s="8">
        <v>2780</v>
      </c>
      <c r="L16" s="8">
        <v>2800</v>
      </c>
      <c r="M16" s="3" t="s">
        <v>10</v>
      </c>
      <c r="N16">
        <v>95</v>
      </c>
    </row>
    <row r="17" spans="1:14" hidden="1" x14ac:dyDescent="0.3">
      <c r="A17" t="s">
        <v>23</v>
      </c>
      <c r="B17" t="s">
        <v>24</v>
      </c>
      <c r="C17" t="s">
        <v>25</v>
      </c>
      <c r="D17" s="3">
        <v>7</v>
      </c>
      <c r="E17" s="3">
        <v>55</v>
      </c>
      <c r="F17" s="8">
        <v>23</v>
      </c>
      <c r="G17" s="8">
        <v>15</v>
      </c>
      <c r="M17" s="3" t="s">
        <v>10</v>
      </c>
      <c r="N17">
        <v>90</v>
      </c>
    </row>
    <row r="18" spans="1:14" hidden="1" x14ac:dyDescent="0.3">
      <c r="A18" t="s">
        <v>26</v>
      </c>
      <c r="B18" t="s">
        <v>27</v>
      </c>
      <c r="C18" t="s">
        <v>28</v>
      </c>
      <c r="D18" s="3">
        <v>15</v>
      </c>
      <c r="E18" s="3">
        <v>75</v>
      </c>
      <c r="F18" s="8">
        <v>496</v>
      </c>
      <c r="G18" s="8">
        <v>557</v>
      </c>
      <c r="M18" s="3" t="s">
        <v>10</v>
      </c>
      <c r="N18">
        <v>91</v>
      </c>
    </row>
    <row r="19" spans="1:14" x14ac:dyDescent="0.3">
      <c r="A19" t="s">
        <v>29</v>
      </c>
      <c r="B19" t="s">
        <v>30</v>
      </c>
      <c r="C19" t="s">
        <v>9</v>
      </c>
      <c r="D19" s="3">
        <v>55</v>
      </c>
      <c r="E19" s="3">
        <v>530</v>
      </c>
      <c r="F19" s="8">
        <v>58</v>
      </c>
      <c r="G19" s="8">
        <v>75</v>
      </c>
      <c r="H19" s="8">
        <v>39</v>
      </c>
      <c r="I19" s="8">
        <v>16</v>
      </c>
      <c r="J19" s="8">
        <v>21</v>
      </c>
      <c r="K19" s="8">
        <v>60</v>
      </c>
      <c r="L19" s="8">
        <v>64</v>
      </c>
      <c r="M19" s="3" t="s">
        <v>10</v>
      </c>
      <c r="N19">
        <v>100</v>
      </c>
    </row>
    <row r="20" spans="1:14" x14ac:dyDescent="0.3">
      <c r="A20" t="s">
        <v>29</v>
      </c>
      <c r="B20" t="s">
        <v>30</v>
      </c>
      <c r="C20" t="s">
        <v>12</v>
      </c>
      <c r="D20" s="3">
        <v>55</v>
      </c>
      <c r="E20" s="3">
        <v>600</v>
      </c>
      <c r="F20" s="8">
        <v>66</v>
      </c>
      <c r="G20" s="8">
        <v>35</v>
      </c>
      <c r="H20" s="8">
        <v>12</v>
      </c>
      <c r="I20" s="8">
        <v>15</v>
      </c>
      <c r="J20" s="8">
        <v>33</v>
      </c>
      <c r="K20" s="8">
        <v>50</v>
      </c>
      <c r="L20" s="8">
        <v>45</v>
      </c>
      <c r="M20" s="3" t="s">
        <v>10</v>
      </c>
      <c r="N20">
        <v>94</v>
      </c>
    </row>
    <row r="21" spans="1:14" hidden="1" x14ac:dyDescent="0.3">
      <c r="A21" t="s">
        <v>29</v>
      </c>
      <c r="B21" t="s">
        <v>30</v>
      </c>
      <c r="C21" t="s">
        <v>17</v>
      </c>
      <c r="D21" s="3">
        <v>55</v>
      </c>
      <c r="E21" s="3">
        <v>600</v>
      </c>
      <c r="F21" s="8">
        <v>35</v>
      </c>
      <c r="G21" s="8">
        <v>14</v>
      </c>
      <c r="M21" s="3" t="s">
        <v>10</v>
      </c>
      <c r="N21">
        <v>90</v>
      </c>
    </row>
    <row r="22" spans="1:14" hidden="1" x14ac:dyDescent="0.3">
      <c r="A22" t="s">
        <v>29</v>
      </c>
      <c r="B22" t="s">
        <v>30</v>
      </c>
      <c r="C22" t="s">
        <v>21</v>
      </c>
      <c r="D22" s="3">
        <v>55</v>
      </c>
      <c r="E22" s="3">
        <v>615</v>
      </c>
      <c r="F22" s="8">
        <v>57</v>
      </c>
      <c r="G22" s="8">
        <v>35</v>
      </c>
      <c r="M22" s="3" t="s">
        <v>10</v>
      </c>
      <c r="N22">
        <v>93</v>
      </c>
    </row>
    <row r="23" spans="1:14" x14ac:dyDescent="0.3">
      <c r="A23" t="s">
        <v>31</v>
      </c>
      <c r="B23" t="s">
        <v>32</v>
      </c>
      <c r="C23" t="s">
        <v>9</v>
      </c>
      <c r="D23" s="3">
        <v>65</v>
      </c>
      <c r="E23" s="3">
        <v>584</v>
      </c>
      <c r="F23" s="8">
        <v>51</v>
      </c>
      <c r="G23" s="8">
        <v>78</v>
      </c>
      <c r="H23" s="8">
        <v>193</v>
      </c>
      <c r="I23" s="8">
        <v>0</v>
      </c>
      <c r="J23" s="8">
        <v>0</v>
      </c>
      <c r="K23" s="8">
        <v>0</v>
      </c>
      <c r="L23" s="8">
        <v>0</v>
      </c>
      <c r="M23" s="3" t="s">
        <v>10</v>
      </c>
      <c r="N23">
        <v>94</v>
      </c>
    </row>
    <row r="24" spans="1:14" x14ac:dyDescent="0.3">
      <c r="A24" t="s">
        <v>31</v>
      </c>
      <c r="B24" t="s">
        <v>32</v>
      </c>
      <c r="C24" t="s">
        <v>12</v>
      </c>
      <c r="D24" s="3">
        <v>65</v>
      </c>
      <c r="E24" s="3">
        <v>650</v>
      </c>
      <c r="F24" s="8">
        <v>158</v>
      </c>
      <c r="G24" s="8">
        <v>113</v>
      </c>
      <c r="H24" s="8">
        <v>250</v>
      </c>
      <c r="M24" s="3" t="s">
        <v>10</v>
      </c>
      <c r="N24">
        <v>97</v>
      </c>
    </row>
    <row r="25" spans="1:14" hidden="1" x14ac:dyDescent="0.3">
      <c r="A25" t="s">
        <v>31</v>
      </c>
      <c r="B25" t="s">
        <v>32</v>
      </c>
      <c r="C25" t="s">
        <v>25</v>
      </c>
      <c r="D25" s="3">
        <v>65</v>
      </c>
      <c r="E25" s="3">
        <v>650</v>
      </c>
      <c r="F25" s="8">
        <v>3</v>
      </c>
      <c r="M25" s="3" t="s">
        <v>10</v>
      </c>
      <c r="N25">
        <v>98</v>
      </c>
    </row>
    <row r="26" spans="1:14" hidden="1" x14ac:dyDescent="0.3">
      <c r="A26" t="s">
        <v>31</v>
      </c>
      <c r="B26" t="s">
        <v>32</v>
      </c>
      <c r="C26" t="s">
        <v>33</v>
      </c>
      <c r="D26" s="3">
        <v>65</v>
      </c>
      <c r="E26" s="3">
        <v>700</v>
      </c>
      <c r="G26" s="8">
        <v>5</v>
      </c>
      <c r="M26" s="3" t="s">
        <v>10</v>
      </c>
      <c r="N26">
        <v>98</v>
      </c>
    </row>
    <row r="27" spans="1:14" hidden="1" x14ac:dyDescent="0.3">
      <c r="A27" t="s">
        <v>31</v>
      </c>
      <c r="B27" t="s">
        <v>32</v>
      </c>
      <c r="C27" t="s">
        <v>21</v>
      </c>
      <c r="D27" s="3">
        <v>65</v>
      </c>
      <c r="E27" s="3">
        <v>700</v>
      </c>
      <c r="F27" s="8">
        <v>5</v>
      </c>
      <c r="M27" s="3" t="s">
        <v>10</v>
      </c>
      <c r="N27">
        <v>99</v>
      </c>
    </row>
    <row r="28" spans="1:14" hidden="1" x14ac:dyDescent="0.3">
      <c r="A28" t="s">
        <v>31</v>
      </c>
      <c r="B28" t="s">
        <v>32</v>
      </c>
      <c r="C28" t="s">
        <v>17</v>
      </c>
      <c r="D28" s="3">
        <v>65</v>
      </c>
      <c r="E28" s="3">
        <v>700</v>
      </c>
      <c r="F28" s="8">
        <v>53</v>
      </c>
      <c r="G28" s="8">
        <v>28</v>
      </c>
      <c r="M28" s="3" t="s">
        <v>10</v>
      </c>
      <c r="N28">
        <v>93</v>
      </c>
    </row>
    <row r="29" spans="1:14" x14ac:dyDescent="0.3">
      <c r="A29" t="s">
        <v>34</v>
      </c>
      <c r="B29" s="2" t="s">
        <v>35</v>
      </c>
      <c r="C29" s="2" t="s">
        <v>9</v>
      </c>
      <c r="D29" s="3">
        <v>5</v>
      </c>
      <c r="E29" s="3">
        <v>65</v>
      </c>
      <c r="F29" s="8">
        <v>728</v>
      </c>
      <c r="G29" s="8">
        <v>871</v>
      </c>
      <c r="H29" s="8">
        <v>913</v>
      </c>
      <c r="I29" s="8">
        <v>1800</v>
      </c>
      <c r="J29" s="8">
        <v>1315</v>
      </c>
      <c r="K29" s="8">
        <v>577</v>
      </c>
      <c r="L29" s="8">
        <v>573</v>
      </c>
      <c r="M29" s="3" t="s">
        <v>10</v>
      </c>
      <c r="N29">
        <v>93</v>
      </c>
    </row>
    <row r="30" spans="1:14" x14ac:dyDescent="0.3">
      <c r="A30" t="s">
        <v>34</v>
      </c>
      <c r="B30" s="2" t="s">
        <v>35</v>
      </c>
      <c r="C30" s="2" t="s">
        <v>12</v>
      </c>
      <c r="D30" s="3">
        <v>5</v>
      </c>
      <c r="E30" s="3">
        <v>70</v>
      </c>
      <c r="F30" s="8">
        <v>890</v>
      </c>
      <c r="G30" s="8">
        <v>765</v>
      </c>
      <c r="H30" s="8">
        <v>521</v>
      </c>
      <c r="I30" s="8">
        <v>220</v>
      </c>
      <c r="J30" s="8">
        <v>349</v>
      </c>
      <c r="K30" s="8">
        <v>1385</v>
      </c>
      <c r="L30" s="8">
        <v>1290</v>
      </c>
      <c r="M30" s="3" t="s">
        <v>10</v>
      </c>
      <c r="N30">
        <v>93</v>
      </c>
    </row>
    <row r="31" spans="1:14" hidden="1" x14ac:dyDescent="0.3">
      <c r="A31" t="s">
        <v>34</v>
      </c>
      <c r="B31" s="2" t="s">
        <v>35</v>
      </c>
      <c r="C31" s="2" t="s">
        <v>14</v>
      </c>
      <c r="D31" s="3">
        <v>5</v>
      </c>
      <c r="E31" s="3">
        <v>70</v>
      </c>
      <c r="F31" s="8">
        <v>23</v>
      </c>
      <c r="G31" s="8">
        <v>5</v>
      </c>
      <c r="M31" s="3" t="s">
        <v>10</v>
      </c>
      <c r="N31">
        <v>93</v>
      </c>
    </row>
    <row r="32" spans="1:14" hidden="1" x14ac:dyDescent="0.3">
      <c r="A32" t="s">
        <v>34</v>
      </c>
      <c r="B32" s="2" t="s">
        <v>35</v>
      </c>
      <c r="C32" s="2" t="s">
        <v>25</v>
      </c>
      <c r="D32" s="3">
        <v>5</v>
      </c>
      <c r="E32" s="3">
        <v>70</v>
      </c>
      <c r="F32" s="8">
        <v>15</v>
      </c>
      <c r="M32" s="3" t="s">
        <v>10</v>
      </c>
      <c r="N32">
        <v>99</v>
      </c>
    </row>
    <row r="33" spans="1:14" x14ac:dyDescent="0.3">
      <c r="A33" t="s">
        <v>36</v>
      </c>
      <c r="B33" t="s">
        <v>37</v>
      </c>
      <c r="C33" s="2" t="s">
        <v>9</v>
      </c>
      <c r="D33" s="3">
        <v>5</v>
      </c>
      <c r="E33" s="3">
        <v>45</v>
      </c>
      <c r="F33" s="8">
        <v>787</v>
      </c>
      <c r="G33" s="8">
        <v>478</v>
      </c>
      <c r="H33" s="8">
        <v>1235</v>
      </c>
      <c r="I33" s="8">
        <v>1450</v>
      </c>
      <c r="J33" s="8">
        <v>1728</v>
      </c>
      <c r="K33" s="8">
        <v>1182</v>
      </c>
      <c r="L33" s="8">
        <v>999</v>
      </c>
      <c r="M33" s="3" t="s">
        <v>10</v>
      </c>
      <c r="N33">
        <v>97</v>
      </c>
    </row>
    <row r="34" spans="1:14" x14ac:dyDescent="0.3">
      <c r="A34" t="s">
        <v>36</v>
      </c>
      <c r="B34" t="s">
        <v>37</v>
      </c>
      <c r="C34" s="2" t="s">
        <v>12</v>
      </c>
      <c r="D34" s="3">
        <v>5</v>
      </c>
      <c r="E34" s="3">
        <v>50</v>
      </c>
      <c r="F34" s="8">
        <v>860</v>
      </c>
      <c r="G34" s="8">
        <v>744</v>
      </c>
      <c r="H34" s="8">
        <v>343</v>
      </c>
      <c r="I34" s="8">
        <v>320</v>
      </c>
      <c r="J34" s="8">
        <v>287</v>
      </c>
      <c r="K34" s="8">
        <v>680</v>
      </c>
      <c r="L34" s="8">
        <v>623</v>
      </c>
      <c r="M34" s="3" t="s">
        <v>10</v>
      </c>
      <c r="N34">
        <v>96</v>
      </c>
    </row>
    <row r="35" spans="1:14" hidden="1" x14ac:dyDescent="0.3">
      <c r="A35" t="s">
        <v>36</v>
      </c>
      <c r="B35" t="s">
        <v>37</v>
      </c>
      <c r="C35" s="2" t="s">
        <v>38</v>
      </c>
      <c r="D35" s="3">
        <v>5</v>
      </c>
      <c r="E35" s="3">
        <v>60</v>
      </c>
      <c r="F35" s="8">
        <v>23</v>
      </c>
      <c r="G35" s="8">
        <v>35</v>
      </c>
      <c r="M35" s="3" t="s">
        <v>10</v>
      </c>
      <c r="N35">
        <v>95</v>
      </c>
    </row>
    <row r="36" spans="1:14" x14ac:dyDescent="0.3">
      <c r="A36" t="s">
        <v>39</v>
      </c>
      <c r="B36" t="s">
        <v>40</v>
      </c>
      <c r="C36" s="2" t="s">
        <v>9</v>
      </c>
      <c r="D36" s="3">
        <v>35</v>
      </c>
      <c r="E36" s="3">
        <v>135</v>
      </c>
      <c r="F36" s="8">
        <v>116</v>
      </c>
      <c r="G36" s="8">
        <v>164</v>
      </c>
      <c r="H36" s="8">
        <v>319</v>
      </c>
      <c r="I36" s="8">
        <v>251</v>
      </c>
      <c r="J36" s="8">
        <v>207</v>
      </c>
      <c r="K36" s="8">
        <v>182</v>
      </c>
      <c r="L36" s="8">
        <v>54</v>
      </c>
      <c r="M36" s="3" t="s">
        <v>10</v>
      </c>
      <c r="N36">
        <v>96</v>
      </c>
    </row>
    <row r="37" spans="1:14" hidden="1" x14ac:dyDescent="0.3">
      <c r="A37" t="s">
        <v>39</v>
      </c>
      <c r="B37" t="s">
        <v>40</v>
      </c>
      <c r="C37" s="2" t="s">
        <v>17</v>
      </c>
      <c r="D37" s="3">
        <v>35</v>
      </c>
      <c r="E37" s="3">
        <v>180</v>
      </c>
      <c r="G37" s="8">
        <v>89</v>
      </c>
      <c r="M37" s="3" t="s">
        <v>10</v>
      </c>
      <c r="N37">
        <v>92</v>
      </c>
    </row>
    <row r="38" spans="1:14" hidden="1" x14ac:dyDescent="0.3">
      <c r="A38" t="s">
        <v>39</v>
      </c>
      <c r="B38" t="s">
        <v>40</v>
      </c>
      <c r="C38" s="2" t="s">
        <v>38</v>
      </c>
      <c r="D38" s="3">
        <v>35</v>
      </c>
      <c r="E38" s="3">
        <v>180</v>
      </c>
      <c r="F38" s="8">
        <v>5</v>
      </c>
      <c r="M38" s="3" t="s">
        <v>10</v>
      </c>
      <c r="N38">
        <v>98</v>
      </c>
    </row>
    <row r="39" spans="1:14" hidden="1" x14ac:dyDescent="0.3">
      <c r="A39" t="s">
        <v>39</v>
      </c>
      <c r="B39" t="s">
        <v>40</v>
      </c>
      <c r="C39" s="2" t="s">
        <v>41</v>
      </c>
      <c r="D39" s="3">
        <v>35</v>
      </c>
      <c r="E39" s="3">
        <v>180</v>
      </c>
      <c r="F39" s="8">
        <v>5</v>
      </c>
      <c r="M39" s="3" t="s">
        <v>10</v>
      </c>
      <c r="N39">
        <v>97</v>
      </c>
    </row>
    <row r="40" spans="1:14" x14ac:dyDescent="0.3">
      <c r="A40" t="s">
        <v>42</v>
      </c>
      <c r="B40" t="s">
        <v>35</v>
      </c>
      <c r="C40" s="2" t="s">
        <v>9</v>
      </c>
      <c r="D40" s="3">
        <v>4</v>
      </c>
      <c r="E40" s="3">
        <v>45</v>
      </c>
      <c r="F40" s="8">
        <v>962</v>
      </c>
      <c r="G40" s="8">
        <v>1465</v>
      </c>
      <c r="H40" s="8">
        <v>1334</v>
      </c>
      <c r="I40" s="8">
        <v>2383</v>
      </c>
      <c r="J40" s="8">
        <v>1525</v>
      </c>
      <c r="K40" s="8">
        <v>1582</v>
      </c>
      <c r="L40" s="8">
        <v>1539</v>
      </c>
      <c r="M40" s="3" t="s">
        <v>10</v>
      </c>
      <c r="N40">
        <v>100</v>
      </c>
    </row>
    <row r="41" spans="1:14" x14ac:dyDescent="0.3">
      <c r="A41" t="s">
        <v>42</v>
      </c>
      <c r="B41" t="s">
        <v>35</v>
      </c>
      <c r="C41" s="2" t="s">
        <v>12</v>
      </c>
      <c r="D41" s="3">
        <v>4</v>
      </c>
      <c r="E41" s="3">
        <v>55</v>
      </c>
      <c r="F41" s="8">
        <v>1450</v>
      </c>
      <c r="G41" s="8">
        <v>834</v>
      </c>
      <c r="H41" s="8">
        <v>620</v>
      </c>
      <c r="I41" s="8">
        <v>348</v>
      </c>
      <c r="J41" s="8">
        <v>930</v>
      </c>
      <c r="K41" s="8">
        <v>870</v>
      </c>
      <c r="L41" s="8">
        <v>850</v>
      </c>
      <c r="M41" s="3" t="s">
        <v>10</v>
      </c>
      <c r="N41">
        <v>96</v>
      </c>
    </row>
    <row r="42" spans="1:14" hidden="1" x14ac:dyDescent="0.3">
      <c r="A42" t="s">
        <v>42</v>
      </c>
      <c r="B42" t="s">
        <v>35</v>
      </c>
      <c r="C42" s="2" t="s">
        <v>13</v>
      </c>
      <c r="D42" s="3">
        <v>4</v>
      </c>
      <c r="E42" s="3">
        <v>55</v>
      </c>
      <c r="G42" s="8">
        <v>5</v>
      </c>
      <c r="M42" s="3" t="s">
        <v>10</v>
      </c>
      <c r="N42">
        <v>100</v>
      </c>
    </row>
    <row r="43" spans="1:14" hidden="1" x14ac:dyDescent="0.3">
      <c r="A43" t="s">
        <v>42</v>
      </c>
      <c r="B43" t="s">
        <v>35</v>
      </c>
      <c r="C43" s="2" t="s">
        <v>14</v>
      </c>
      <c r="D43" s="3">
        <v>4</v>
      </c>
      <c r="E43" s="3">
        <v>55</v>
      </c>
      <c r="F43" s="8">
        <v>5</v>
      </c>
      <c r="M43" s="3" t="s">
        <v>10</v>
      </c>
      <c r="N43">
        <v>95</v>
      </c>
    </row>
    <row r="44" spans="1:14" hidden="1" x14ac:dyDescent="0.3">
      <c r="A44" t="s">
        <v>42</v>
      </c>
      <c r="B44" t="s">
        <v>35</v>
      </c>
      <c r="C44" s="2" t="s">
        <v>43</v>
      </c>
      <c r="D44" s="3">
        <v>4</v>
      </c>
      <c r="E44" s="3">
        <v>55</v>
      </c>
      <c r="G44" s="8">
        <v>5</v>
      </c>
      <c r="M44" s="3" t="s">
        <v>10</v>
      </c>
      <c r="N44">
        <v>100</v>
      </c>
    </row>
    <row r="45" spans="1:14" x14ac:dyDescent="0.3">
      <c r="A45" t="s">
        <v>44</v>
      </c>
      <c r="B45" t="s">
        <v>45</v>
      </c>
      <c r="C45" s="2" t="s">
        <v>9</v>
      </c>
      <c r="D45" s="3">
        <v>3.5</v>
      </c>
      <c r="E45" s="3">
        <v>25</v>
      </c>
      <c r="F45" s="8">
        <v>604</v>
      </c>
      <c r="G45" s="8">
        <v>339</v>
      </c>
      <c r="H45" s="8">
        <v>853</v>
      </c>
      <c r="I45" s="8">
        <v>2331</v>
      </c>
      <c r="J45" s="8">
        <v>1049</v>
      </c>
      <c r="K45" s="8">
        <v>326</v>
      </c>
      <c r="L45" s="8">
        <v>708</v>
      </c>
      <c r="M45" s="3" t="s">
        <v>10</v>
      </c>
      <c r="N45">
        <v>99</v>
      </c>
    </row>
    <row r="46" spans="1:14" x14ac:dyDescent="0.3">
      <c r="A46" t="s">
        <v>44</v>
      </c>
      <c r="B46" t="s">
        <v>45</v>
      </c>
      <c r="C46" s="2" t="s">
        <v>12</v>
      </c>
      <c r="D46" s="3">
        <v>3.5</v>
      </c>
      <c r="E46" s="3">
        <v>35</v>
      </c>
      <c r="F46" s="8">
        <v>1350</v>
      </c>
      <c r="G46" s="8">
        <v>1200</v>
      </c>
      <c r="H46" s="8">
        <v>567</v>
      </c>
      <c r="I46" s="8">
        <v>200</v>
      </c>
      <c r="J46" s="8">
        <v>540</v>
      </c>
      <c r="K46" s="8">
        <v>1250</v>
      </c>
      <c r="L46" s="8">
        <v>890</v>
      </c>
      <c r="M46" s="3" t="s">
        <v>10</v>
      </c>
      <c r="N46">
        <v>91</v>
      </c>
    </row>
    <row r="47" spans="1:14" x14ac:dyDescent="0.3">
      <c r="A47" t="s">
        <v>46</v>
      </c>
      <c r="B47" t="s">
        <v>47</v>
      </c>
      <c r="C47" s="2" t="s">
        <v>9</v>
      </c>
      <c r="D47" s="3">
        <v>5</v>
      </c>
      <c r="E47" s="3">
        <v>35</v>
      </c>
      <c r="F47" s="8">
        <v>527</v>
      </c>
      <c r="G47" s="8">
        <v>203</v>
      </c>
      <c r="H47" s="8">
        <v>395</v>
      </c>
      <c r="I47" s="8">
        <v>499</v>
      </c>
      <c r="J47" s="8">
        <v>915</v>
      </c>
      <c r="K47" s="8">
        <v>230</v>
      </c>
      <c r="L47" s="8">
        <v>532</v>
      </c>
      <c r="M47" s="3" t="s">
        <v>10</v>
      </c>
      <c r="N47">
        <v>91</v>
      </c>
    </row>
    <row r="48" spans="1:14" x14ac:dyDescent="0.3">
      <c r="A48" t="s">
        <v>46</v>
      </c>
      <c r="B48" t="s">
        <v>47</v>
      </c>
      <c r="C48" s="2" t="s">
        <v>12</v>
      </c>
      <c r="D48" s="3">
        <v>5</v>
      </c>
      <c r="E48" s="3">
        <v>45</v>
      </c>
      <c r="F48" s="8">
        <v>342</v>
      </c>
      <c r="G48" s="8">
        <v>280</v>
      </c>
      <c r="H48" s="8">
        <v>133</v>
      </c>
      <c r="I48" s="8">
        <v>200</v>
      </c>
      <c r="J48" s="8">
        <v>187</v>
      </c>
      <c r="K48" s="8">
        <v>850</v>
      </c>
      <c r="L48" s="8">
        <v>345</v>
      </c>
      <c r="M48" s="3" t="s">
        <v>10</v>
      </c>
      <c r="N48">
        <v>94</v>
      </c>
    </row>
    <row r="49" spans="1:14" hidden="1" x14ac:dyDescent="0.3">
      <c r="A49" t="s">
        <v>46</v>
      </c>
      <c r="B49" t="s">
        <v>47</v>
      </c>
      <c r="C49" s="2" t="s">
        <v>43</v>
      </c>
      <c r="D49" s="3">
        <v>5</v>
      </c>
      <c r="E49" s="3">
        <v>45</v>
      </c>
      <c r="F49" s="8">
        <v>28</v>
      </c>
      <c r="G49" s="8">
        <v>5</v>
      </c>
      <c r="M49" s="3" t="s">
        <v>10</v>
      </c>
      <c r="N49">
        <v>90</v>
      </c>
    </row>
    <row r="50" spans="1:14" x14ac:dyDescent="0.3">
      <c r="A50" t="s">
        <v>48</v>
      </c>
      <c r="B50" t="s">
        <v>49</v>
      </c>
      <c r="C50" s="2" t="s">
        <v>9</v>
      </c>
      <c r="D50" s="3">
        <v>55</v>
      </c>
      <c r="E50" s="3">
        <v>375</v>
      </c>
      <c r="F50" s="8">
        <v>36</v>
      </c>
      <c r="G50" s="8">
        <v>40</v>
      </c>
      <c r="H50" s="8">
        <v>45</v>
      </c>
      <c r="I50" s="8">
        <v>141</v>
      </c>
      <c r="J50" s="8">
        <v>156</v>
      </c>
      <c r="K50" s="8">
        <v>73</v>
      </c>
      <c r="L50" s="8">
        <v>39</v>
      </c>
      <c r="M50" s="3" t="s">
        <v>10</v>
      </c>
      <c r="N50">
        <v>92</v>
      </c>
    </row>
    <row r="51" spans="1:14" x14ac:dyDescent="0.3">
      <c r="A51" t="s">
        <v>48</v>
      </c>
      <c r="B51" t="s">
        <v>49</v>
      </c>
      <c r="C51" s="2" t="s">
        <v>12</v>
      </c>
      <c r="D51" s="3">
        <v>55</v>
      </c>
      <c r="E51" s="3">
        <v>400</v>
      </c>
      <c r="F51" s="8">
        <v>25</v>
      </c>
      <c r="G51" s="8">
        <v>30</v>
      </c>
      <c r="H51" s="8">
        <v>23</v>
      </c>
      <c r="I51" s="8">
        <v>22</v>
      </c>
      <c r="J51" s="8">
        <v>35</v>
      </c>
      <c r="K51" s="8">
        <v>135</v>
      </c>
      <c r="L51" s="8">
        <v>142</v>
      </c>
      <c r="M51" s="3" t="s">
        <v>10</v>
      </c>
      <c r="N51">
        <v>95</v>
      </c>
    </row>
    <row r="52" spans="1:14" hidden="1" x14ac:dyDescent="0.3">
      <c r="A52" t="s">
        <v>48</v>
      </c>
      <c r="B52" t="s">
        <v>49</v>
      </c>
      <c r="C52" s="2" t="s">
        <v>17</v>
      </c>
      <c r="D52" s="3">
        <v>55</v>
      </c>
      <c r="E52" s="3">
        <v>510</v>
      </c>
      <c r="F52" s="8">
        <v>33</v>
      </c>
      <c r="G52" s="8">
        <v>15</v>
      </c>
      <c r="M52" s="3" t="s">
        <v>10</v>
      </c>
      <c r="N52">
        <v>98</v>
      </c>
    </row>
    <row r="53" spans="1:14" hidden="1" x14ac:dyDescent="0.3">
      <c r="A53" t="s">
        <v>48</v>
      </c>
      <c r="B53" t="s">
        <v>49</v>
      </c>
      <c r="C53" s="2" t="s">
        <v>21</v>
      </c>
      <c r="D53" s="3">
        <v>55</v>
      </c>
      <c r="E53" s="3">
        <v>510</v>
      </c>
      <c r="F53" s="8">
        <v>53</v>
      </c>
      <c r="G53" s="8">
        <v>21</v>
      </c>
      <c r="M53" s="3" t="s">
        <v>10</v>
      </c>
      <c r="N53">
        <v>99</v>
      </c>
    </row>
    <row r="54" spans="1:14" x14ac:dyDescent="0.3">
      <c r="A54" t="s">
        <v>50</v>
      </c>
      <c r="B54" s="2" t="s">
        <v>51</v>
      </c>
      <c r="C54" s="2" t="s">
        <v>9</v>
      </c>
      <c r="D54" s="3">
        <v>40</v>
      </c>
      <c r="E54" s="3">
        <v>359</v>
      </c>
      <c r="F54" s="8">
        <v>41</v>
      </c>
      <c r="G54" s="8">
        <v>106</v>
      </c>
      <c r="H54" s="8">
        <v>81</v>
      </c>
      <c r="I54" s="8">
        <v>215</v>
      </c>
      <c r="J54" s="8">
        <v>255</v>
      </c>
      <c r="K54" s="8">
        <v>72</v>
      </c>
      <c r="L54" s="8">
        <v>21</v>
      </c>
      <c r="M54" s="3" t="s">
        <v>10</v>
      </c>
      <c r="N54">
        <v>93</v>
      </c>
    </row>
    <row r="55" spans="1:14" hidden="1" x14ac:dyDescent="0.3">
      <c r="A55" t="s">
        <v>50</v>
      </c>
      <c r="B55" s="2" t="s">
        <v>51</v>
      </c>
      <c r="C55" s="2" t="s">
        <v>17</v>
      </c>
      <c r="D55" s="3">
        <v>40</v>
      </c>
      <c r="E55" s="3">
        <v>399</v>
      </c>
      <c r="F55" s="8">
        <v>55</v>
      </c>
      <c r="G55" s="8">
        <v>45</v>
      </c>
      <c r="M55" s="3" t="s">
        <v>10</v>
      </c>
      <c r="N55">
        <v>98</v>
      </c>
    </row>
    <row r="56" spans="1:14" hidden="1" x14ac:dyDescent="0.3">
      <c r="A56" t="s">
        <v>50</v>
      </c>
      <c r="B56" s="2" t="s">
        <v>51</v>
      </c>
      <c r="C56" s="2" t="s">
        <v>21</v>
      </c>
      <c r="D56" s="3">
        <v>40</v>
      </c>
      <c r="E56" s="3">
        <v>399</v>
      </c>
      <c r="F56" s="8">
        <v>30</v>
      </c>
      <c r="M56" s="3" t="s">
        <v>10</v>
      </c>
      <c r="N56">
        <v>99</v>
      </c>
    </row>
    <row r="57" spans="1:14" hidden="1" x14ac:dyDescent="0.3">
      <c r="A57" t="s">
        <v>52</v>
      </c>
      <c r="B57" s="2" t="s">
        <v>53</v>
      </c>
      <c r="C57" s="2" t="s">
        <v>17</v>
      </c>
      <c r="D57" s="3">
        <v>30</v>
      </c>
      <c r="E57" s="3">
        <v>120</v>
      </c>
      <c r="F57" s="8">
        <v>42</v>
      </c>
      <c r="G57" s="8">
        <v>47</v>
      </c>
      <c r="H57" s="8">
        <v>12</v>
      </c>
      <c r="I57" s="8">
        <v>7</v>
      </c>
      <c r="J57" s="8">
        <v>71</v>
      </c>
      <c r="K57" s="8">
        <v>29</v>
      </c>
      <c r="L57" s="8">
        <v>31</v>
      </c>
      <c r="M57" s="3" t="s">
        <v>10</v>
      </c>
      <c r="N57">
        <v>96</v>
      </c>
    </row>
    <row r="58" spans="1:14" hidden="1" x14ac:dyDescent="0.3">
      <c r="A58" t="s">
        <v>52</v>
      </c>
      <c r="B58" s="2" t="s">
        <v>53</v>
      </c>
      <c r="C58" s="2" t="s">
        <v>21</v>
      </c>
      <c r="D58" s="3">
        <v>30</v>
      </c>
      <c r="E58" s="3">
        <v>150</v>
      </c>
      <c r="F58" s="8">
        <v>26</v>
      </c>
      <c r="G58" s="8">
        <v>25</v>
      </c>
      <c r="M58" s="3" t="s">
        <v>10</v>
      </c>
      <c r="N58">
        <v>100</v>
      </c>
    </row>
    <row r="59" spans="1:14" hidden="1" x14ac:dyDescent="0.3">
      <c r="A59" t="s">
        <v>52</v>
      </c>
      <c r="B59" s="2" t="s">
        <v>53</v>
      </c>
      <c r="C59" s="2" t="s">
        <v>14</v>
      </c>
      <c r="D59" s="3">
        <v>30</v>
      </c>
      <c r="E59" s="3">
        <v>120</v>
      </c>
      <c r="F59" s="8">
        <v>5</v>
      </c>
      <c r="M59" s="3" t="s">
        <v>10</v>
      </c>
      <c r="N59">
        <v>96</v>
      </c>
    </row>
    <row r="60" spans="1:14" hidden="1" x14ac:dyDescent="0.3">
      <c r="A60" t="s">
        <v>52</v>
      </c>
      <c r="B60" s="2" t="s">
        <v>53</v>
      </c>
      <c r="C60" s="2" t="s">
        <v>43</v>
      </c>
      <c r="D60" s="3">
        <v>30</v>
      </c>
      <c r="E60" s="3">
        <v>120</v>
      </c>
      <c r="F60" s="8">
        <v>8</v>
      </c>
      <c r="M60" s="3" t="s">
        <v>10</v>
      </c>
      <c r="N60">
        <v>97</v>
      </c>
    </row>
    <row r="61" spans="1:14" x14ac:dyDescent="0.3">
      <c r="A61" t="s">
        <v>54</v>
      </c>
      <c r="B61" t="s">
        <v>55</v>
      </c>
      <c r="C61" s="2" t="s">
        <v>9</v>
      </c>
      <c r="D61" s="3">
        <v>9</v>
      </c>
      <c r="E61" s="3">
        <v>45</v>
      </c>
      <c r="F61" s="8">
        <v>80</v>
      </c>
      <c r="G61" s="8">
        <v>71</v>
      </c>
      <c r="H61" s="8">
        <v>200</v>
      </c>
      <c r="I61" s="8">
        <v>114</v>
      </c>
      <c r="J61" s="8">
        <v>210</v>
      </c>
      <c r="K61" s="8">
        <v>116</v>
      </c>
      <c r="L61" s="8">
        <v>408</v>
      </c>
      <c r="M61" s="3" t="s">
        <v>10</v>
      </c>
      <c r="N61">
        <v>97</v>
      </c>
    </row>
    <row r="62" spans="1:14" x14ac:dyDescent="0.3">
      <c r="A62" t="s">
        <v>54</v>
      </c>
      <c r="B62" t="s">
        <v>55</v>
      </c>
      <c r="C62" s="2" t="s">
        <v>12</v>
      </c>
      <c r="D62" s="3">
        <v>9</v>
      </c>
      <c r="E62" s="3">
        <v>55</v>
      </c>
      <c r="F62" s="8">
        <v>230</v>
      </c>
      <c r="G62" s="8">
        <v>185</v>
      </c>
      <c r="H62" s="8">
        <v>74</v>
      </c>
      <c r="I62" s="8">
        <v>67</v>
      </c>
      <c r="J62" s="8">
        <v>55</v>
      </c>
      <c r="K62" s="8">
        <v>80</v>
      </c>
      <c r="L62" s="8">
        <v>250</v>
      </c>
      <c r="M62" s="3" t="s">
        <v>10</v>
      </c>
      <c r="N62">
        <v>90</v>
      </c>
    </row>
    <row r="63" spans="1:14" x14ac:dyDescent="0.3">
      <c r="A63" t="s">
        <v>56</v>
      </c>
      <c r="B63" t="s">
        <v>57</v>
      </c>
      <c r="C63" s="2" t="s">
        <v>9</v>
      </c>
      <c r="D63" s="3">
        <v>7.5</v>
      </c>
      <c r="E63" s="3">
        <v>58</v>
      </c>
      <c r="F63" s="8">
        <v>94</v>
      </c>
      <c r="G63" s="8">
        <v>138</v>
      </c>
      <c r="H63" s="8">
        <v>124</v>
      </c>
      <c r="I63" s="8">
        <v>72</v>
      </c>
      <c r="J63" s="8">
        <v>10</v>
      </c>
      <c r="K63" s="8">
        <v>0</v>
      </c>
      <c r="L63" s="8">
        <v>0</v>
      </c>
      <c r="M63" s="3" t="s">
        <v>10</v>
      </c>
      <c r="N63">
        <v>99</v>
      </c>
    </row>
    <row r="64" spans="1:14" x14ac:dyDescent="0.3">
      <c r="A64" t="s">
        <v>56</v>
      </c>
      <c r="B64" t="s">
        <v>57</v>
      </c>
      <c r="C64" s="2" t="s">
        <v>12</v>
      </c>
      <c r="D64" s="3">
        <v>7.5</v>
      </c>
      <c r="E64" s="3">
        <v>70</v>
      </c>
      <c r="F64" s="8">
        <v>360</v>
      </c>
      <c r="G64" s="8">
        <v>245</v>
      </c>
      <c r="H64" s="8">
        <v>133</v>
      </c>
      <c r="I64" s="8">
        <v>88</v>
      </c>
      <c r="J64" s="8">
        <v>10</v>
      </c>
      <c r="M64" s="3" t="s">
        <v>10</v>
      </c>
      <c r="N64">
        <v>99</v>
      </c>
    </row>
    <row r="65" spans="1:14" hidden="1" x14ac:dyDescent="0.3">
      <c r="A65" t="s">
        <v>56</v>
      </c>
      <c r="B65" t="s">
        <v>57</v>
      </c>
      <c r="C65" s="2" t="s">
        <v>43</v>
      </c>
      <c r="D65" s="3">
        <v>7.5</v>
      </c>
      <c r="E65" s="3">
        <v>70</v>
      </c>
      <c r="F65" s="8">
        <v>5</v>
      </c>
      <c r="M65" s="3" t="s">
        <v>10</v>
      </c>
      <c r="N65">
        <v>96</v>
      </c>
    </row>
    <row r="66" spans="1:14" x14ac:dyDescent="0.3">
      <c r="A66" t="s">
        <v>58</v>
      </c>
      <c r="B66" t="s">
        <v>59</v>
      </c>
      <c r="C66" s="2" t="s">
        <v>9</v>
      </c>
      <c r="D66" s="3">
        <v>3.5</v>
      </c>
      <c r="E66" s="3">
        <v>35</v>
      </c>
      <c r="F66" s="8">
        <v>62</v>
      </c>
      <c r="G66" s="8">
        <v>36</v>
      </c>
      <c r="H66" s="8">
        <v>46</v>
      </c>
      <c r="I66" s="8">
        <v>34</v>
      </c>
      <c r="J66" s="8">
        <v>1</v>
      </c>
      <c r="K66" s="8">
        <v>1</v>
      </c>
      <c r="L66" s="8">
        <v>4</v>
      </c>
      <c r="M66" s="3" t="s">
        <v>10</v>
      </c>
      <c r="N66">
        <v>100</v>
      </c>
    </row>
    <row r="67" spans="1:14" x14ac:dyDescent="0.3">
      <c r="A67" t="s">
        <v>58</v>
      </c>
      <c r="B67" t="s">
        <v>59</v>
      </c>
      <c r="C67" s="2" t="s">
        <v>12</v>
      </c>
      <c r="D67" s="3">
        <v>3.5</v>
      </c>
      <c r="E67" s="3">
        <v>50</v>
      </c>
      <c r="F67" s="8">
        <v>5</v>
      </c>
      <c r="M67" s="3" t="s">
        <v>10</v>
      </c>
      <c r="N67">
        <v>92</v>
      </c>
    </row>
    <row r="68" spans="1:14" hidden="1" x14ac:dyDescent="0.3">
      <c r="A68" t="s">
        <v>58</v>
      </c>
      <c r="B68" t="s">
        <v>59</v>
      </c>
      <c r="C68" s="2" t="s">
        <v>25</v>
      </c>
      <c r="D68" s="3">
        <v>3.5</v>
      </c>
      <c r="E68" s="3">
        <v>50</v>
      </c>
      <c r="F68" s="8">
        <v>3</v>
      </c>
      <c r="M68" s="3" t="s">
        <v>10</v>
      </c>
      <c r="N68">
        <v>93</v>
      </c>
    </row>
    <row r="69" spans="1:14" hidden="1" x14ac:dyDescent="0.3">
      <c r="A69" t="s">
        <v>58</v>
      </c>
      <c r="B69" t="s">
        <v>59</v>
      </c>
      <c r="C69" s="2" t="s">
        <v>17</v>
      </c>
      <c r="D69" s="3">
        <v>3.5</v>
      </c>
      <c r="E69" s="3">
        <v>65</v>
      </c>
      <c r="F69" s="8">
        <v>35</v>
      </c>
      <c r="M69" s="3" t="s">
        <v>10</v>
      </c>
      <c r="N69">
        <v>96</v>
      </c>
    </row>
    <row r="70" spans="1:14" x14ac:dyDescent="0.3">
      <c r="A70" t="s">
        <v>60</v>
      </c>
      <c r="B70" s="2" t="s">
        <v>59</v>
      </c>
      <c r="C70" s="2" t="s">
        <v>9</v>
      </c>
      <c r="D70" s="3">
        <v>5.5</v>
      </c>
      <c r="E70" s="3">
        <v>75</v>
      </c>
      <c r="F70" s="8">
        <v>45</v>
      </c>
      <c r="G70" s="8">
        <v>3</v>
      </c>
      <c r="H70" s="8">
        <v>10</v>
      </c>
      <c r="I70" s="8">
        <v>21</v>
      </c>
      <c r="J70" s="8">
        <v>1</v>
      </c>
      <c r="K70" s="8">
        <v>40</v>
      </c>
      <c r="L70" s="8">
        <v>41</v>
      </c>
      <c r="M70" s="3" t="s">
        <v>10</v>
      </c>
      <c r="N70">
        <v>91</v>
      </c>
    </row>
    <row r="71" spans="1:14" x14ac:dyDescent="0.3">
      <c r="A71" t="s">
        <v>60</v>
      </c>
      <c r="B71" s="2" t="s">
        <v>59</v>
      </c>
      <c r="C71" s="2" t="s">
        <v>12</v>
      </c>
      <c r="D71" s="3">
        <v>5.5</v>
      </c>
      <c r="E71" s="3">
        <v>80</v>
      </c>
      <c r="F71" s="8">
        <v>200</v>
      </c>
      <c r="G71" s="8">
        <v>45</v>
      </c>
      <c r="H71" s="8">
        <v>5</v>
      </c>
      <c r="M71" s="3" t="s">
        <v>10</v>
      </c>
      <c r="N71">
        <v>92</v>
      </c>
    </row>
    <row r="72" spans="1:14" hidden="1" x14ac:dyDescent="0.3">
      <c r="A72" t="s">
        <v>60</v>
      </c>
      <c r="B72" s="2" t="s">
        <v>59</v>
      </c>
      <c r="C72" s="2" t="s">
        <v>17</v>
      </c>
      <c r="D72" s="3">
        <v>5.5</v>
      </c>
      <c r="E72" s="3">
        <v>95</v>
      </c>
      <c r="F72" s="8">
        <v>35</v>
      </c>
      <c r="M72" s="3" t="s">
        <v>10</v>
      </c>
      <c r="N72">
        <v>96</v>
      </c>
    </row>
    <row r="73" spans="1:14" x14ac:dyDescent="0.3">
      <c r="A73" t="s">
        <v>61</v>
      </c>
      <c r="B73" t="s">
        <v>62</v>
      </c>
      <c r="C73" s="2" t="s">
        <v>9</v>
      </c>
      <c r="D73" s="3">
        <v>3.5</v>
      </c>
      <c r="E73" s="3">
        <v>28</v>
      </c>
      <c r="F73" s="8">
        <v>299</v>
      </c>
      <c r="G73" s="8">
        <v>83</v>
      </c>
      <c r="H73" s="8">
        <v>176</v>
      </c>
      <c r="I73" s="8">
        <v>400</v>
      </c>
      <c r="J73" s="8">
        <v>427</v>
      </c>
      <c r="K73" s="8">
        <v>459</v>
      </c>
      <c r="L73" s="8">
        <v>369</v>
      </c>
      <c r="M73" s="3" t="s">
        <v>10</v>
      </c>
      <c r="N73">
        <v>99</v>
      </c>
    </row>
    <row r="74" spans="1:14" x14ac:dyDescent="0.3">
      <c r="A74" t="s">
        <v>61</v>
      </c>
      <c r="B74" t="s">
        <v>62</v>
      </c>
      <c r="C74" s="2" t="s">
        <v>12</v>
      </c>
      <c r="D74" s="3">
        <v>3.5</v>
      </c>
      <c r="E74" s="3">
        <v>35</v>
      </c>
      <c r="F74" s="8">
        <v>433</v>
      </c>
      <c r="G74" s="8">
        <v>350</v>
      </c>
      <c r="H74" s="8">
        <v>235</v>
      </c>
      <c r="I74" s="8">
        <v>170</v>
      </c>
      <c r="J74" s="8">
        <v>55</v>
      </c>
      <c r="K74" s="8">
        <v>135</v>
      </c>
      <c r="L74" s="8">
        <v>120</v>
      </c>
      <c r="M74" s="3" t="s">
        <v>10</v>
      </c>
      <c r="N74">
        <v>99</v>
      </c>
    </row>
    <row r="75" spans="1:14" hidden="1" x14ac:dyDescent="0.3">
      <c r="A75" t="s">
        <v>61</v>
      </c>
      <c r="B75" t="s">
        <v>62</v>
      </c>
      <c r="C75" s="2" t="s">
        <v>43</v>
      </c>
      <c r="D75" s="3">
        <v>3.5</v>
      </c>
      <c r="E75" s="3">
        <v>35</v>
      </c>
      <c r="G75" s="8">
        <v>13</v>
      </c>
      <c r="M75" s="3" t="s">
        <v>10</v>
      </c>
      <c r="N75">
        <v>100</v>
      </c>
    </row>
    <row r="76" spans="1:14" x14ac:dyDescent="0.3">
      <c r="A76" t="s">
        <v>63</v>
      </c>
      <c r="B76" t="s">
        <v>59</v>
      </c>
      <c r="C76" s="2" t="s">
        <v>9</v>
      </c>
      <c r="D76" s="3">
        <v>8</v>
      </c>
      <c r="E76" s="3">
        <v>65</v>
      </c>
      <c r="F76" s="8">
        <v>163</v>
      </c>
      <c r="G76" s="8">
        <v>33</v>
      </c>
      <c r="H76" s="8">
        <v>68</v>
      </c>
      <c r="I76" s="8">
        <v>32</v>
      </c>
      <c r="J76" s="8">
        <v>138</v>
      </c>
      <c r="K76" s="8">
        <v>386</v>
      </c>
      <c r="L76" s="8">
        <v>233</v>
      </c>
      <c r="M76" s="3" t="s">
        <v>10</v>
      </c>
      <c r="N76">
        <v>91</v>
      </c>
    </row>
    <row r="77" spans="1:14" x14ac:dyDescent="0.3">
      <c r="A77" t="s">
        <v>63</v>
      </c>
      <c r="B77" t="s">
        <v>59</v>
      </c>
      <c r="C77" s="2" t="s">
        <v>12</v>
      </c>
      <c r="D77" s="3">
        <v>8</v>
      </c>
      <c r="E77" s="3">
        <v>80</v>
      </c>
      <c r="F77" s="8">
        <v>189</v>
      </c>
      <c r="G77" s="8">
        <v>144</v>
      </c>
      <c r="H77" s="8">
        <v>64</v>
      </c>
      <c r="J77" s="8">
        <v>87</v>
      </c>
      <c r="K77" s="8">
        <v>153</v>
      </c>
      <c r="L77" s="8">
        <v>145</v>
      </c>
      <c r="M77" s="3" t="s">
        <v>10</v>
      </c>
      <c r="N77">
        <v>98</v>
      </c>
    </row>
    <row r="78" spans="1:14" hidden="1" x14ac:dyDescent="0.3">
      <c r="A78" t="s">
        <v>63</v>
      </c>
      <c r="B78" t="s">
        <v>59</v>
      </c>
      <c r="C78" s="2" t="s">
        <v>17</v>
      </c>
      <c r="D78" s="3">
        <v>8</v>
      </c>
      <c r="E78" s="3">
        <v>80</v>
      </c>
      <c r="F78" s="8">
        <v>35</v>
      </c>
      <c r="G78" s="8">
        <v>23</v>
      </c>
      <c r="M78" s="3" t="s">
        <v>10</v>
      </c>
      <c r="N78">
        <v>93</v>
      </c>
    </row>
    <row r="79" spans="1:14" x14ac:dyDescent="0.3">
      <c r="A79" t="s">
        <v>64</v>
      </c>
      <c r="B79" t="s">
        <v>62</v>
      </c>
      <c r="C79" s="2" t="s">
        <v>9</v>
      </c>
      <c r="D79" s="3">
        <v>3.5</v>
      </c>
      <c r="E79" s="3">
        <v>25</v>
      </c>
      <c r="F79" s="8">
        <v>382</v>
      </c>
      <c r="G79" s="8">
        <v>425</v>
      </c>
      <c r="H79" s="8">
        <v>323</v>
      </c>
      <c r="I79" s="8">
        <v>238</v>
      </c>
      <c r="J79" s="8">
        <v>484</v>
      </c>
      <c r="K79" s="8">
        <v>394</v>
      </c>
      <c r="L79" s="8">
        <v>213</v>
      </c>
      <c r="M79" s="3" t="s">
        <v>10</v>
      </c>
      <c r="N79">
        <v>97</v>
      </c>
    </row>
    <row r="80" spans="1:14" x14ac:dyDescent="0.3">
      <c r="A80" t="s">
        <v>64</v>
      </c>
      <c r="B80" t="s">
        <v>62</v>
      </c>
      <c r="C80" s="2" t="s">
        <v>12</v>
      </c>
      <c r="D80" s="3">
        <v>3.5</v>
      </c>
      <c r="E80" s="3">
        <v>35</v>
      </c>
      <c r="F80" s="8">
        <v>530</v>
      </c>
      <c r="G80" s="8">
        <v>480</v>
      </c>
      <c r="H80" s="8">
        <v>257</v>
      </c>
      <c r="I80" s="8">
        <v>200</v>
      </c>
      <c r="J80" s="8">
        <v>230</v>
      </c>
      <c r="K80" s="8">
        <v>580</v>
      </c>
      <c r="L80" s="8">
        <v>578</v>
      </c>
      <c r="M80" s="3" t="s">
        <v>10</v>
      </c>
      <c r="N80">
        <v>95</v>
      </c>
    </row>
    <row r="81" spans="1:14" x14ac:dyDescent="0.3">
      <c r="A81" t="s">
        <v>65</v>
      </c>
      <c r="B81" s="2" t="s">
        <v>59</v>
      </c>
      <c r="C81" s="2" t="s">
        <v>9</v>
      </c>
      <c r="D81" s="3">
        <v>10</v>
      </c>
      <c r="E81" s="3">
        <v>130</v>
      </c>
      <c r="F81" s="8">
        <v>38</v>
      </c>
      <c r="G81" s="8">
        <v>16</v>
      </c>
      <c r="H81" s="8">
        <v>36</v>
      </c>
      <c r="I81" s="8">
        <v>79</v>
      </c>
      <c r="J81" s="8">
        <v>23</v>
      </c>
      <c r="K81" s="8">
        <v>78</v>
      </c>
      <c r="L81" s="8">
        <v>124</v>
      </c>
      <c r="M81" s="3" t="s">
        <v>10</v>
      </c>
      <c r="N81">
        <v>97</v>
      </c>
    </row>
    <row r="82" spans="1:14" x14ac:dyDescent="0.3">
      <c r="A82" t="s">
        <v>65</v>
      </c>
      <c r="B82" s="2" t="s">
        <v>59</v>
      </c>
      <c r="C82" s="2" t="s">
        <v>12</v>
      </c>
      <c r="D82" s="3">
        <v>10</v>
      </c>
      <c r="E82" s="3">
        <v>145</v>
      </c>
      <c r="F82" s="8">
        <v>45</v>
      </c>
      <c r="G82" s="8">
        <v>35</v>
      </c>
      <c r="H82" s="8">
        <v>30</v>
      </c>
      <c r="I82" s="8">
        <v>20</v>
      </c>
      <c r="J82" s="8">
        <v>15</v>
      </c>
      <c r="K82" s="8">
        <v>50</v>
      </c>
      <c r="L82" s="8">
        <v>45</v>
      </c>
      <c r="M82" s="3" t="s">
        <v>10</v>
      </c>
      <c r="N82">
        <v>100</v>
      </c>
    </row>
    <row r="83" spans="1:14" hidden="1" x14ac:dyDescent="0.3">
      <c r="A83" t="s">
        <v>65</v>
      </c>
      <c r="B83" s="2" t="s">
        <v>59</v>
      </c>
      <c r="C83" s="2" t="s">
        <v>17</v>
      </c>
      <c r="D83" s="3">
        <v>10</v>
      </c>
      <c r="E83" s="3">
        <v>160</v>
      </c>
      <c r="F83" s="8">
        <v>55</v>
      </c>
      <c r="M83" s="3" t="s">
        <v>10</v>
      </c>
      <c r="N83">
        <v>99</v>
      </c>
    </row>
    <row r="84" spans="1:14" x14ac:dyDescent="0.3">
      <c r="A84" t="s">
        <v>66</v>
      </c>
      <c r="B84" s="2" t="s">
        <v>55</v>
      </c>
      <c r="C84" s="2" t="s">
        <v>9</v>
      </c>
      <c r="D84" s="3">
        <v>4.5</v>
      </c>
      <c r="E84" s="3">
        <v>40</v>
      </c>
      <c r="F84" s="8">
        <v>41</v>
      </c>
      <c r="G84" s="8">
        <v>68</v>
      </c>
      <c r="H84" s="8">
        <v>183</v>
      </c>
      <c r="I84" s="8">
        <v>73</v>
      </c>
      <c r="J84" s="8">
        <v>79</v>
      </c>
      <c r="K84" s="8">
        <v>314</v>
      </c>
      <c r="L84" s="8">
        <v>156</v>
      </c>
      <c r="M84" s="3" t="s">
        <v>10</v>
      </c>
      <c r="N84">
        <v>97</v>
      </c>
    </row>
    <row r="85" spans="1:14" x14ac:dyDescent="0.3">
      <c r="A85" t="s">
        <v>66</v>
      </c>
      <c r="B85" s="2" t="s">
        <v>55</v>
      </c>
      <c r="C85" s="2" t="s">
        <v>12</v>
      </c>
      <c r="D85" s="3">
        <v>4.5</v>
      </c>
      <c r="E85" s="3">
        <v>50</v>
      </c>
      <c r="F85" s="8">
        <v>40</v>
      </c>
      <c r="G85" s="8">
        <v>33</v>
      </c>
      <c r="H85" s="8">
        <v>45</v>
      </c>
      <c r="I85" s="8">
        <v>20</v>
      </c>
      <c r="J85" s="8">
        <v>15</v>
      </c>
      <c r="K85" s="8">
        <v>55</v>
      </c>
      <c r="L85" s="8">
        <v>46</v>
      </c>
      <c r="M85" s="3" t="s">
        <v>10</v>
      </c>
      <c r="N85">
        <v>100</v>
      </c>
    </row>
    <row r="86" spans="1:14" hidden="1" x14ac:dyDescent="0.3">
      <c r="A86" t="s">
        <v>66</v>
      </c>
      <c r="B86" s="2" t="s">
        <v>55</v>
      </c>
      <c r="C86" s="2" t="s">
        <v>17</v>
      </c>
      <c r="D86" s="3">
        <v>4.5</v>
      </c>
      <c r="E86" s="3">
        <v>65</v>
      </c>
      <c r="F86" s="8">
        <v>5</v>
      </c>
      <c r="M86" s="3" t="s">
        <v>10</v>
      </c>
      <c r="N86">
        <v>94</v>
      </c>
    </row>
    <row r="87" spans="1:14" x14ac:dyDescent="0.3">
      <c r="A87" t="s">
        <v>67</v>
      </c>
      <c r="B87" t="s">
        <v>68</v>
      </c>
      <c r="C87" s="2" t="s">
        <v>9</v>
      </c>
      <c r="D87" s="3">
        <v>5</v>
      </c>
      <c r="E87" s="3">
        <v>85</v>
      </c>
      <c r="F87" s="8">
        <v>268</v>
      </c>
      <c r="G87" s="8">
        <v>253</v>
      </c>
      <c r="H87" s="8">
        <v>178</v>
      </c>
      <c r="I87" s="8">
        <v>360</v>
      </c>
      <c r="J87" s="8">
        <v>816</v>
      </c>
      <c r="K87" s="8">
        <v>410</v>
      </c>
      <c r="L87" s="8">
        <v>301</v>
      </c>
      <c r="M87" s="3" t="s">
        <v>10</v>
      </c>
      <c r="N87">
        <v>93</v>
      </c>
    </row>
    <row r="88" spans="1:14" x14ac:dyDescent="0.3">
      <c r="A88" t="s">
        <v>67</v>
      </c>
      <c r="B88" t="s">
        <v>68</v>
      </c>
      <c r="C88" s="2" t="s">
        <v>12</v>
      </c>
      <c r="D88" s="3">
        <v>5</v>
      </c>
      <c r="E88" s="3">
        <v>85</v>
      </c>
      <c r="F88" s="8">
        <v>180</v>
      </c>
      <c r="M88" s="3" t="s">
        <v>10</v>
      </c>
      <c r="N88">
        <v>98</v>
      </c>
    </row>
    <row r="89" spans="1:14" x14ac:dyDescent="0.3">
      <c r="A89" t="s">
        <v>69</v>
      </c>
      <c r="B89" t="s">
        <v>55</v>
      </c>
      <c r="C89" s="2" t="s">
        <v>9</v>
      </c>
      <c r="D89" s="3">
        <v>3.5</v>
      </c>
      <c r="E89" s="3">
        <v>35</v>
      </c>
      <c r="F89" s="8">
        <v>124</v>
      </c>
      <c r="G89" s="8">
        <v>4</v>
      </c>
      <c r="H89" s="8">
        <v>127</v>
      </c>
      <c r="I89" s="8">
        <v>35</v>
      </c>
      <c r="J89" s="8">
        <v>38</v>
      </c>
      <c r="K89" s="8">
        <v>12</v>
      </c>
      <c r="L89" s="8">
        <v>0</v>
      </c>
      <c r="M89" s="3" t="s">
        <v>10</v>
      </c>
      <c r="N89">
        <v>97</v>
      </c>
    </row>
    <row r="90" spans="1:14" x14ac:dyDescent="0.3">
      <c r="A90" t="s">
        <v>69</v>
      </c>
      <c r="B90" t="s">
        <v>55</v>
      </c>
      <c r="C90" s="2" t="s">
        <v>12</v>
      </c>
      <c r="D90" s="3">
        <v>3.5</v>
      </c>
      <c r="E90" s="3">
        <v>45</v>
      </c>
      <c r="F90" s="8">
        <v>24</v>
      </c>
      <c r="M90" s="3" t="s">
        <v>10</v>
      </c>
      <c r="N90">
        <v>91</v>
      </c>
    </row>
    <row r="91" spans="1:14" hidden="1" x14ac:dyDescent="0.3">
      <c r="A91" t="s">
        <v>69</v>
      </c>
      <c r="B91" t="s">
        <v>55</v>
      </c>
      <c r="C91" s="2" t="s">
        <v>17</v>
      </c>
      <c r="D91" s="3">
        <v>3.5</v>
      </c>
      <c r="E91" s="3">
        <v>60</v>
      </c>
      <c r="F91" s="8">
        <v>3</v>
      </c>
      <c r="M91" s="3" t="s">
        <v>10</v>
      </c>
      <c r="N91">
        <v>94</v>
      </c>
    </row>
    <row r="92" spans="1:14" x14ac:dyDescent="0.3">
      <c r="A92" t="s">
        <v>70</v>
      </c>
      <c r="B92" s="2" t="s">
        <v>47</v>
      </c>
      <c r="C92" s="2" t="s">
        <v>9</v>
      </c>
      <c r="D92" s="3">
        <v>5</v>
      </c>
      <c r="E92" s="3">
        <v>56</v>
      </c>
      <c r="F92" s="8">
        <v>61</v>
      </c>
      <c r="G92" s="8">
        <v>97</v>
      </c>
      <c r="H92" s="8">
        <v>29</v>
      </c>
      <c r="I92" s="8">
        <v>91</v>
      </c>
      <c r="J92" s="8">
        <v>62</v>
      </c>
      <c r="K92" s="8">
        <v>419</v>
      </c>
      <c r="L92" s="8">
        <v>37</v>
      </c>
      <c r="M92" s="3" t="s">
        <v>10</v>
      </c>
      <c r="N92">
        <v>96</v>
      </c>
    </row>
    <row r="93" spans="1:14" x14ac:dyDescent="0.3">
      <c r="A93" t="s">
        <v>70</v>
      </c>
      <c r="B93" s="2" t="s">
        <v>47</v>
      </c>
      <c r="C93" s="2" t="s">
        <v>12</v>
      </c>
      <c r="D93" s="3">
        <v>5</v>
      </c>
      <c r="E93" s="3">
        <v>66</v>
      </c>
      <c r="F93" s="8">
        <v>87</v>
      </c>
      <c r="G93" s="8">
        <v>65</v>
      </c>
      <c r="H93" s="8">
        <v>50</v>
      </c>
      <c r="I93" s="8">
        <v>67</v>
      </c>
      <c r="J93" s="8">
        <v>50</v>
      </c>
      <c r="K93" s="8">
        <v>35</v>
      </c>
      <c r="L93" s="8">
        <v>55</v>
      </c>
      <c r="M93" s="3" t="s">
        <v>10</v>
      </c>
      <c r="N93">
        <v>91</v>
      </c>
    </row>
    <row r="94" spans="1:14" hidden="1" x14ac:dyDescent="0.3">
      <c r="A94" t="s">
        <v>70</v>
      </c>
      <c r="B94" s="2" t="s">
        <v>47</v>
      </c>
      <c r="C94" s="2" t="s">
        <v>43</v>
      </c>
      <c r="D94" s="3">
        <v>5</v>
      </c>
      <c r="E94" s="3">
        <v>66</v>
      </c>
      <c r="G94" s="8">
        <v>5</v>
      </c>
      <c r="M94" s="3" t="s">
        <v>10</v>
      </c>
      <c r="N94">
        <v>91</v>
      </c>
    </row>
    <row r="95" spans="1:14" hidden="1" x14ac:dyDescent="0.3">
      <c r="A95" t="s">
        <v>70</v>
      </c>
      <c r="B95" s="2" t="s">
        <v>47</v>
      </c>
      <c r="C95" s="2" t="s">
        <v>13</v>
      </c>
      <c r="D95" s="3">
        <v>5</v>
      </c>
      <c r="E95" s="3">
        <v>66</v>
      </c>
      <c r="F95" s="8">
        <v>1</v>
      </c>
      <c r="M95" s="3" t="s">
        <v>10</v>
      </c>
      <c r="N95">
        <v>98</v>
      </c>
    </row>
    <row r="96" spans="1:14" x14ac:dyDescent="0.3">
      <c r="A96" t="s">
        <v>71</v>
      </c>
      <c r="B96" s="2" t="s">
        <v>55</v>
      </c>
      <c r="C96" s="2" t="s">
        <v>9</v>
      </c>
      <c r="D96" s="3">
        <v>8</v>
      </c>
      <c r="E96" s="3">
        <v>65</v>
      </c>
      <c r="F96" s="8">
        <v>60</v>
      </c>
      <c r="G96" s="8">
        <v>68</v>
      </c>
      <c r="H96" s="8">
        <v>315</v>
      </c>
      <c r="I96" s="8">
        <v>56</v>
      </c>
      <c r="J96" s="8">
        <v>132</v>
      </c>
      <c r="K96" s="8">
        <v>160</v>
      </c>
      <c r="L96" s="8">
        <v>168</v>
      </c>
      <c r="M96" s="3" t="s">
        <v>10</v>
      </c>
      <c r="N96">
        <v>99</v>
      </c>
    </row>
    <row r="97" spans="1:14" x14ac:dyDescent="0.3">
      <c r="A97" t="s">
        <v>71</v>
      </c>
      <c r="B97" s="2" t="s">
        <v>55</v>
      </c>
      <c r="C97" s="2" t="s">
        <v>12</v>
      </c>
      <c r="D97" s="3">
        <v>8</v>
      </c>
      <c r="E97" s="3">
        <v>75</v>
      </c>
      <c r="F97" s="8">
        <v>135</v>
      </c>
      <c r="G97" s="8">
        <v>100</v>
      </c>
      <c r="H97" s="8">
        <v>87</v>
      </c>
      <c r="I97" s="8">
        <v>15</v>
      </c>
      <c r="J97" s="8">
        <v>57</v>
      </c>
      <c r="K97" s="8">
        <v>180</v>
      </c>
      <c r="L97" s="8">
        <v>167</v>
      </c>
      <c r="M97" s="3" t="s">
        <v>10</v>
      </c>
      <c r="N97">
        <v>100</v>
      </c>
    </row>
    <row r="98" spans="1:14" hidden="1" x14ac:dyDescent="0.3">
      <c r="A98" t="s">
        <v>71</v>
      </c>
      <c r="B98" s="2" t="s">
        <v>55</v>
      </c>
      <c r="C98" s="2" t="s">
        <v>17</v>
      </c>
      <c r="D98" s="3">
        <v>8</v>
      </c>
      <c r="E98" s="3">
        <v>85</v>
      </c>
      <c r="F98" s="8">
        <v>5</v>
      </c>
      <c r="M98" s="3" t="s">
        <v>10</v>
      </c>
      <c r="N98">
        <v>97</v>
      </c>
    </row>
    <row r="99" spans="1:14" x14ac:dyDescent="0.3">
      <c r="A99" t="s">
        <v>72</v>
      </c>
      <c r="B99" s="2" t="s">
        <v>73</v>
      </c>
      <c r="C99" s="2" t="s">
        <v>9</v>
      </c>
      <c r="D99" s="3">
        <v>7</v>
      </c>
      <c r="E99" s="3">
        <v>69</v>
      </c>
      <c r="F99" s="8">
        <v>32</v>
      </c>
      <c r="G99" s="8">
        <v>20</v>
      </c>
      <c r="H99" s="8">
        <v>24</v>
      </c>
      <c r="I99" s="8">
        <v>49</v>
      </c>
      <c r="J99" s="8">
        <v>40</v>
      </c>
      <c r="K99" s="8">
        <v>69</v>
      </c>
      <c r="L99" s="8">
        <v>59</v>
      </c>
      <c r="M99" s="3" t="s">
        <v>10</v>
      </c>
      <c r="N99">
        <v>94</v>
      </c>
    </row>
    <row r="100" spans="1:14" x14ac:dyDescent="0.3">
      <c r="A100" t="s">
        <v>72</v>
      </c>
      <c r="B100" s="2" t="s">
        <v>73</v>
      </c>
      <c r="C100" s="2" t="s">
        <v>12</v>
      </c>
      <c r="D100" s="3">
        <v>7</v>
      </c>
      <c r="E100" s="3">
        <v>79</v>
      </c>
      <c r="F100" s="8">
        <v>40</v>
      </c>
      <c r="G100" s="8">
        <v>32</v>
      </c>
      <c r="H100" s="8">
        <v>45</v>
      </c>
      <c r="I100" s="8">
        <v>13</v>
      </c>
      <c r="J100" s="8">
        <v>25</v>
      </c>
      <c r="K100" s="8">
        <v>66</v>
      </c>
      <c r="L100" s="8">
        <v>45</v>
      </c>
      <c r="M100" s="3" t="s">
        <v>10</v>
      </c>
      <c r="N100">
        <v>92</v>
      </c>
    </row>
    <row r="101" spans="1:14" hidden="1" x14ac:dyDescent="0.3">
      <c r="A101" t="s">
        <v>72</v>
      </c>
      <c r="B101" s="2" t="s">
        <v>73</v>
      </c>
      <c r="C101" s="2" t="s">
        <v>17</v>
      </c>
      <c r="D101" s="3">
        <v>7</v>
      </c>
      <c r="E101" s="3">
        <v>90</v>
      </c>
      <c r="F101" s="8">
        <v>25</v>
      </c>
      <c r="M101" s="3" t="s">
        <v>10</v>
      </c>
      <c r="N101">
        <v>92</v>
      </c>
    </row>
    <row r="102" spans="1:14" hidden="1" x14ac:dyDescent="0.3">
      <c r="A102" t="s">
        <v>72</v>
      </c>
      <c r="B102" s="2" t="s">
        <v>73</v>
      </c>
      <c r="C102" s="2" t="s">
        <v>43</v>
      </c>
      <c r="D102" s="3">
        <v>7</v>
      </c>
      <c r="E102" s="3">
        <v>79</v>
      </c>
      <c r="G102" s="8">
        <v>3</v>
      </c>
      <c r="M102" s="3" t="s">
        <v>10</v>
      </c>
      <c r="N102">
        <v>93</v>
      </c>
    </row>
    <row r="103" spans="1:14" x14ac:dyDescent="0.3">
      <c r="A103" t="s">
        <v>74</v>
      </c>
      <c r="B103" s="2" t="s">
        <v>75</v>
      </c>
      <c r="C103" s="2" t="s">
        <v>9</v>
      </c>
      <c r="D103" s="3">
        <v>5</v>
      </c>
      <c r="E103" s="3">
        <v>39</v>
      </c>
      <c r="F103" s="8">
        <v>36</v>
      </c>
      <c r="G103" s="8">
        <v>49</v>
      </c>
      <c r="H103" s="8">
        <v>38</v>
      </c>
      <c r="I103" s="8">
        <v>69</v>
      </c>
      <c r="J103" s="8">
        <v>39</v>
      </c>
      <c r="K103" s="8">
        <v>46</v>
      </c>
      <c r="L103" s="8">
        <v>8</v>
      </c>
      <c r="M103" s="3" t="s">
        <v>10</v>
      </c>
      <c r="N103">
        <v>94</v>
      </c>
    </row>
    <row r="104" spans="1:14" x14ac:dyDescent="0.3">
      <c r="A104" t="s">
        <v>74</v>
      </c>
      <c r="B104" s="2" t="s">
        <v>75</v>
      </c>
      <c r="C104" s="2" t="s">
        <v>12</v>
      </c>
      <c r="D104" s="3">
        <v>5</v>
      </c>
      <c r="E104" s="3">
        <v>49</v>
      </c>
      <c r="F104" s="8">
        <v>68</v>
      </c>
      <c r="G104" s="8">
        <v>55</v>
      </c>
      <c r="H104" s="8">
        <v>20</v>
      </c>
      <c r="I104" s="8">
        <v>25</v>
      </c>
      <c r="J104" s="8">
        <v>30</v>
      </c>
      <c r="K104" s="8">
        <v>44</v>
      </c>
      <c r="L104" s="8">
        <v>10</v>
      </c>
      <c r="M104" s="3" t="s">
        <v>10</v>
      </c>
      <c r="N104">
        <v>93</v>
      </c>
    </row>
    <row r="105" spans="1:14" hidden="1" x14ac:dyDescent="0.3">
      <c r="A105" t="s">
        <v>74</v>
      </c>
      <c r="B105" s="2" t="s">
        <v>75</v>
      </c>
      <c r="C105" s="2" t="s">
        <v>43</v>
      </c>
      <c r="D105" s="3">
        <v>5</v>
      </c>
      <c r="E105" s="3">
        <v>49</v>
      </c>
      <c r="F105" s="8">
        <v>1</v>
      </c>
      <c r="M105" s="3" t="s">
        <v>10</v>
      </c>
      <c r="N105">
        <v>100</v>
      </c>
    </row>
    <row r="106" spans="1:14" hidden="1" x14ac:dyDescent="0.3">
      <c r="A106" t="s">
        <v>74</v>
      </c>
      <c r="B106" s="2" t="s">
        <v>75</v>
      </c>
      <c r="C106" s="2" t="s">
        <v>14</v>
      </c>
      <c r="D106" s="3">
        <v>5</v>
      </c>
      <c r="E106" s="3">
        <v>49</v>
      </c>
      <c r="F106" s="8">
        <v>1</v>
      </c>
      <c r="M106" s="3" t="s">
        <v>10</v>
      </c>
      <c r="N106">
        <v>95</v>
      </c>
    </row>
    <row r="107" spans="1:14" x14ac:dyDescent="0.3">
      <c r="A107" t="s">
        <v>76</v>
      </c>
      <c r="B107" s="2" t="s">
        <v>59</v>
      </c>
      <c r="C107" s="2" t="s">
        <v>9</v>
      </c>
      <c r="D107" s="3">
        <v>6</v>
      </c>
      <c r="E107" s="3">
        <v>60</v>
      </c>
      <c r="F107" s="8">
        <v>10</v>
      </c>
      <c r="G107" s="8">
        <v>10</v>
      </c>
      <c r="H107" s="8">
        <v>12</v>
      </c>
      <c r="I107" s="8">
        <v>13</v>
      </c>
      <c r="J107" s="8">
        <v>36</v>
      </c>
      <c r="K107" s="8">
        <v>34</v>
      </c>
      <c r="L107" s="8">
        <v>0</v>
      </c>
      <c r="M107" s="3" t="s">
        <v>10</v>
      </c>
      <c r="N107">
        <v>98</v>
      </c>
    </row>
    <row r="108" spans="1:14" x14ac:dyDescent="0.3">
      <c r="A108" t="s">
        <v>76</v>
      </c>
      <c r="B108" s="2" t="s">
        <v>59</v>
      </c>
      <c r="C108" s="2" t="s">
        <v>12</v>
      </c>
      <c r="D108" s="3">
        <v>6</v>
      </c>
      <c r="E108" s="3">
        <v>70</v>
      </c>
      <c r="F108" s="8">
        <v>3</v>
      </c>
      <c r="M108" s="3" t="s">
        <v>10</v>
      </c>
      <c r="N108">
        <v>94</v>
      </c>
    </row>
    <row r="109" spans="1:14" hidden="1" x14ac:dyDescent="0.3">
      <c r="A109" t="s">
        <v>76</v>
      </c>
      <c r="B109" s="2" t="s">
        <v>59</v>
      </c>
      <c r="C109" s="2" t="s">
        <v>43</v>
      </c>
      <c r="D109" s="3">
        <v>6</v>
      </c>
      <c r="E109" s="3">
        <v>70</v>
      </c>
      <c r="G109" s="8">
        <v>3</v>
      </c>
      <c r="M109" s="3" t="s">
        <v>10</v>
      </c>
      <c r="N109">
        <v>90</v>
      </c>
    </row>
    <row r="110" spans="1:14" x14ac:dyDescent="0.3">
      <c r="A110" t="s">
        <v>77</v>
      </c>
      <c r="B110" s="2" t="s">
        <v>55</v>
      </c>
      <c r="C110" s="2" t="s">
        <v>12</v>
      </c>
      <c r="D110" s="3">
        <v>10</v>
      </c>
      <c r="E110" s="3">
        <v>145</v>
      </c>
      <c r="F110" s="8">
        <v>10</v>
      </c>
      <c r="M110" s="3" t="s">
        <v>10</v>
      </c>
      <c r="N110">
        <v>94</v>
      </c>
    </row>
    <row r="111" spans="1:14" hidden="1" x14ac:dyDescent="0.3">
      <c r="A111" t="s">
        <v>77</v>
      </c>
      <c r="B111" s="2" t="s">
        <v>55</v>
      </c>
      <c r="C111" s="2" t="s">
        <v>17</v>
      </c>
      <c r="D111" s="3">
        <v>10</v>
      </c>
      <c r="E111" s="3">
        <v>145</v>
      </c>
      <c r="F111" s="8">
        <v>13</v>
      </c>
      <c r="G111" s="8">
        <v>10</v>
      </c>
      <c r="M111" s="3" t="s">
        <v>10</v>
      </c>
      <c r="N111">
        <v>96</v>
      </c>
    </row>
    <row r="112" spans="1:14" hidden="1" x14ac:dyDescent="0.3">
      <c r="A112" t="s">
        <v>77</v>
      </c>
      <c r="B112" s="2" t="s">
        <v>55</v>
      </c>
      <c r="C112" s="2" t="s">
        <v>43</v>
      </c>
      <c r="D112" s="3">
        <v>10</v>
      </c>
      <c r="E112" s="3">
        <v>145</v>
      </c>
      <c r="F112" s="8">
        <v>2</v>
      </c>
      <c r="M112" s="3" t="s">
        <v>10</v>
      </c>
      <c r="N112">
        <v>100</v>
      </c>
    </row>
    <row r="113" spans="1:14" x14ac:dyDescent="0.3">
      <c r="A113" t="s">
        <v>77</v>
      </c>
      <c r="B113" s="2" t="s">
        <v>55</v>
      </c>
      <c r="C113" s="2" t="s">
        <v>9</v>
      </c>
      <c r="D113" s="3">
        <v>10</v>
      </c>
      <c r="E113" s="3">
        <v>130</v>
      </c>
      <c r="F113" s="8">
        <v>15</v>
      </c>
      <c r="G113" s="8">
        <v>15</v>
      </c>
      <c r="M113" s="3" t="s">
        <v>10</v>
      </c>
      <c r="N113">
        <v>94</v>
      </c>
    </row>
    <row r="114" spans="1:14" x14ac:dyDescent="0.3">
      <c r="A114" t="s">
        <v>78</v>
      </c>
      <c r="B114" s="2" t="s">
        <v>79</v>
      </c>
      <c r="C114" s="2" t="s">
        <v>9</v>
      </c>
      <c r="D114" s="3">
        <v>5.5</v>
      </c>
      <c r="E114" s="3">
        <v>75</v>
      </c>
      <c r="F114" s="8">
        <v>15</v>
      </c>
      <c r="G114" s="8">
        <v>15</v>
      </c>
      <c r="H114" s="8">
        <v>7</v>
      </c>
      <c r="I114" s="8">
        <v>8</v>
      </c>
      <c r="J114" s="8">
        <v>27</v>
      </c>
      <c r="K114" s="8">
        <v>12</v>
      </c>
      <c r="L114" s="8">
        <v>177</v>
      </c>
      <c r="M114" s="3" t="s">
        <v>10</v>
      </c>
      <c r="N114">
        <v>97</v>
      </c>
    </row>
    <row r="115" spans="1:14" x14ac:dyDescent="0.3">
      <c r="A115" t="s">
        <v>78</v>
      </c>
      <c r="B115" s="2" t="s">
        <v>79</v>
      </c>
      <c r="C115" s="2" t="s">
        <v>12</v>
      </c>
      <c r="D115" s="3">
        <v>5.5</v>
      </c>
      <c r="E115" s="3">
        <v>85</v>
      </c>
      <c r="F115" s="8">
        <v>10</v>
      </c>
      <c r="M115" s="3" t="s">
        <v>10</v>
      </c>
      <c r="N115">
        <v>100</v>
      </c>
    </row>
    <row r="116" spans="1:14" hidden="1" x14ac:dyDescent="0.3">
      <c r="A116" t="s">
        <v>78</v>
      </c>
      <c r="B116" s="2" t="s">
        <v>79</v>
      </c>
      <c r="C116" s="2" t="s">
        <v>17</v>
      </c>
      <c r="D116" s="3">
        <v>5.5</v>
      </c>
      <c r="E116" s="3">
        <v>99</v>
      </c>
      <c r="F116" s="8">
        <v>13</v>
      </c>
      <c r="G116" s="8">
        <v>10</v>
      </c>
      <c r="M116" s="3" t="s">
        <v>10</v>
      </c>
      <c r="N116">
        <v>93</v>
      </c>
    </row>
    <row r="117" spans="1:14" hidden="1" x14ac:dyDescent="0.3">
      <c r="A117" t="s">
        <v>78</v>
      </c>
      <c r="B117" s="2" t="s">
        <v>79</v>
      </c>
      <c r="C117" s="2" t="s">
        <v>43</v>
      </c>
      <c r="D117" s="3">
        <v>5.5</v>
      </c>
      <c r="E117" s="3">
        <v>99</v>
      </c>
      <c r="F117" s="8">
        <v>2</v>
      </c>
      <c r="M117" s="3" t="s">
        <v>10</v>
      </c>
      <c r="N117">
        <v>90</v>
      </c>
    </row>
    <row r="118" spans="1:14" x14ac:dyDescent="0.3">
      <c r="A118" t="s">
        <v>80</v>
      </c>
      <c r="B118" s="2" t="s">
        <v>81</v>
      </c>
      <c r="C118" s="2" t="s">
        <v>12</v>
      </c>
      <c r="D118" s="3">
        <v>6</v>
      </c>
      <c r="E118" s="3">
        <v>60</v>
      </c>
      <c r="F118" s="8">
        <v>444</v>
      </c>
      <c r="G118" s="8">
        <v>294</v>
      </c>
      <c r="H118" s="8">
        <v>180</v>
      </c>
      <c r="I118" s="8">
        <v>222</v>
      </c>
      <c r="J118" s="8">
        <v>493</v>
      </c>
      <c r="K118" s="8">
        <v>450</v>
      </c>
      <c r="L118" s="8">
        <v>0</v>
      </c>
      <c r="M118" s="3" t="s">
        <v>10</v>
      </c>
      <c r="N118">
        <v>96</v>
      </c>
    </row>
    <row r="119" spans="1:14" x14ac:dyDescent="0.3">
      <c r="A119" t="s">
        <v>82</v>
      </c>
      <c r="B119" t="s">
        <v>83</v>
      </c>
      <c r="C119" t="s">
        <v>9</v>
      </c>
      <c r="D119" s="3">
        <v>40</v>
      </c>
      <c r="E119" s="3">
        <v>220</v>
      </c>
      <c r="F119" s="8">
        <v>0</v>
      </c>
      <c r="G119" s="8">
        <v>1</v>
      </c>
      <c r="H119" s="8">
        <v>0</v>
      </c>
      <c r="I119" s="8">
        <v>1</v>
      </c>
      <c r="J119" s="8">
        <v>38</v>
      </c>
      <c r="M119" s="3" t="s">
        <v>10</v>
      </c>
      <c r="N119">
        <v>98</v>
      </c>
    </row>
    <row r="120" spans="1:14" x14ac:dyDescent="0.3">
      <c r="A120" t="s">
        <v>82</v>
      </c>
      <c r="B120" t="s">
        <v>83</v>
      </c>
      <c r="C120" t="s">
        <v>12</v>
      </c>
      <c r="D120" s="3">
        <v>40</v>
      </c>
      <c r="E120" s="3">
        <v>250</v>
      </c>
      <c r="F120" s="8">
        <v>1</v>
      </c>
      <c r="M120" s="3" t="s">
        <v>10</v>
      </c>
      <c r="N120">
        <v>100</v>
      </c>
    </row>
    <row r="121" spans="1:14" hidden="1" x14ac:dyDescent="0.3">
      <c r="A121" t="s">
        <v>82</v>
      </c>
      <c r="B121" t="s">
        <v>83</v>
      </c>
      <c r="C121" t="s">
        <v>17</v>
      </c>
      <c r="D121" s="3">
        <v>40</v>
      </c>
      <c r="E121" s="3">
        <v>300</v>
      </c>
      <c r="G121" s="8">
        <v>5</v>
      </c>
      <c r="M121" s="3" t="s">
        <v>10</v>
      </c>
      <c r="N121">
        <v>94</v>
      </c>
    </row>
    <row r="122" spans="1:14" hidden="1" x14ac:dyDescent="0.3">
      <c r="A122" t="s">
        <v>82</v>
      </c>
      <c r="B122" t="s">
        <v>83</v>
      </c>
      <c r="C122" t="s">
        <v>38</v>
      </c>
      <c r="D122" s="3">
        <v>40</v>
      </c>
      <c r="E122" s="3">
        <v>300</v>
      </c>
      <c r="G122" s="8">
        <v>5</v>
      </c>
      <c r="M122" s="3" t="s">
        <v>10</v>
      </c>
      <c r="N122">
        <v>99</v>
      </c>
    </row>
    <row r="123" spans="1:14" hidden="1" x14ac:dyDescent="0.3">
      <c r="A123" t="s">
        <v>82</v>
      </c>
      <c r="B123" t="s">
        <v>83</v>
      </c>
      <c r="C123" t="s">
        <v>14</v>
      </c>
      <c r="D123" s="3">
        <v>40</v>
      </c>
      <c r="E123" s="3">
        <v>250</v>
      </c>
      <c r="G123" s="8">
        <v>5</v>
      </c>
      <c r="M123" s="3" t="s">
        <v>10</v>
      </c>
      <c r="N123">
        <v>90</v>
      </c>
    </row>
    <row r="124" spans="1:14" hidden="1" x14ac:dyDescent="0.3">
      <c r="A124" t="s">
        <v>82</v>
      </c>
      <c r="B124" t="s">
        <v>83</v>
      </c>
      <c r="C124" t="s">
        <v>43</v>
      </c>
      <c r="D124" s="3">
        <v>40</v>
      </c>
      <c r="E124" s="3">
        <v>250</v>
      </c>
      <c r="G124" s="8">
        <v>5</v>
      </c>
      <c r="M124" s="3" t="s">
        <v>10</v>
      </c>
      <c r="N124">
        <v>98</v>
      </c>
    </row>
    <row r="125" spans="1:14" x14ac:dyDescent="0.3">
      <c r="A125" t="s">
        <v>84</v>
      </c>
      <c r="B125" t="s">
        <v>85</v>
      </c>
      <c r="C125" t="s">
        <v>9</v>
      </c>
      <c r="D125" s="3">
        <v>47</v>
      </c>
      <c r="E125" s="3">
        <v>340</v>
      </c>
      <c r="F125" s="8">
        <v>2</v>
      </c>
      <c r="G125" s="8">
        <v>34</v>
      </c>
      <c r="H125" s="8">
        <v>36</v>
      </c>
      <c r="I125" s="8">
        <v>2</v>
      </c>
      <c r="J125" s="8">
        <v>0</v>
      </c>
      <c r="M125" s="3" t="s">
        <v>10</v>
      </c>
      <c r="N125">
        <v>92</v>
      </c>
    </row>
    <row r="126" spans="1:14" x14ac:dyDescent="0.3">
      <c r="A126" t="s">
        <v>84</v>
      </c>
      <c r="B126" t="s">
        <v>85</v>
      </c>
      <c r="C126" t="s">
        <v>12</v>
      </c>
      <c r="D126" s="3">
        <v>47</v>
      </c>
      <c r="E126" s="3">
        <v>370</v>
      </c>
      <c r="F126" s="8">
        <v>3</v>
      </c>
      <c r="M126" s="3" t="s">
        <v>10</v>
      </c>
      <c r="N126">
        <v>97</v>
      </c>
    </row>
    <row r="127" spans="1:14" hidden="1" x14ac:dyDescent="0.3">
      <c r="A127" t="s">
        <v>84</v>
      </c>
      <c r="B127" t="s">
        <v>85</v>
      </c>
      <c r="C127" t="s">
        <v>17</v>
      </c>
      <c r="D127" s="3">
        <v>47</v>
      </c>
      <c r="E127" s="3">
        <v>400</v>
      </c>
      <c r="F127" s="8">
        <v>5</v>
      </c>
      <c r="M127" s="3" t="s">
        <v>10</v>
      </c>
      <c r="N127">
        <v>90</v>
      </c>
    </row>
    <row r="128" spans="1:14" hidden="1" x14ac:dyDescent="0.3">
      <c r="A128" t="s">
        <v>84</v>
      </c>
      <c r="B128" t="s">
        <v>85</v>
      </c>
      <c r="C128" t="s">
        <v>38</v>
      </c>
      <c r="D128" s="3">
        <v>47</v>
      </c>
      <c r="E128" s="3">
        <v>400</v>
      </c>
      <c r="G128" s="8">
        <v>1</v>
      </c>
      <c r="M128" s="3" t="s">
        <v>10</v>
      </c>
      <c r="N128">
        <v>90</v>
      </c>
    </row>
    <row r="129" spans="1:14" hidden="1" x14ac:dyDescent="0.3">
      <c r="A129" t="s">
        <v>84</v>
      </c>
      <c r="B129" t="s">
        <v>85</v>
      </c>
      <c r="C129" t="s">
        <v>43</v>
      </c>
      <c r="D129" s="3">
        <v>47</v>
      </c>
      <c r="E129" s="3">
        <v>370</v>
      </c>
      <c r="F129" s="8">
        <v>2</v>
      </c>
      <c r="M129" s="3" t="s">
        <v>10</v>
      </c>
      <c r="N129">
        <v>99</v>
      </c>
    </row>
    <row r="130" spans="1:14" x14ac:dyDescent="0.3">
      <c r="A130" t="s">
        <v>86</v>
      </c>
      <c r="B130" t="s">
        <v>87</v>
      </c>
      <c r="C130" t="s">
        <v>9</v>
      </c>
      <c r="D130" s="3">
        <v>60</v>
      </c>
      <c r="E130" s="3">
        <v>579</v>
      </c>
      <c r="F130" s="8">
        <v>0</v>
      </c>
      <c r="G130" s="8">
        <v>0</v>
      </c>
      <c r="H130" s="8">
        <v>0</v>
      </c>
      <c r="I130" s="8">
        <v>0</v>
      </c>
      <c r="J130" s="8">
        <v>12</v>
      </c>
      <c r="M130" s="3" t="s">
        <v>10</v>
      </c>
      <c r="N130">
        <v>96</v>
      </c>
    </row>
    <row r="131" spans="1:14" x14ac:dyDescent="0.3">
      <c r="A131" t="s">
        <v>86</v>
      </c>
      <c r="B131" t="s">
        <v>87</v>
      </c>
      <c r="C131" t="s">
        <v>12</v>
      </c>
      <c r="D131" s="3">
        <v>60</v>
      </c>
      <c r="E131" s="3">
        <v>589</v>
      </c>
      <c r="F131" s="8">
        <v>10</v>
      </c>
      <c r="M131" s="3" t="s">
        <v>10</v>
      </c>
      <c r="N131">
        <v>90</v>
      </c>
    </row>
    <row r="132" spans="1:14" hidden="1" x14ac:dyDescent="0.3">
      <c r="A132" t="s">
        <v>86</v>
      </c>
      <c r="B132" t="s">
        <v>87</v>
      </c>
      <c r="C132" t="s">
        <v>17</v>
      </c>
      <c r="D132" s="3">
        <v>60</v>
      </c>
      <c r="E132" s="3">
        <v>650</v>
      </c>
      <c r="F132" s="8">
        <v>3</v>
      </c>
      <c r="M132" s="3" t="s">
        <v>10</v>
      </c>
      <c r="N132">
        <v>92</v>
      </c>
    </row>
    <row r="133" spans="1:14" hidden="1" x14ac:dyDescent="0.3">
      <c r="A133" t="s">
        <v>86</v>
      </c>
      <c r="B133" t="s">
        <v>87</v>
      </c>
      <c r="C133" t="s">
        <v>38</v>
      </c>
      <c r="D133" s="3">
        <v>60</v>
      </c>
      <c r="E133" s="3">
        <v>650</v>
      </c>
      <c r="F133" s="8">
        <v>5</v>
      </c>
      <c r="M133" s="3" t="s">
        <v>10</v>
      </c>
      <c r="N133">
        <v>99</v>
      </c>
    </row>
    <row r="134" spans="1:14" x14ac:dyDescent="0.3">
      <c r="A134" t="s">
        <v>88</v>
      </c>
      <c r="B134" t="s">
        <v>89</v>
      </c>
      <c r="C134" t="s">
        <v>9</v>
      </c>
      <c r="D134" s="3">
        <v>40</v>
      </c>
      <c r="E134" s="3">
        <v>250</v>
      </c>
      <c r="F134" s="8">
        <v>5</v>
      </c>
      <c r="G134" s="8">
        <v>0</v>
      </c>
      <c r="H134" s="8">
        <v>0</v>
      </c>
      <c r="I134" s="8">
        <v>2</v>
      </c>
      <c r="J134" s="8">
        <v>52</v>
      </c>
      <c r="M134" s="3" t="s">
        <v>10</v>
      </c>
      <c r="N134">
        <v>95</v>
      </c>
    </row>
    <row r="135" spans="1:14" hidden="1" x14ac:dyDescent="0.3">
      <c r="A135" t="s">
        <v>88</v>
      </c>
      <c r="B135" t="s">
        <v>89</v>
      </c>
      <c r="C135" t="s">
        <v>17</v>
      </c>
      <c r="D135" s="3">
        <v>40</v>
      </c>
      <c r="E135" s="3">
        <v>290</v>
      </c>
      <c r="F135" s="8">
        <v>5</v>
      </c>
      <c r="M135" s="3" t="s">
        <v>10</v>
      </c>
      <c r="N135">
        <v>93</v>
      </c>
    </row>
    <row r="136" spans="1:14" hidden="1" x14ac:dyDescent="0.3">
      <c r="A136" t="s">
        <v>88</v>
      </c>
      <c r="B136" t="s">
        <v>89</v>
      </c>
      <c r="C136" t="s">
        <v>14</v>
      </c>
      <c r="D136" s="3">
        <v>40</v>
      </c>
      <c r="E136" s="3">
        <v>260</v>
      </c>
      <c r="F136" s="8">
        <v>1</v>
      </c>
      <c r="M136" s="3" t="s">
        <v>10</v>
      </c>
      <c r="N136">
        <v>92</v>
      </c>
    </row>
    <row r="137" spans="1:14" hidden="1" x14ac:dyDescent="0.3">
      <c r="A137" t="s">
        <v>88</v>
      </c>
      <c r="B137" t="s">
        <v>89</v>
      </c>
      <c r="C137" t="s">
        <v>38</v>
      </c>
      <c r="D137" s="3">
        <v>40</v>
      </c>
      <c r="E137" s="3">
        <v>290</v>
      </c>
      <c r="F137" s="8">
        <v>5</v>
      </c>
      <c r="M137" s="3" t="s">
        <v>10</v>
      </c>
      <c r="N137">
        <v>95</v>
      </c>
    </row>
    <row r="138" spans="1:14" hidden="1" x14ac:dyDescent="0.3">
      <c r="A138" t="s">
        <v>88</v>
      </c>
      <c r="B138" t="s">
        <v>89</v>
      </c>
      <c r="C138" t="s">
        <v>21</v>
      </c>
      <c r="D138" s="3">
        <v>40</v>
      </c>
      <c r="E138" s="3">
        <v>290</v>
      </c>
      <c r="G138" s="8">
        <v>1</v>
      </c>
      <c r="M138" s="3" t="s">
        <v>10</v>
      </c>
      <c r="N138">
        <v>90</v>
      </c>
    </row>
    <row r="139" spans="1:14" x14ac:dyDescent="0.3">
      <c r="A139" t="s">
        <v>90</v>
      </c>
      <c r="B139" t="s">
        <v>91</v>
      </c>
      <c r="C139" t="s">
        <v>9</v>
      </c>
      <c r="D139" s="3">
        <v>47</v>
      </c>
      <c r="E139" s="3">
        <v>315</v>
      </c>
      <c r="F139" s="8">
        <v>0</v>
      </c>
      <c r="G139" s="8">
        <v>0</v>
      </c>
      <c r="H139" s="8">
        <v>0</v>
      </c>
      <c r="I139" s="8">
        <v>1</v>
      </c>
      <c r="J139" s="8">
        <v>0</v>
      </c>
      <c r="M139" s="3" t="s">
        <v>10</v>
      </c>
      <c r="N139">
        <v>93</v>
      </c>
    </row>
    <row r="140" spans="1:14" x14ac:dyDescent="0.3">
      <c r="A140" t="s">
        <v>90</v>
      </c>
      <c r="B140" t="s">
        <v>91</v>
      </c>
      <c r="C140" t="s">
        <v>12</v>
      </c>
      <c r="D140" s="3">
        <v>47</v>
      </c>
      <c r="E140" s="3">
        <v>340</v>
      </c>
      <c r="F140" s="8">
        <v>1</v>
      </c>
      <c r="M140" s="3" t="s">
        <v>10</v>
      </c>
      <c r="N140">
        <v>91</v>
      </c>
    </row>
    <row r="141" spans="1:14" hidden="1" x14ac:dyDescent="0.3">
      <c r="A141" t="s">
        <v>90</v>
      </c>
      <c r="B141" t="s">
        <v>91</v>
      </c>
      <c r="C141" t="s">
        <v>38</v>
      </c>
      <c r="D141" s="3">
        <v>47</v>
      </c>
      <c r="E141" s="3">
        <v>370</v>
      </c>
      <c r="G141" s="8">
        <v>1</v>
      </c>
      <c r="M141" s="3" t="s">
        <v>10</v>
      </c>
      <c r="N141">
        <v>93</v>
      </c>
    </row>
    <row r="142" spans="1:14" hidden="1" x14ac:dyDescent="0.3">
      <c r="A142" t="s">
        <v>90</v>
      </c>
      <c r="B142" t="s">
        <v>91</v>
      </c>
      <c r="C142" t="s">
        <v>17</v>
      </c>
      <c r="D142" s="3">
        <v>47</v>
      </c>
      <c r="E142" s="3">
        <v>370</v>
      </c>
      <c r="F142" s="8">
        <v>1</v>
      </c>
      <c r="M142" s="3" t="s">
        <v>10</v>
      </c>
      <c r="N142">
        <v>99</v>
      </c>
    </row>
    <row r="143" spans="1:14" x14ac:dyDescent="0.3">
      <c r="A143" t="s">
        <v>92</v>
      </c>
      <c r="B143" t="s">
        <v>93</v>
      </c>
      <c r="C143" t="s">
        <v>9</v>
      </c>
      <c r="D143" s="3">
        <v>55</v>
      </c>
      <c r="E143" s="3">
        <v>450</v>
      </c>
      <c r="F143" s="8">
        <v>7</v>
      </c>
      <c r="G143" s="8">
        <v>2</v>
      </c>
      <c r="H143" s="8">
        <v>3</v>
      </c>
      <c r="I143" s="8">
        <v>1</v>
      </c>
      <c r="J143" s="8">
        <v>8</v>
      </c>
      <c r="M143" s="3" t="s">
        <v>10</v>
      </c>
      <c r="N143">
        <v>95</v>
      </c>
    </row>
    <row r="144" spans="1:14" x14ac:dyDescent="0.3">
      <c r="A144" t="s">
        <v>92</v>
      </c>
      <c r="B144" t="s">
        <v>93</v>
      </c>
      <c r="C144" t="s">
        <v>12</v>
      </c>
      <c r="D144" s="3">
        <v>55</v>
      </c>
      <c r="E144" s="3">
        <v>470</v>
      </c>
      <c r="F144" s="8">
        <v>2</v>
      </c>
      <c r="M144" s="3" t="s">
        <v>10</v>
      </c>
      <c r="N144">
        <v>96</v>
      </c>
    </row>
    <row r="145" spans="1:14" hidden="1" x14ac:dyDescent="0.3">
      <c r="A145" t="s">
        <v>92</v>
      </c>
      <c r="B145" t="s">
        <v>93</v>
      </c>
      <c r="C145" t="s">
        <v>38</v>
      </c>
      <c r="D145" s="3">
        <v>55</v>
      </c>
      <c r="E145" s="3">
        <v>500</v>
      </c>
      <c r="G145" s="8">
        <v>1</v>
      </c>
      <c r="M145" s="3" t="s">
        <v>10</v>
      </c>
      <c r="N145">
        <v>93</v>
      </c>
    </row>
    <row r="146" spans="1:14" hidden="1" x14ac:dyDescent="0.3">
      <c r="A146" t="s">
        <v>92</v>
      </c>
      <c r="B146" t="s">
        <v>93</v>
      </c>
      <c r="C146" t="s">
        <v>17</v>
      </c>
      <c r="D146" s="3">
        <v>55</v>
      </c>
      <c r="E146" s="3">
        <v>500</v>
      </c>
      <c r="F146" s="8">
        <v>1</v>
      </c>
      <c r="M146" s="3" t="s">
        <v>10</v>
      </c>
      <c r="N146">
        <v>100</v>
      </c>
    </row>
    <row r="147" spans="1:14" hidden="1" x14ac:dyDescent="0.3">
      <c r="A147" t="s">
        <v>94</v>
      </c>
      <c r="B147" s="2" t="s">
        <v>95</v>
      </c>
      <c r="C147" s="2" t="s">
        <v>96</v>
      </c>
      <c r="D147" s="4">
        <v>14</v>
      </c>
      <c r="E147" s="3">
        <v>35</v>
      </c>
      <c r="F147" s="8">
        <v>134</v>
      </c>
      <c r="G147" s="8">
        <v>1</v>
      </c>
      <c r="M147" s="3" t="s">
        <v>97</v>
      </c>
      <c r="N147">
        <v>96</v>
      </c>
    </row>
    <row r="148" spans="1:14" x14ac:dyDescent="0.3">
      <c r="A148" t="s">
        <v>98</v>
      </c>
      <c r="B148" s="2" t="s">
        <v>95</v>
      </c>
      <c r="C148" s="2" t="s">
        <v>9</v>
      </c>
      <c r="D148" s="4">
        <v>14</v>
      </c>
      <c r="E148" s="3">
        <v>30</v>
      </c>
      <c r="M148" s="3" t="s">
        <v>97</v>
      </c>
      <c r="N148">
        <v>93</v>
      </c>
    </row>
    <row r="149" spans="1:14" hidden="1" x14ac:dyDescent="0.3">
      <c r="A149" t="s">
        <v>99</v>
      </c>
      <c r="B149" s="2" t="s">
        <v>95</v>
      </c>
      <c r="C149" s="2" t="s">
        <v>96</v>
      </c>
      <c r="D149" s="4">
        <v>17</v>
      </c>
      <c r="E149" s="3">
        <v>40</v>
      </c>
      <c r="F149" s="8">
        <v>60</v>
      </c>
      <c r="G149" s="8">
        <v>5</v>
      </c>
      <c r="H149" s="8">
        <v>1</v>
      </c>
      <c r="M149" s="3" t="s">
        <v>97</v>
      </c>
      <c r="N149">
        <v>99</v>
      </c>
    </row>
    <row r="150" spans="1:14" x14ac:dyDescent="0.3">
      <c r="A150" t="s">
        <v>100</v>
      </c>
      <c r="B150" s="2" t="s">
        <v>95</v>
      </c>
      <c r="C150" s="2" t="s">
        <v>9</v>
      </c>
      <c r="D150" s="4">
        <v>17</v>
      </c>
      <c r="E150" s="3">
        <v>38</v>
      </c>
      <c r="M150" s="3" t="s">
        <v>97</v>
      </c>
      <c r="N150">
        <v>99</v>
      </c>
    </row>
    <row r="151" spans="1:14" hidden="1" x14ac:dyDescent="0.3">
      <c r="A151" t="s">
        <v>101</v>
      </c>
      <c r="B151" s="2" t="s">
        <v>95</v>
      </c>
      <c r="C151" s="2" t="s">
        <v>38</v>
      </c>
      <c r="D151" s="4">
        <v>17</v>
      </c>
      <c r="E151" s="3">
        <v>45</v>
      </c>
      <c r="M151" s="3" t="s">
        <v>97</v>
      </c>
      <c r="N151">
        <v>97</v>
      </c>
    </row>
    <row r="152" spans="1:14" hidden="1" x14ac:dyDescent="0.3">
      <c r="A152" t="s">
        <v>102</v>
      </c>
      <c r="B152" s="2" t="s">
        <v>95</v>
      </c>
      <c r="C152" s="2" t="s">
        <v>96</v>
      </c>
      <c r="D152" s="4">
        <v>20</v>
      </c>
      <c r="E152" s="3">
        <v>60</v>
      </c>
      <c r="F152" s="8">
        <v>55</v>
      </c>
      <c r="G152" s="8">
        <v>35</v>
      </c>
      <c r="H152" s="8">
        <v>7</v>
      </c>
      <c r="M152" s="3" t="s">
        <v>97</v>
      </c>
      <c r="N152">
        <v>100</v>
      </c>
    </row>
    <row r="153" spans="1:14" hidden="1" x14ac:dyDescent="0.3">
      <c r="A153" t="s">
        <v>103</v>
      </c>
      <c r="B153" s="2" t="s">
        <v>104</v>
      </c>
      <c r="C153" s="2" t="s">
        <v>96</v>
      </c>
      <c r="D153" s="4">
        <v>11</v>
      </c>
      <c r="E153" s="3">
        <v>75</v>
      </c>
      <c r="F153" s="8">
        <v>130</v>
      </c>
      <c r="G153" s="8">
        <v>77</v>
      </c>
      <c r="H153" s="8">
        <v>12</v>
      </c>
      <c r="M153" s="3" t="s">
        <v>97</v>
      </c>
      <c r="N153">
        <v>90</v>
      </c>
    </row>
    <row r="154" spans="1:14" hidden="1" x14ac:dyDescent="0.3">
      <c r="A154" t="s">
        <v>103</v>
      </c>
      <c r="B154" s="2" t="s">
        <v>104</v>
      </c>
      <c r="C154" s="2" t="s">
        <v>38</v>
      </c>
      <c r="D154" s="4">
        <v>11</v>
      </c>
      <c r="E154" s="3">
        <v>85</v>
      </c>
      <c r="M154" s="3" t="s">
        <v>97</v>
      </c>
      <c r="N154">
        <v>98</v>
      </c>
    </row>
    <row r="155" spans="1:14" hidden="1" x14ac:dyDescent="0.3">
      <c r="A155" t="s">
        <v>105</v>
      </c>
      <c r="B155" s="2" t="s">
        <v>104</v>
      </c>
      <c r="C155" s="2" t="s">
        <v>96</v>
      </c>
      <c r="D155" s="4">
        <v>15</v>
      </c>
      <c r="E155" s="3">
        <v>60</v>
      </c>
      <c r="F155" s="8">
        <v>135</v>
      </c>
      <c r="G155" s="8">
        <v>65</v>
      </c>
      <c r="H155" s="8">
        <v>7</v>
      </c>
      <c r="M155" s="3" t="s">
        <v>97</v>
      </c>
      <c r="N155">
        <v>91</v>
      </c>
    </row>
    <row r="156" spans="1:14" hidden="1" x14ac:dyDescent="0.3">
      <c r="A156" t="s">
        <v>106</v>
      </c>
      <c r="B156" s="2" t="s">
        <v>104</v>
      </c>
      <c r="C156" s="2" t="s">
        <v>96</v>
      </c>
      <c r="D156" s="4">
        <v>20</v>
      </c>
      <c r="E156" s="3">
        <v>85</v>
      </c>
      <c r="F156" s="8">
        <v>208</v>
      </c>
      <c r="G156" s="8">
        <v>83</v>
      </c>
      <c r="H156" s="8">
        <v>20</v>
      </c>
      <c r="M156" s="3" t="s">
        <v>97</v>
      </c>
      <c r="N156">
        <v>94</v>
      </c>
    </row>
    <row r="157" spans="1:14" hidden="1" x14ac:dyDescent="0.3">
      <c r="A157" t="s">
        <v>107</v>
      </c>
      <c r="B157" s="2" t="s">
        <v>108</v>
      </c>
      <c r="C157" s="2" t="s">
        <v>96</v>
      </c>
      <c r="D157" s="4">
        <v>5</v>
      </c>
      <c r="E157" s="3">
        <v>45</v>
      </c>
      <c r="F157" s="8">
        <v>122</v>
      </c>
      <c r="G157" s="8">
        <v>91</v>
      </c>
      <c r="H157" s="8">
        <v>3</v>
      </c>
      <c r="M157" s="3" t="s">
        <v>97</v>
      </c>
      <c r="N157">
        <v>97</v>
      </c>
    </row>
    <row r="158" spans="1:14" hidden="1" x14ac:dyDescent="0.3">
      <c r="A158" t="s">
        <v>109</v>
      </c>
      <c r="B158" s="2" t="s">
        <v>108</v>
      </c>
      <c r="C158" s="2" t="s">
        <v>96</v>
      </c>
      <c r="D158" s="4">
        <v>10</v>
      </c>
      <c r="E158" s="3">
        <v>59</v>
      </c>
      <c r="F158" s="8">
        <v>194</v>
      </c>
      <c r="G158" s="8">
        <v>102</v>
      </c>
      <c r="H158" s="8">
        <v>2</v>
      </c>
      <c r="M158" s="3" t="s">
        <v>97</v>
      </c>
      <c r="N158">
        <v>96</v>
      </c>
    </row>
    <row r="159" spans="1:14" hidden="1" x14ac:dyDescent="0.3">
      <c r="A159" t="s">
        <v>110</v>
      </c>
      <c r="B159" s="2" t="s">
        <v>108</v>
      </c>
      <c r="C159" s="2" t="s">
        <v>96</v>
      </c>
      <c r="D159" s="4">
        <v>13</v>
      </c>
      <c r="E159" s="3">
        <v>75</v>
      </c>
      <c r="F159" s="8">
        <v>147</v>
      </c>
      <c r="G159" s="8">
        <v>110</v>
      </c>
      <c r="H159" s="8">
        <v>17</v>
      </c>
      <c r="M159" s="3" t="s">
        <v>97</v>
      </c>
      <c r="N159">
        <v>91</v>
      </c>
    </row>
    <row r="160" spans="1:14" hidden="1" x14ac:dyDescent="0.3">
      <c r="A160" t="s">
        <v>111</v>
      </c>
      <c r="B160" s="2" t="s">
        <v>108</v>
      </c>
      <c r="C160" s="2" t="s">
        <v>96</v>
      </c>
      <c r="D160" s="4">
        <v>17</v>
      </c>
      <c r="E160" s="3">
        <v>90</v>
      </c>
      <c r="F160" s="8">
        <v>133</v>
      </c>
      <c r="G160" s="8">
        <v>93</v>
      </c>
      <c r="H160" s="8">
        <v>8</v>
      </c>
      <c r="M160" s="3" t="s">
        <v>97</v>
      </c>
      <c r="N160">
        <v>95</v>
      </c>
    </row>
    <row r="161" spans="1:14" hidden="1" x14ac:dyDescent="0.3">
      <c r="A161" t="s">
        <v>112</v>
      </c>
      <c r="B161" s="2" t="s">
        <v>113</v>
      </c>
      <c r="C161" s="2" t="s">
        <v>96</v>
      </c>
      <c r="D161" s="4">
        <v>8</v>
      </c>
      <c r="E161" s="3">
        <v>45</v>
      </c>
      <c r="F161" s="8">
        <v>173</v>
      </c>
      <c r="G161" s="8">
        <v>91</v>
      </c>
      <c r="H161" s="8">
        <v>75</v>
      </c>
      <c r="M161" s="3" t="s">
        <v>97</v>
      </c>
      <c r="N161">
        <v>91</v>
      </c>
    </row>
    <row r="162" spans="1:14" hidden="1" x14ac:dyDescent="0.3">
      <c r="A162" t="s">
        <v>114</v>
      </c>
      <c r="B162" s="2" t="s">
        <v>113</v>
      </c>
      <c r="C162" s="2" t="s">
        <v>96</v>
      </c>
      <c r="D162" s="4">
        <v>10</v>
      </c>
      <c r="E162" s="3">
        <v>60</v>
      </c>
      <c r="F162" s="8">
        <v>430</v>
      </c>
      <c r="G162" s="8">
        <v>223</v>
      </c>
      <c r="H162" s="8">
        <v>157</v>
      </c>
      <c r="M162" s="3" t="s">
        <v>97</v>
      </c>
      <c r="N162">
        <v>95</v>
      </c>
    </row>
    <row r="163" spans="1:14" hidden="1" x14ac:dyDescent="0.3">
      <c r="A163" t="s">
        <v>115</v>
      </c>
      <c r="B163" s="2" t="s">
        <v>113</v>
      </c>
      <c r="C163" s="2" t="s">
        <v>96</v>
      </c>
      <c r="D163" s="4">
        <v>15</v>
      </c>
      <c r="E163" s="3">
        <v>77</v>
      </c>
      <c r="F163" s="8">
        <v>109</v>
      </c>
      <c r="G163" s="8">
        <v>102</v>
      </c>
      <c r="H163" s="8">
        <v>32</v>
      </c>
      <c r="M163" s="3" t="s">
        <v>97</v>
      </c>
      <c r="N163">
        <v>98</v>
      </c>
    </row>
    <row r="164" spans="1:14" hidden="1" x14ac:dyDescent="0.3">
      <c r="A164" t="s">
        <v>116</v>
      </c>
      <c r="B164" s="2" t="s">
        <v>113</v>
      </c>
      <c r="C164" s="2" t="s">
        <v>96</v>
      </c>
      <c r="D164" s="4">
        <v>5</v>
      </c>
      <c r="E164" s="3">
        <v>45</v>
      </c>
      <c r="F164" s="8">
        <v>79</v>
      </c>
      <c r="G164" s="8">
        <v>29</v>
      </c>
      <c r="M164" s="3" t="s">
        <v>97</v>
      </c>
      <c r="N164">
        <v>95</v>
      </c>
    </row>
    <row r="165" spans="1:14" hidden="1" x14ac:dyDescent="0.3">
      <c r="A165" t="s">
        <v>117</v>
      </c>
      <c r="B165" s="2" t="s">
        <v>118</v>
      </c>
      <c r="C165" s="2" t="s">
        <v>96</v>
      </c>
      <c r="D165" s="4">
        <v>5</v>
      </c>
      <c r="E165" s="3">
        <v>32</v>
      </c>
      <c r="F165" s="8">
        <v>82</v>
      </c>
      <c r="G165" s="8">
        <v>33</v>
      </c>
      <c r="H165" s="8">
        <v>20</v>
      </c>
      <c r="M165" s="3" t="s">
        <v>97</v>
      </c>
      <c r="N165">
        <v>92</v>
      </c>
    </row>
    <row r="166" spans="1:14" hidden="1" x14ac:dyDescent="0.3">
      <c r="A166" t="s">
        <v>119</v>
      </c>
      <c r="B166" s="2" t="s">
        <v>118</v>
      </c>
      <c r="C166" s="2" t="s">
        <v>96</v>
      </c>
      <c r="D166" s="4">
        <v>7</v>
      </c>
      <c r="E166" s="3">
        <v>45</v>
      </c>
      <c r="F166" s="8">
        <v>153</v>
      </c>
      <c r="G166" s="8">
        <v>93</v>
      </c>
      <c r="H166" s="8">
        <v>50</v>
      </c>
      <c r="M166" s="3" t="s">
        <v>97</v>
      </c>
      <c r="N166">
        <v>93</v>
      </c>
    </row>
    <row r="167" spans="1:14" hidden="1" x14ac:dyDescent="0.3">
      <c r="A167" t="s">
        <v>120</v>
      </c>
      <c r="B167" s="2" t="s">
        <v>118</v>
      </c>
      <c r="C167" s="2" t="s">
        <v>96</v>
      </c>
      <c r="D167" s="4">
        <v>8</v>
      </c>
      <c r="E167" s="3">
        <v>51</v>
      </c>
      <c r="F167" s="8">
        <v>90</v>
      </c>
      <c r="G167" s="8">
        <v>35</v>
      </c>
      <c r="H167" s="8">
        <v>15</v>
      </c>
      <c r="M167" s="3" t="s">
        <v>97</v>
      </c>
      <c r="N167">
        <v>100</v>
      </c>
    </row>
    <row r="168" spans="1:14" hidden="1" x14ac:dyDescent="0.3">
      <c r="A168" t="s">
        <v>121</v>
      </c>
      <c r="B168" s="2" t="s">
        <v>118</v>
      </c>
      <c r="C168" s="2" t="s">
        <v>96</v>
      </c>
      <c r="D168" s="4">
        <v>11</v>
      </c>
      <c r="E168" s="3">
        <v>60</v>
      </c>
      <c r="F168" s="8">
        <v>24</v>
      </c>
      <c r="G168" s="8">
        <v>21</v>
      </c>
      <c r="H168" s="8">
        <v>3</v>
      </c>
      <c r="M168" s="3" t="s">
        <v>97</v>
      </c>
      <c r="N168">
        <v>94</v>
      </c>
    </row>
    <row r="169" spans="1:14" hidden="1" x14ac:dyDescent="0.3">
      <c r="A169" t="s">
        <v>122</v>
      </c>
      <c r="B169" s="2" t="s">
        <v>123</v>
      </c>
      <c r="C169" s="2" t="s">
        <v>96</v>
      </c>
      <c r="D169" s="4">
        <v>15</v>
      </c>
      <c r="E169" s="3">
        <v>45</v>
      </c>
      <c r="F169" s="8">
        <v>103</v>
      </c>
      <c r="G169" s="8">
        <v>77</v>
      </c>
      <c r="H169" s="8">
        <v>4</v>
      </c>
      <c r="M169" s="3" t="s">
        <v>97</v>
      </c>
      <c r="N169">
        <v>94</v>
      </c>
    </row>
    <row r="170" spans="1:14" hidden="1" x14ac:dyDescent="0.3">
      <c r="A170" t="s">
        <v>124</v>
      </c>
      <c r="B170" s="2" t="s">
        <v>123</v>
      </c>
      <c r="C170" s="2" t="s">
        <v>96</v>
      </c>
      <c r="D170" s="4">
        <v>15</v>
      </c>
      <c r="E170" s="3">
        <v>48</v>
      </c>
      <c r="F170" s="8">
        <v>54</v>
      </c>
      <c r="G170" s="8">
        <v>0</v>
      </c>
      <c r="H170" s="8">
        <v>0</v>
      </c>
      <c r="M170" s="3" t="s">
        <v>97</v>
      </c>
      <c r="N170">
        <v>100</v>
      </c>
    </row>
    <row r="171" spans="1:14" hidden="1" x14ac:dyDescent="0.3">
      <c r="A171" t="s">
        <v>125</v>
      </c>
      <c r="B171" s="2" t="s">
        <v>123</v>
      </c>
      <c r="C171" s="2" t="s">
        <v>96</v>
      </c>
      <c r="D171" s="4">
        <v>15</v>
      </c>
      <c r="E171" s="3">
        <v>50</v>
      </c>
      <c r="F171" s="8">
        <v>35</v>
      </c>
      <c r="G171" s="8">
        <v>85</v>
      </c>
      <c r="H171" s="8">
        <v>5</v>
      </c>
      <c r="M171" s="3" t="s">
        <v>97</v>
      </c>
      <c r="N171">
        <v>93</v>
      </c>
    </row>
    <row r="172" spans="1:14" hidden="1" x14ac:dyDescent="0.3">
      <c r="A172" t="s">
        <v>126</v>
      </c>
      <c r="B172" s="2" t="s">
        <v>123</v>
      </c>
      <c r="C172" s="2" t="s">
        <v>96</v>
      </c>
      <c r="D172" s="4">
        <v>15</v>
      </c>
      <c r="E172" s="3">
        <v>50</v>
      </c>
      <c r="F172" s="8">
        <v>235</v>
      </c>
      <c r="G172" s="8">
        <v>55</v>
      </c>
      <c r="H172" s="8">
        <v>39</v>
      </c>
      <c r="M172" s="3" t="s">
        <v>97</v>
      </c>
      <c r="N172">
        <v>90</v>
      </c>
    </row>
    <row r="173" spans="1:14" hidden="1" x14ac:dyDescent="0.3">
      <c r="A173" t="s">
        <v>127</v>
      </c>
      <c r="B173" s="2" t="s">
        <v>128</v>
      </c>
      <c r="C173" s="2" t="s">
        <v>96</v>
      </c>
      <c r="D173" s="4">
        <v>10</v>
      </c>
      <c r="E173" s="3">
        <v>73</v>
      </c>
      <c r="F173" s="8">
        <v>70</v>
      </c>
      <c r="G173" s="8">
        <v>7</v>
      </c>
      <c r="M173" s="3" t="s">
        <v>97</v>
      </c>
      <c r="N173">
        <v>90</v>
      </c>
    </row>
    <row r="174" spans="1:14" hidden="1" x14ac:dyDescent="0.3">
      <c r="A174" t="s">
        <v>129</v>
      </c>
      <c r="B174" s="2" t="s">
        <v>128</v>
      </c>
      <c r="C174" s="2" t="s">
        <v>96</v>
      </c>
      <c r="D174" s="4">
        <v>12</v>
      </c>
      <c r="E174" s="3">
        <v>79</v>
      </c>
      <c r="F174" s="8">
        <v>35</v>
      </c>
      <c r="G174" s="8">
        <v>35</v>
      </c>
      <c r="H174" s="8">
        <v>5</v>
      </c>
      <c r="M174" s="3" t="s">
        <v>97</v>
      </c>
      <c r="N174">
        <v>92</v>
      </c>
    </row>
    <row r="175" spans="1:14" hidden="1" x14ac:dyDescent="0.3">
      <c r="A175" t="s">
        <v>130</v>
      </c>
      <c r="B175" s="2" t="s">
        <v>131</v>
      </c>
      <c r="C175" s="2" t="s">
        <v>96</v>
      </c>
      <c r="D175" s="4">
        <v>15</v>
      </c>
      <c r="E175" s="3">
        <v>85</v>
      </c>
      <c r="F175" s="8">
        <v>150</v>
      </c>
      <c r="G175" s="8">
        <v>50</v>
      </c>
      <c r="H175" s="8">
        <v>4</v>
      </c>
      <c r="M175" s="3" t="s">
        <v>97</v>
      </c>
      <c r="N175">
        <v>95</v>
      </c>
    </row>
    <row r="176" spans="1:14" hidden="1" x14ac:dyDescent="0.3">
      <c r="A176" t="s">
        <v>132</v>
      </c>
      <c r="B176" s="2" t="s">
        <v>131</v>
      </c>
      <c r="C176" s="2" t="s">
        <v>96</v>
      </c>
      <c r="D176" s="4">
        <v>5</v>
      </c>
      <c r="E176" s="3">
        <v>30</v>
      </c>
      <c r="F176" s="8">
        <v>235</v>
      </c>
      <c r="G176" s="8">
        <v>160</v>
      </c>
      <c r="H176" s="8">
        <v>23</v>
      </c>
      <c r="M176" s="3" t="s">
        <v>97</v>
      </c>
      <c r="N176">
        <v>99</v>
      </c>
    </row>
    <row r="177" spans="1:14" hidden="1" x14ac:dyDescent="0.3">
      <c r="A177" t="s">
        <v>133</v>
      </c>
      <c r="B177" s="2" t="s">
        <v>131</v>
      </c>
      <c r="C177" s="2" t="s">
        <v>96</v>
      </c>
      <c r="D177" s="4">
        <v>7</v>
      </c>
      <c r="E177" s="3">
        <v>35</v>
      </c>
      <c r="F177" s="8">
        <v>210</v>
      </c>
      <c r="G177" s="8">
        <v>172</v>
      </c>
      <c r="H177" s="8">
        <v>25</v>
      </c>
      <c r="I177" s="8">
        <v>0</v>
      </c>
      <c r="J177" s="8">
        <v>0</v>
      </c>
      <c r="M177" s="3" t="s">
        <v>97</v>
      </c>
      <c r="N177">
        <v>94</v>
      </c>
    </row>
    <row r="178" spans="1:14" hidden="1" x14ac:dyDescent="0.3">
      <c r="A178" t="s">
        <v>134</v>
      </c>
      <c r="B178" s="2" t="s">
        <v>131</v>
      </c>
      <c r="C178" s="2" t="s">
        <v>96</v>
      </c>
      <c r="D178" s="4">
        <v>9</v>
      </c>
      <c r="E178" s="3">
        <v>45</v>
      </c>
      <c r="F178" s="8">
        <v>312</v>
      </c>
      <c r="G178" s="8">
        <v>108</v>
      </c>
      <c r="H178" s="8">
        <v>30</v>
      </c>
      <c r="I178" s="8">
        <v>0</v>
      </c>
      <c r="J178" s="8">
        <v>0</v>
      </c>
      <c r="M178" s="3" t="s">
        <v>97</v>
      </c>
      <c r="N178">
        <v>99</v>
      </c>
    </row>
    <row r="179" spans="1:14" hidden="1" x14ac:dyDescent="0.3">
      <c r="A179" t="s">
        <v>135</v>
      </c>
      <c r="B179" s="2" t="s">
        <v>131</v>
      </c>
      <c r="C179" s="2" t="s">
        <v>96</v>
      </c>
      <c r="D179" s="4">
        <v>10.5</v>
      </c>
      <c r="E179" s="3">
        <v>55</v>
      </c>
      <c r="F179" s="8">
        <v>289</v>
      </c>
      <c r="G179" s="8">
        <v>193</v>
      </c>
      <c r="H179" s="8">
        <v>205</v>
      </c>
      <c r="I179" s="8">
        <v>0</v>
      </c>
      <c r="J179" s="8">
        <v>0</v>
      </c>
      <c r="M179" s="3" t="s">
        <v>97</v>
      </c>
      <c r="N179">
        <v>91</v>
      </c>
    </row>
    <row r="180" spans="1:14" hidden="1" x14ac:dyDescent="0.3">
      <c r="A180" t="s">
        <v>136</v>
      </c>
      <c r="B180" s="2" t="s">
        <v>131</v>
      </c>
      <c r="C180" s="2" t="s">
        <v>96</v>
      </c>
      <c r="D180" s="4">
        <v>12</v>
      </c>
      <c r="E180" s="3">
        <v>65</v>
      </c>
      <c r="F180" s="8">
        <v>240</v>
      </c>
      <c r="G180" s="8">
        <v>170</v>
      </c>
      <c r="H180" s="8">
        <v>15</v>
      </c>
      <c r="I180" s="8">
        <v>0</v>
      </c>
      <c r="J180" s="8">
        <v>0</v>
      </c>
      <c r="M180" s="3" t="s">
        <v>97</v>
      </c>
      <c r="N180">
        <v>97</v>
      </c>
    </row>
    <row r="181" spans="1:14" hidden="1" x14ac:dyDescent="0.3">
      <c r="A181" t="s">
        <v>137</v>
      </c>
      <c r="B181" s="2" t="s">
        <v>138</v>
      </c>
      <c r="C181" s="2" t="s">
        <v>96</v>
      </c>
      <c r="D181" s="4">
        <v>13</v>
      </c>
      <c r="E181" s="3">
        <v>75</v>
      </c>
      <c r="F181" s="8">
        <v>13</v>
      </c>
      <c r="G181" s="8">
        <v>0</v>
      </c>
      <c r="H181" s="8">
        <v>0</v>
      </c>
      <c r="I181" s="8">
        <v>0</v>
      </c>
      <c r="J181" s="8">
        <v>0</v>
      </c>
      <c r="M181" s="3" t="s">
        <v>97</v>
      </c>
      <c r="N181">
        <v>99</v>
      </c>
    </row>
    <row r="182" spans="1:14" hidden="1" x14ac:dyDescent="0.3">
      <c r="A182" t="s">
        <v>139</v>
      </c>
      <c r="B182" s="2" t="s">
        <v>138</v>
      </c>
      <c r="C182" s="2" t="s">
        <v>96</v>
      </c>
      <c r="D182" s="4">
        <v>15</v>
      </c>
      <c r="E182" s="3">
        <v>88</v>
      </c>
      <c r="F182" s="8">
        <v>18</v>
      </c>
      <c r="G182" s="8">
        <v>0</v>
      </c>
      <c r="H182" s="8">
        <v>0</v>
      </c>
      <c r="I182" s="8">
        <v>0</v>
      </c>
      <c r="J182" s="8">
        <v>0</v>
      </c>
      <c r="M182" s="3" t="s">
        <v>97</v>
      </c>
      <c r="N182">
        <v>90</v>
      </c>
    </row>
    <row r="183" spans="1:14" hidden="1" x14ac:dyDescent="0.3">
      <c r="A183" t="s">
        <v>140</v>
      </c>
      <c r="B183" s="2" t="s">
        <v>141</v>
      </c>
      <c r="C183" s="2" t="s">
        <v>96</v>
      </c>
      <c r="D183" s="4">
        <v>9</v>
      </c>
      <c r="E183" s="3">
        <v>64</v>
      </c>
      <c r="F183" s="8">
        <v>7</v>
      </c>
      <c r="G183" s="8">
        <v>25</v>
      </c>
      <c r="H183" s="8">
        <v>25</v>
      </c>
      <c r="I183" s="8">
        <v>0</v>
      </c>
      <c r="J183" s="8">
        <v>0</v>
      </c>
      <c r="M183" s="3" t="s">
        <v>97</v>
      </c>
      <c r="N183">
        <v>99</v>
      </c>
    </row>
    <row r="184" spans="1:14" x14ac:dyDescent="0.3">
      <c r="A184" t="s">
        <v>142</v>
      </c>
      <c r="B184" t="s">
        <v>143</v>
      </c>
      <c r="C184" s="2" t="s">
        <v>9</v>
      </c>
      <c r="D184" s="3">
        <v>40</v>
      </c>
      <c r="E184" s="3">
        <v>450</v>
      </c>
      <c r="F184" s="8">
        <v>487</v>
      </c>
      <c r="G184" s="8">
        <v>450</v>
      </c>
      <c r="H184" s="8">
        <v>954</v>
      </c>
      <c r="I184" s="8">
        <v>25</v>
      </c>
      <c r="J184" s="8">
        <v>0</v>
      </c>
      <c r="K184" s="8">
        <v>0</v>
      </c>
      <c r="L184" s="8">
        <v>0</v>
      </c>
      <c r="M184" s="3" t="s">
        <v>144</v>
      </c>
      <c r="N184">
        <v>90</v>
      </c>
    </row>
    <row r="185" spans="1:14" x14ac:dyDescent="0.3">
      <c r="A185" t="s">
        <v>145</v>
      </c>
      <c r="B185" t="s">
        <v>146</v>
      </c>
      <c r="C185" s="2" t="s">
        <v>9</v>
      </c>
      <c r="D185" s="3">
        <v>20</v>
      </c>
      <c r="E185" s="3">
        <v>150</v>
      </c>
      <c r="F185" s="8">
        <v>230</v>
      </c>
      <c r="G185" s="8">
        <v>215</v>
      </c>
      <c r="H185" s="8">
        <v>150</v>
      </c>
      <c r="I185" s="8">
        <v>20</v>
      </c>
      <c r="J185" s="8">
        <v>80</v>
      </c>
      <c r="K185" s="8">
        <v>40</v>
      </c>
      <c r="L185" s="8">
        <v>50</v>
      </c>
      <c r="M185" s="3" t="s">
        <v>144</v>
      </c>
      <c r="N185">
        <v>97</v>
      </c>
    </row>
    <row r="186" spans="1:14" x14ac:dyDescent="0.3">
      <c r="A186" t="s">
        <v>147</v>
      </c>
      <c r="B186" t="s">
        <v>148</v>
      </c>
      <c r="C186" s="2" t="s">
        <v>9</v>
      </c>
      <c r="D186" s="3">
        <v>10</v>
      </c>
      <c r="E186" s="3">
        <v>55</v>
      </c>
      <c r="F186" s="8">
        <v>200</v>
      </c>
      <c r="G186" s="8">
        <v>233</v>
      </c>
      <c r="H186" s="8">
        <v>150</v>
      </c>
      <c r="I186" s="8">
        <v>200</v>
      </c>
      <c r="J186" s="8">
        <v>148</v>
      </c>
      <c r="K186" s="8">
        <v>150</v>
      </c>
      <c r="L186" s="8">
        <v>170</v>
      </c>
      <c r="M186" s="3" t="s">
        <v>144</v>
      </c>
      <c r="N186">
        <v>96</v>
      </c>
    </row>
    <row r="187" spans="1:14" x14ac:dyDescent="0.3">
      <c r="A187" t="s">
        <v>149</v>
      </c>
      <c r="B187" t="s">
        <v>150</v>
      </c>
      <c r="C187" s="2" t="s">
        <v>9</v>
      </c>
      <c r="D187" s="3">
        <v>12</v>
      </c>
      <c r="E187" s="3">
        <v>75</v>
      </c>
      <c r="F187" s="8">
        <v>315</v>
      </c>
      <c r="G187" s="8">
        <v>467</v>
      </c>
      <c r="H187" s="8">
        <v>580</v>
      </c>
      <c r="I187" s="8">
        <v>443</v>
      </c>
      <c r="J187" s="8">
        <v>521</v>
      </c>
      <c r="K187" s="8">
        <v>342</v>
      </c>
      <c r="L187" s="8">
        <v>155</v>
      </c>
      <c r="M187" s="3" t="s">
        <v>144</v>
      </c>
      <c r="N187">
        <v>96</v>
      </c>
    </row>
    <row r="188" spans="1:14" x14ac:dyDescent="0.3">
      <c r="A188" t="s">
        <v>151</v>
      </c>
      <c r="B188" t="s">
        <v>152</v>
      </c>
      <c r="C188" s="2" t="s">
        <v>9</v>
      </c>
      <c r="D188" s="3">
        <v>30</v>
      </c>
      <c r="E188" s="3">
        <v>250</v>
      </c>
      <c r="F188" s="8">
        <v>70</v>
      </c>
      <c r="G188" s="8">
        <v>55</v>
      </c>
      <c r="H188" s="8">
        <v>30</v>
      </c>
      <c r="I188" s="8">
        <v>55</v>
      </c>
      <c r="J188" s="8">
        <v>168</v>
      </c>
      <c r="K188" s="8">
        <v>213</v>
      </c>
      <c r="L188" s="8">
        <v>230</v>
      </c>
      <c r="M188" s="3" t="s">
        <v>144</v>
      </c>
      <c r="N188">
        <v>90</v>
      </c>
    </row>
    <row r="189" spans="1:14" x14ac:dyDescent="0.3">
      <c r="A189" t="s">
        <v>153</v>
      </c>
      <c r="B189" t="s">
        <v>154</v>
      </c>
      <c r="C189" s="2" t="s">
        <v>9</v>
      </c>
      <c r="D189" s="3">
        <v>25</v>
      </c>
      <c r="E189" s="3">
        <v>180</v>
      </c>
      <c r="F189" s="8">
        <v>40</v>
      </c>
      <c r="G189" s="8">
        <v>30</v>
      </c>
      <c r="M189" s="3" t="s">
        <v>144</v>
      </c>
      <c r="N189">
        <v>91</v>
      </c>
    </row>
    <row r="190" spans="1:14" x14ac:dyDescent="0.3">
      <c r="A190" t="s">
        <v>155</v>
      </c>
      <c r="B190" t="s">
        <v>156</v>
      </c>
      <c r="C190" s="2" t="s">
        <v>9</v>
      </c>
      <c r="D190" s="3">
        <v>4</v>
      </c>
      <c r="E190" s="3">
        <v>50</v>
      </c>
      <c r="F190" s="8">
        <v>332</v>
      </c>
      <c r="G190" s="8">
        <v>280</v>
      </c>
      <c r="H190" s="8">
        <v>309</v>
      </c>
      <c r="I190" s="8">
        <v>280</v>
      </c>
      <c r="J190" s="8">
        <v>255</v>
      </c>
      <c r="K190" s="8">
        <v>244</v>
      </c>
      <c r="L190" s="8">
        <v>158</v>
      </c>
      <c r="M190" s="3" t="s">
        <v>144</v>
      </c>
      <c r="N190">
        <v>94</v>
      </c>
    </row>
    <row r="191" spans="1:14" x14ac:dyDescent="0.3">
      <c r="A191" t="s">
        <v>157</v>
      </c>
      <c r="B191" t="s">
        <v>158</v>
      </c>
      <c r="C191" s="2" t="s">
        <v>9</v>
      </c>
      <c r="D191" s="3">
        <v>35</v>
      </c>
      <c r="E191" s="3">
        <v>300</v>
      </c>
      <c r="F191" s="8">
        <v>19</v>
      </c>
      <c r="G191" s="8">
        <v>41</v>
      </c>
      <c r="H191" s="8">
        <v>40</v>
      </c>
      <c r="I191" s="8">
        <v>23</v>
      </c>
      <c r="J191" s="8">
        <v>70</v>
      </c>
      <c r="K191" s="8">
        <v>22</v>
      </c>
      <c r="L191" s="8">
        <v>25</v>
      </c>
      <c r="M191" s="3" t="s">
        <v>144</v>
      </c>
      <c r="N191">
        <v>97</v>
      </c>
    </row>
    <row r="192" spans="1:14" x14ac:dyDescent="0.3">
      <c r="A192" t="s">
        <v>159</v>
      </c>
      <c r="B192" t="s">
        <v>160</v>
      </c>
      <c r="C192" s="2" t="s">
        <v>9</v>
      </c>
      <c r="D192" s="3">
        <v>30</v>
      </c>
      <c r="E192" s="3">
        <v>250</v>
      </c>
      <c r="F192" s="8">
        <v>15</v>
      </c>
      <c r="G192" s="8">
        <v>10</v>
      </c>
      <c r="H192" s="8">
        <v>8</v>
      </c>
      <c r="I192" s="8">
        <v>10</v>
      </c>
      <c r="J192" s="8">
        <v>25</v>
      </c>
      <c r="K192" s="8">
        <v>10</v>
      </c>
      <c r="L192" s="8">
        <v>3</v>
      </c>
      <c r="M192" s="3" t="s">
        <v>144</v>
      </c>
      <c r="N192">
        <v>96</v>
      </c>
    </row>
    <row r="193" spans="1:14" x14ac:dyDescent="0.3">
      <c r="A193" t="s">
        <v>161</v>
      </c>
      <c r="B193" t="s">
        <v>162</v>
      </c>
      <c r="C193" s="2" t="s">
        <v>9</v>
      </c>
      <c r="D193" s="3">
        <v>8</v>
      </c>
      <c r="E193" s="3">
        <v>125</v>
      </c>
      <c r="F193" s="8">
        <v>45</v>
      </c>
      <c r="G193" s="8">
        <v>50</v>
      </c>
      <c r="H193" s="8">
        <v>80</v>
      </c>
      <c r="I193" s="8">
        <v>50</v>
      </c>
      <c r="J193" s="8">
        <v>120</v>
      </c>
      <c r="K193" s="8">
        <v>103</v>
      </c>
      <c r="L193" s="8">
        <v>69</v>
      </c>
      <c r="M193" s="3" t="s">
        <v>144</v>
      </c>
      <c r="N193">
        <v>100</v>
      </c>
    </row>
    <row r="194" spans="1:14" x14ac:dyDescent="0.3">
      <c r="A194" t="s">
        <v>163</v>
      </c>
      <c r="B194" t="s">
        <v>164</v>
      </c>
      <c r="C194" s="2" t="s">
        <v>9</v>
      </c>
      <c r="D194" s="3">
        <v>30</v>
      </c>
      <c r="E194" s="3">
        <v>200</v>
      </c>
      <c r="F194" s="8">
        <v>20</v>
      </c>
      <c r="G194" s="8">
        <v>25</v>
      </c>
      <c r="H194" s="8">
        <v>60</v>
      </c>
      <c r="I194" s="8">
        <v>45</v>
      </c>
      <c r="J194" s="8">
        <v>55</v>
      </c>
      <c r="K194" s="8">
        <v>130</v>
      </c>
      <c r="L194" s="8">
        <v>0</v>
      </c>
      <c r="M194" s="3" t="s">
        <v>144</v>
      </c>
      <c r="N194">
        <v>91</v>
      </c>
    </row>
    <row r="195" spans="1:14" x14ac:dyDescent="0.3">
      <c r="A195" t="s">
        <v>165</v>
      </c>
      <c r="B195" t="s">
        <v>166</v>
      </c>
      <c r="C195" s="2" t="s">
        <v>9</v>
      </c>
      <c r="D195" s="3">
        <v>30</v>
      </c>
      <c r="E195" s="3">
        <v>280</v>
      </c>
      <c r="F195" s="8">
        <v>12</v>
      </c>
      <c r="G195" s="8">
        <v>12</v>
      </c>
      <c r="H195" s="8">
        <v>9</v>
      </c>
      <c r="I195" s="8">
        <v>10</v>
      </c>
      <c r="J195" s="8">
        <v>13</v>
      </c>
      <c r="K195" s="8">
        <v>13</v>
      </c>
      <c r="L195" s="8">
        <v>15</v>
      </c>
      <c r="M195" s="3" t="s">
        <v>144</v>
      </c>
      <c r="N195">
        <v>93</v>
      </c>
    </row>
    <row r="196" spans="1:14" x14ac:dyDescent="0.3">
      <c r="A196" t="s">
        <v>167</v>
      </c>
      <c r="B196" t="s">
        <v>168</v>
      </c>
      <c r="C196" s="2" t="s">
        <v>9</v>
      </c>
      <c r="D196" s="3">
        <v>45</v>
      </c>
      <c r="E196" s="3">
        <v>300</v>
      </c>
      <c r="F196" s="8">
        <v>23</v>
      </c>
      <c r="G196" s="8">
        <v>20</v>
      </c>
      <c r="H196" s="8">
        <v>15</v>
      </c>
      <c r="I196" s="8">
        <v>10</v>
      </c>
      <c r="J196" s="8">
        <v>13</v>
      </c>
      <c r="K196" s="8">
        <v>20</v>
      </c>
      <c r="L196" s="8">
        <v>15</v>
      </c>
      <c r="M196" s="3" t="s">
        <v>144</v>
      </c>
      <c r="N196">
        <v>98</v>
      </c>
    </row>
    <row r="197" spans="1:14" x14ac:dyDescent="0.3">
      <c r="A197" t="s">
        <v>169</v>
      </c>
      <c r="B197" t="s">
        <v>170</v>
      </c>
      <c r="C197" s="2" t="s">
        <v>9</v>
      </c>
      <c r="D197" s="3">
        <v>6</v>
      </c>
      <c r="E197" s="3">
        <v>130</v>
      </c>
      <c r="F197" s="8">
        <v>85</v>
      </c>
      <c r="G197" s="8">
        <v>34</v>
      </c>
      <c r="H197" s="8">
        <v>33</v>
      </c>
      <c r="I197" s="8">
        <v>10</v>
      </c>
      <c r="J197" s="8">
        <v>0</v>
      </c>
      <c r="K197" s="8">
        <v>0</v>
      </c>
      <c r="L197" s="8">
        <v>0</v>
      </c>
      <c r="M197" s="3" t="s">
        <v>144</v>
      </c>
      <c r="N197">
        <v>92</v>
      </c>
    </row>
    <row r="198" spans="1:14" x14ac:dyDescent="0.3">
      <c r="A198" t="s">
        <v>171</v>
      </c>
      <c r="B198" t="s">
        <v>172</v>
      </c>
      <c r="C198" s="2" t="s">
        <v>9</v>
      </c>
      <c r="D198" s="3">
        <v>25</v>
      </c>
      <c r="E198" s="3">
        <v>99</v>
      </c>
      <c r="F198" s="8">
        <v>65</v>
      </c>
      <c r="G198" s="8">
        <v>50</v>
      </c>
      <c r="H198" s="8">
        <v>95</v>
      </c>
      <c r="I198" s="8">
        <v>89</v>
      </c>
      <c r="J198" s="8">
        <v>66</v>
      </c>
      <c r="K198" s="8">
        <v>30</v>
      </c>
      <c r="L198" s="8">
        <v>0</v>
      </c>
      <c r="M198" s="3" t="s">
        <v>144</v>
      </c>
      <c r="N198">
        <v>93</v>
      </c>
    </row>
    <row r="199" spans="1:14" x14ac:dyDescent="0.3">
      <c r="A199" t="s">
        <v>173</v>
      </c>
      <c r="B199" t="s">
        <v>174</v>
      </c>
      <c r="C199" s="2" t="s">
        <v>9</v>
      </c>
      <c r="D199" s="3">
        <v>30</v>
      </c>
      <c r="E199" s="3">
        <v>250</v>
      </c>
      <c r="F199" s="8">
        <v>15</v>
      </c>
      <c r="G199" s="8">
        <v>17</v>
      </c>
      <c r="H199" s="8">
        <v>15</v>
      </c>
      <c r="I199" s="8">
        <v>20</v>
      </c>
      <c r="J199" s="8">
        <v>35</v>
      </c>
      <c r="K199" s="8">
        <v>24</v>
      </c>
      <c r="L199" s="8">
        <v>15</v>
      </c>
      <c r="M199" s="3" t="s">
        <v>144</v>
      </c>
      <c r="N199">
        <v>90</v>
      </c>
    </row>
    <row r="200" spans="1:14" x14ac:dyDescent="0.3">
      <c r="A200" t="s">
        <v>175</v>
      </c>
      <c r="B200" t="s">
        <v>176</v>
      </c>
      <c r="C200" s="2" t="s">
        <v>9</v>
      </c>
      <c r="D200" s="3">
        <v>30</v>
      </c>
      <c r="E200" s="3">
        <v>300</v>
      </c>
      <c r="F200" s="8">
        <v>25</v>
      </c>
      <c r="G200" s="8">
        <v>30</v>
      </c>
      <c r="H200" s="8">
        <v>10</v>
      </c>
      <c r="I200" s="8">
        <v>20</v>
      </c>
      <c r="J200" s="8">
        <v>43</v>
      </c>
      <c r="K200" s="8">
        <v>55</v>
      </c>
      <c r="L200" s="8">
        <v>10</v>
      </c>
      <c r="M200" s="3" t="s">
        <v>144</v>
      </c>
      <c r="N200">
        <v>98</v>
      </c>
    </row>
    <row r="201" spans="1:14" x14ac:dyDescent="0.3">
      <c r="A201" t="s">
        <v>177</v>
      </c>
      <c r="B201" t="s">
        <v>178</v>
      </c>
      <c r="C201" s="2" t="s">
        <v>9</v>
      </c>
      <c r="D201" s="3">
        <v>30</v>
      </c>
      <c r="E201" s="3">
        <v>280</v>
      </c>
      <c r="F201" s="8">
        <v>35</v>
      </c>
      <c r="G201" s="8">
        <v>55</v>
      </c>
      <c r="H201" s="8">
        <v>2</v>
      </c>
      <c r="I201" s="8">
        <v>10</v>
      </c>
      <c r="J201" s="8">
        <v>62</v>
      </c>
      <c r="K201" s="8">
        <v>57</v>
      </c>
      <c r="L201" s="8">
        <v>315</v>
      </c>
      <c r="M201" s="3" t="s">
        <v>144</v>
      </c>
      <c r="N201">
        <v>92</v>
      </c>
    </row>
    <row r="202" spans="1:14" x14ac:dyDescent="0.3">
      <c r="A202" t="s">
        <v>179</v>
      </c>
      <c r="B202" t="s">
        <v>180</v>
      </c>
      <c r="C202" s="2" t="s">
        <v>9</v>
      </c>
      <c r="D202" s="3">
        <v>7</v>
      </c>
      <c r="E202" s="3">
        <v>120</v>
      </c>
      <c r="F202" s="8">
        <v>10</v>
      </c>
      <c r="M202" s="3" t="s">
        <v>144</v>
      </c>
      <c r="N202">
        <v>98</v>
      </c>
    </row>
    <row r="203" spans="1:14" x14ac:dyDescent="0.3">
      <c r="A203" t="s">
        <v>181</v>
      </c>
      <c r="B203" t="s">
        <v>170</v>
      </c>
      <c r="C203" s="2" t="s">
        <v>9</v>
      </c>
      <c r="D203" s="3">
        <v>5</v>
      </c>
      <c r="E203" s="3">
        <v>100</v>
      </c>
      <c r="F203" s="8">
        <v>5</v>
      </c>
      <c r="G203" s="8">
        <v>7</v>
      </c>
      <c r="H203" s="8">
        <v>3</v>
      </c>
      <c r="I203" s="8">
        <v>8</v>
      </c>
      <c r="J203" s="8">
        <v>0</v>
      </c>
      <c r="K203" s="8">
        <v>0</v>
      </c>
      <c r="L203" s="8">
        <v>0</v>
      </c>
      <c r="M203" s="3" t="s">
        <v>144</v>
      </c>
      <c r="N203">
        <v>91</v>
      </c>
    </row>
    <row r="204" spans="1:14" hidden="1" x14ac:dyDescent="0.3"/>
    <row r="207" spans="1:14" x14ac:dyDescent="0.3">
      <c r="E207" s="8"/>
    </row>
  </sheetData>
  <autoFilter ref="A1:N204" xr:uid="{00000000-0001-0000-0000-000000000000}">
    <filterColumn colId="2">
      <filters>
        <filter val="Black"/>
        <filter val="Standard Green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7"/>
  <sheetViews>
    <sheetView zoomScale="112" zoomScaleNormal="112" workbookViewId="0">
      <selection activeCell="M6" sqref="B2:M6"/>
    </sheetView>
  </sheetViews>
  <sheetFormatPr defaultRowHeight="14.4" x14ac:dyDescent="0.3"/>
  <cols>
    <col min="2" max="2" width="19.109375" customWidth="1"/>
    <col min="6" max="6" width="10.21875" customWidth="1"/>
    <col min="7" max="7" width="17.6640625" customWidth="1"/>
    <col min="8" max="8" width="18.88671875" customWidth="1"/>
  </cols>
  <sheetData>
    <row r="2" spans="2:2" x14ac:dyDescent="0.3">
      <c r="B2" t="s">
        <v>186</v>
      </c>
    </row>
    <row r="3" spans="2:2" x14ac:dyDescent="0.3">
      <c r="B3" t="s">
        <v>187</v>
      </c>
    </row>
    <row r="4" spans="2:2" x14ac:dyDescent="0.3">
      <c r="B4" t="s">
        <v>188</v>
      </c>
    </row>
    <row r="5" spans="2:2" x14ac:dyDescent="0.3">
      <c r="B5" t="s">
        <v>189</v>
      </c>
    </row>
    <row r="7" spans="2:2" x14ac:dyDescent="0.3">
      <c r="B7" t="s">
        <v>190</v>
      </c>
    </row>
    <row r="20" spans="1:8" x14ac:dyDescent="0.3">
      <c r="A20" s="10"/>
    </row>
    <row r="22" spans="1:8" x14ac:dyDescent="0.3">
      <c r="B22" s="6" t="s">
        <v>191</v>
      </c>
      <c r="F22" s="6" t="s">
        <v>192</v>
      </c>
    </row>
    <row r="23" spans="1:8" x14ac:dyDescent="0.3">
      <c r="B23" s="17" t="s">
        <v>2</v>
      </c>
      <c r="C23" s="18" t="s">
        <v>183</v>
      </c>
      <c r="F23" s="26" t="s">
        <v>239</v>
      </c>
      <c r="G23" s="27" t="s">
        <v>240</v>
      </c>
      <c r="H23" s="28" t="s">
        <v>241</v>
      </c>
    </row>
    <row r="24" spans="1:8" x14ac:dyDescent="0.3">
      <c r="B24" s="15" t="s">
        <v>193</v>
      </c>
      <c r="C24" s="16">
        <v>3</v>
      </c>
      <c r="F24" s="15" t="s">
        <v>194</v>
      </c>
      <c r="G24" s="9">
        <v>3</v>
      </c>
      <c r="H24" s="16">
        <v>10</v>
      </c>
    </row>
    <row r="25" spans="1:8" x14ac:dyDescent="0.3">
      <c r="B25" s="15" t="s">
        <v>9</v>
      </c>
      <c r="C25" s="16">
        <v>2.8</v>
      </c>
      <c r="F25" s="15" t="s">
        <v>195</v>
      </c>
      <c r="G25" s="9">
        <v>8</v>
      </c>
      <c r="H25" s="16">
        <v>11</v>
      </c>
    </row>
    <row r="26" spans="1:8" x14ac:dyDescent="0.3">
      <c r="B26" s="15" t="s">
        <v>196</v>
      </c>
      <c r="C26" s="16">
        <v>3</v>
      </c>
      <c r="F26" s="15" t="s">
        <v>197</v>
      </c>
      <c r="G26" s="9">
        <v>13</v>
      </c>
      <c r="H26" s="16">
        <v>8</v>
      </c>
    </row>
    <row r="27" spans="1:8" x14ac:dyDescent="0.3">
      <c r="B27" s="15" t="s">
        <v>96</v>
      </c>
      <c r="C27" s="16">
        <v>3</v>
      </c>
      <c r="F27" s="15" t="s">
        <v>198</v>
      </c>
      <c r="G27" s="9">
        <v>18</v>
      </c>
      <c r="H27" s="16">
        <v>4</v>
      </c>
    </row>
    <row r="28" spans="1:8" x14ac:dyDescent="0.3">
      <c r="B28" s="15" t="s">
        <v>43</v>
      </c>
      <c r="C28" s="16">
        <v>3</v>
      </c>
      <c r="F28" s="15" t="s">
        <v>199</v>
      </c>
      <c r="G28" s="9">
        <v>18</v>
      </c>
      <c r="H28" s="16">
        <v>2</v>
      </c>
    </row>
    <row r="29" spans="1:8" x14ac:dyDescent="0.3">
      <c r="B29" s="15" t="s">
        <v>13</v>
      </c>
      <c r="C29" s="16">
        <v>3</v>
      </c>
      <c r="F29" s="15" t="s">
        <v>200</v>
      </c>
      <c r="G29" s="9">
        <v>15</v>
      </c>
      <c r="H29" s="16">
        <v>3</v>
      </c>
    </row>
    <row r="30" spans="1:8" x14ac:dyDescent="0.3">
      <c r="B30" s="15" t="s">
        <v>14</v>
      </c>
      <c r="C30" s="16">
        <v>3</v>
      </c>
      <c r="F30" s="15" t="s">
        <v>201</v>
      </c>
      <c r="G30" s="9">
        <v>10</v>
      </c>
      <c r="H30" s="16">
        <v>7</v>
      </c>
    </row>
    <row r="31" spans="1:8" x14ac:dyDescent="0.3">
      <c r="B31" s="15" t="s">
        <v>202</v>
      </c>
      <c r="C31" s="16">
        <v>3</v>
      </c>
      <c r="F31" s="15" t="s">
        <v>203</v>
      </c>
      <c r="G31" s="9">
        <v>8</v>
      </c>
      <c r="H31" s="16">
        <v>7</v>
      </c>
    </row>
    <row r="32" spans="1:8" x14ac:dyDescent="0.3">
      <c r="B32" s="15" t="s">
        <v>25</v>
      </c>
      <c r="C32" s="16">
        <v>3</v>
      </c>
      <c r="F32" s="15" t="s">
        <v>204</v>
      </c>
      <c r="G32" s="9">
        <v>3</v>
      </c>
      <c r="H32" s="16">
        <v>8</v>
      </c>
    </row>
    <row r="33" spans="2:9" x14ac:dyDescent="0.3">
      <c r="B33" s="15" t="s">
        <v>12</v>
      </c>
      <c r="C33" s="16">
        <v>3</v>
      </c>
      <c r="F33" s="15" t="s">
        <v>205</v>
      </c>
      <c r="G33" s="9">
        <v>2</v>
      </c>
      <c r="H33" s="16">
        <v>13</v>
      </c>
    </row>
    <row r="34" spans="2:9" x14ac:dyDescent="0.3">
      <c r="B34" s="15" t="s">
        <v>41</v>
      </c>
      <c r="C34" s="16">
        <v>3.2</v>
      </c>
      <c r="F34" s="15" t="s">
        <v>206</v>
      </c>
      <c r="G34" s="9">
        <v>1</v>
      </c>
      <c r="H34" s="16">
        <v>15</v>
      </c>
    </row>
    <row r="35" spans="2:9" x14ac:dyDescent="0.3">
      <c r="B35" s="15" t="s">
        <v>17</v>
      </c>
      <c r="C35" s="16">
        <v>3.2</v>
      </c>
      <c r="F35" s="15" t="s">
        <v>207</v>
      </c>
      <c r="G35" s="9">
        <v>1</v>
      </c>
      <c r="H35" s="16">
        <v>12</v>
      </c>
    </row>
    <row r="36" spans="2:9" x14ac:dyDescent="0.3">
      <c r="B36" s="15" t="s">
        <v>208</v>
      </c>
      <c r="C36" s="16">
        <v>3</v>
      </c>
      <c r="F36" s="19" t="s">
        <v>209</v>
      </c>
      <c r="G36" s="29">
        <f>SUM(G24:G35)</f>
        <v>100</v>
      </c>
      <c r="H36" s="20">
        <f>SUM(H24:H35)</f>
        <v>100</v>
      </c>
    </row>
    <row r="37" spans="2:9" x14ac:dyDescent="0.3">
      <c r="B37" s="15" t="s">
        <v>33</v>
      </c>
      <c r="C37" s="16">
        <v>3.2</v>
      </c>
    </row>
    <row r="38" spans="2:9" x14ac:dyDescent="0.3">
      <c r="B38" s="15" t="s">
        <v>38</v>
      </c>
      <c r="C38" s="16">
        <v>3.2</v>
      </c>
    </row>
    <row r="39" spans="2:9" x14ac:dyDescent="0.3">
      <c r="B39" s="15" t="s">
        <v>210</v>
      </c>
      <c r="C39" s="16">
        <v>3.2</v>
      </c>
    </row>
    <row r="40" spans="2:9" x14ac:dyDescent="0.3">
      <c r="B40" s="15" t="s">
        <v>211</v>
      </c>
      <c r="C40" s="16">
        <v>3.2</v>
      </c>
    </row>
    <row r="41" spans="2:9" x14ac:dyDescent="0.3">
      <c r="B41" s="15" t="s">
        <v>22</v>
      </c>
      <c r="C41" s="16">
        <v>3.2</v>
      </c>
    </row>
    <row r="42" spans="2:9" x14ac:dyDescent="0.3">
      <c r="B42" s="19" t="s">
        <v>28</v>
      </c>
      <c r="C42" s="20">
        <v>3</v>
      </c>
    </row>
    <row r="45" spans="2:9" x14ac:dyDescent="0.3">
      <c r="B45" t="s">
        <v>212</v>
      </c>
    </row>
    <row r="47" spans="2:9" x14ac:dyDescent="0.3">
      <c r="B47" s="12" t="s">
        <v>213</v>
      </c>
      <c r="C47" s="12"/>
      <c r="D47" s="12"/>
      <c r="E47" s="12"/>
      <c r="F47" s="12"/>
      <c r="G47" s="12"/>
      <c r="H47" s="12"/>
      <c r="I47" s="12"/>
    </row>
    <row r="48" spans="2:9" x14ac:dyDescent="0.3">
      <c r="B48" s="12" t="s">
        <v>214</v>
      </c>
      <c r="C48" s="12"/>
      <c r="D48" s="12"/>
      <c r="E48" s="12"/>
      <c r="F48" s="12"/>
      <c r="G48" s="12"/>
      <c r="H48" s="12"/>
      <c r="I48" s="12"/>
    </row>
    <row r="49" spans="2:9" x14ac:dyDescent="0.3">
      <c r="B49" s="12" t="s">
        <v>215</v>
      </c>
      <c r="C49" s="12"/>
      <c r="D49" s="12"/>
      <c r="E49" s="12"/>
      <c r="F49" s="12"/>
      <c r="G49" s="12"/>
      <c r="H49" s="12"/>
      <c r="I49" s="12"/>
    </row>
    <row r="50" spans="2:9" x14ac:dyDescent="0.3">
      <c r="B50" s="12" t="s">
        <v>216</v>
      </c>
      <c r="C50" s="12"/>
      <c r="D50" s="12"/>
      <c r="E50" s="12"/>
      <c r="F50" s="12"/>
      <c r="G50" s="12"/>
      <c r="H50" s="12"/>
      <c r="I50" s="12"/>
    </row>
    <row r="51" spans="2:9" x14ac:dyDescent="0.3">
      <c r="B51" s="12" t="s">
        <v>217</v>
      </c>
      <c r="C51" s="12"/>
      <c r="D51" s="12"/>
      <c r="E51" s="12"/>
      <c r="F51" s="12"/>
      <c r="G51" s="12"/>
      <c r="H51" s="12"/>
      <c r="I51" s="12"/>
    </row>
    <row r="52" spans="2:9" x14ac:dyDescent="0.3">
      <c r="B52" s="6"/>
    </row>
    <row r="53" spans="2:9" x14ac:dyDescent="0.3">
      <c r="B53" t="s">
        <v>218</v>
      </c>
      <c r="C53" t="s">
        <v>219</v>
      </c>
    </row>
    <row r="54" spans="2:9" x14ac:dyDescent="0.3">
      <c r="B54" t="s">
        <v>220</v>
      </c>
      <c r="C54" s="11" t="s">
        <v>221</v>
      </c>
    </row>
    <row r="55" spans="2:9" x14ac:dyDescent="0.3">
      <c r="C55" s="3"/>
    </row>
    <row r="56" spans="2:9" x14ac:dyDescent="0.3">
      <c r="B56" t="s">
        <v>222</v>
      </c>
    </row>
    <row r="57" spans="2:9" x14ac:dyDescent="0.3">
      <c r="B57" s="6"/>
    </row>
  </sheetData>
  <pageMargins left="0.7" right="0.7" top="0.75" bottom="0.75" header="0.3" footer="0.3"/>
  <pageSetup paperSize="9" orientation="portrait" horizontalDpi="1200" verticalDpi="1200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A2A0-F885-4D1B-909E-F430C745012F}">
  <dimension ref="A1:O204"/>
  <sheetViews>
    <sheetView topLeftCell="A4" workbookViewId="0">
      <selection activeCell="N8" sqref="N8"/>
    </sheetView>
  </sheetViews>
  <sheetFormatPr defaultRowHeight="14.4" x14ac:dyDescent="0.3"/>
  <cols>
    <col min="12" max="12" width="14.21875" customWidth="1"/>
  </cols>
  <sheetData>
    <row r="1" spans="1:15" x14ac:dyDescent="0.3">
      <c r="A1" s="50"/>
      <c r="B1" s="50"/>
      <c r="C1" s="50"/>
      <c r="D1" s="50"/>
      <c r="E1" s="50"/>
      <c r="F1" s="50"/>
      <c r="G1" s="50"/>
    </row>
    <row r="2" spans="1:15" x14ac:dyDescent="0.3">
      <c r="A2" s="7"/>
      <c r="B2" s="7"/>
      <c r="C2" s="7"/>
      <c r="D2" s="7"/>
      <c r="E2" s="7"/>
      <c r="F2" s="7"/>
      <c r="G2" s="7"/>
      <c r="I2" s="7"/>
      <c r="J2" s="7"/>
      <c r="K2" s="7"/>
      <c r="L2" s="7"/>
      <c r="M2" s="7"/>
      <c r="N2" s="7"/>
      <c r="O2" s="7"/>
    </row>
    <row r="3" spans="1:15" x14ac:dyDescent="0.3">
      <c r="A3" s="8"/>
      <c r="B3" s="8"/>
      <c r="C3" s="8"/>
      <c r="D3" s="8"/>
      <c r="E3" s="8"/>
      <c r="F3" s="8"/>
      <c r="G3" s="8"/>
    </row>
    <row r="4" spans="1:15" x14ac:dyDescent="0.3">
      <c r="A4" s="8"/>
      <c r="B4" s="8"/>
      <c r="C4" s="8"/>
      <c r="D4" s="8"/>
      <c r="E4" s="8"/>
      <c r="F4" s="8"/>
      <c r="G4" s="8"/>
    </row>
    <row r="5" spans="1:15" x14ac:dyDescent="0.3">
      <c r="A5" s="8"/>
      <c r="B5" s="8"/>
      <c r="C5" s="8"/>
      <c r="D5" s="8"/>
      <c r="E5" s="8"/>
      <c r="F5" s="8"/>
      <c r="G5" s="8"/>
    </row>
    <row r="6" spans="1:15" x14ac:dyDescent="0.3">
      <c r="A6" s="8"/>
      <c r="B6" s="8"/>
      <c r="C6" s="8"/>
      <c r="D6" s="8"/>
      <c r="E6" s="8"/>
      <c r="F6" s="8"/>
      <c r="G6" s="8"/>
      <c r="J6" s="6" t="s">
        <v>267</v>
      </c>
      <c r="K6" s="6" t="s">
        <v>278</v>
      </c>
      <c r="L6" t="s">
        <v>298</v>
      </c>
    </row>
    <row r="7" spans="1:15" x14ac:dyDescent="0.3">
      <c r="A7" s="8"/>
      <c r="B7" s="8"/>
      <c r="C7" s="8"/>
      <c r="D7" s="8"/>
      <c r="E7" s="8"/>
      <c r="F7" s="8"/>
      <c r="G7" s="8"/>
      <c r="J7" s="8">
        <v>2012</v>
      </c>
      <c r="K7">
        <v>29941</v>
      </c>
      <c r="L7">
        <v>2428</v>
      </c>
      <c r="M7">
        <v>25472</v>
      </c>
      <c r="N7">
        <f>SUM(L7:M7)</f>
        <v>27900</v>
      </c>
    </row>
    <row r="8" spans="1:15" x14ac:dyDescent="0.3">
      <c r="A8" s="8"/>
      <c r="B8" s="8"/>
      <c r="C8" s="8"/>
      <c r="D8" s="8"/>
      <c r="E8" s="8"/>
      <c r="F8" s="8"/>
      <c r="G8" s="8"/>
      <c r="J8" s="8">
        <v>2011</v>
      </c>
      <c r="K8">
        <v>24843</v>
      </c>
      <c r="L8">
        <v>1308</v>
      </c>
    </row>
    <row r="9" spans="1:15" x14ac:dyDescent="0.3">
      <c r="A9" s="8"/>
      <c r="B9" s="8"/>
      <c r="C9" s="8"/>
      <c r="D9" s="8"/>
      <c r="E9" s="8"/>
      <c r="F9" s="8"/>
      <c r="G9" s="8"/>
      <c r="J9">
        <v>2010</v>
      </c>
      <c r="K9">
        <v>22470</v>
      </c>
    </row>
    <row r="10" spans="1:15" x14ac:dyDescent="0.3">
      <c r="A10" s="8"/>
      <c r="B10" s="8"/>
      <c r="C10" s="8"/>
      <c r="D10" s="8"/>
      <c r="E10" s="8"/>
      <c r="F10" s="8"/>
      <c r="G10" s="8"/>
      <c r="J10" s="8">
        <v>2009</v>
      </c>
      <c r="K10">
        <v>23226</v>
      </c>
    </row>
    <row r="11" spans="1:15" x14ac:dyDescent="0.3">
      <c r="A11" s="8"/>
      <c r="B11" s="8"/>
      <c r="C11" s="8"/>
      <c r="D11" s="8"/>
      <c r="E11" s="8"/>
      <c r="F11" s="8"/>
      <c r="G11" s="8"/>
      <c r="J11" s="8">
        <v>2008</v>
      </c>
      <c r="K11">
        <v>24809</v>
      </c>
    </row>
    <row r="12" spans="1:15" x14ac:dyDescent="0.3">
      <c r="A12" s="8"/>
      <c r="B12" s="8"/>
      <c r="C12" s="8"/>
      <c r="D12" s="8"/>
      <c r="E12" s="8"/>
      <c r="F12" s="8"/>
      <c r="G12" s="8"/>
      <c r="J12" s="8">
        <v>2007</v>
      </c>
      <c r="K12">
        <v>25891</v>
      </c>
    </row>
    <row r="13" spans="1:15" x14ac:dyDescent="0.3">
      <c r="A13" s="8"/>
      <c r="B13" s="8"/>
      <c r="C13" s="8"/>
      <c r="D13" s="8"/>
      <c r="E13" s="8"/>
      <c r="F13" s="8"/>
      <c r="G13" s="8"/>
      <c r="J13" s="8">
        <v>2006</v>
      </c>
      <c r="K13">
        <v>24122</v>
      </c>
    </row>
    <row r="14" spans="1:15" x14ac:dyDescent="0.3">
      <c r="A14" s="8"/>
      <c r="B14" s="8"/>
      <c r="C14" s="8"/>
      <c r="D14" s="8"/>
      <c r="E14" s="8"/>
      <c r="F14" s="8"/>
      <c r="G14" s="8"/>
    </row>
    <row r="15" spans="1:15" x14ac:dyDescent="0.3">
      <c r="A15" s="8"/>
      <c r="B15" s="8"/>
      <c r="C15" s="8"/>
      <c r="D15" s="8"/>
      <c r="E15" s="8"/>
      <c r="F15" s="8"/>
      <c r="G15" s="8"/>
    </row>
    <row r="16" spans="1:15" x14ac:dyDescent="0.3">
      <c r="A16" s="8"/>
      <c r="B16" s="8"/>
      <c r="C16" s="8"/>
      <c r="D16" s="8"/>
      <c r="E16" s="8"/>
      <c r="F16" s="8"/>
      <c r="G16" s="8"/>
    </row>
    <row r="17" spans="1:7" x14ac:dyDescent="0.3">
      <c r="A17" s="8"/>
      <c r="B17" s="8"/>
      <c r="C17" s="8"/>
      <c r="D17" s="8"/>
      <c r="E17" s="8"/>
      <c r="F17" s="8"/>
      <c r="G17" s="8"/>
    </row>
    <row r="18" spans="1:7" x14ac:dyDescent="0.3">
      <c r="A18" s="8"/>
      <c r="B18" s="8"/>
      <c r="C18" s="8"/>
      <c r="D18" s="8"/>
      <c r="E18" s="8"/>
      <c r="F18" s="8"/>
      <c r="G18" s="8"/>
    </row>
    <row r="19" spans="1:7" x14ac:dyDescent="0.3">
      <c r="A19" s="8"/>
      <c r="B19" s="8"/>
      <c r="C19" s="8"/>
      <c r="D19" s="8"/>
      <c r="E19" s="8"/>
      <c r="F19" s="8"/>
      <c r="G19" s="8"/>
    </row>
    <row r="20" spans="1:7" x14ac:dyDescent="0.3">
      <c r="A20" s="8"/>
      <c r="B20" s="8"/>
      <c r="C20" s="8"/>
      <c r="D20" s="8"/>
      <c r="E20" s="8"/>
      <c r="F20" s="8"/>
      <c r="G20" s="8"/>
    </row>
    <row r="21" spans="1:7" x14ac:dyDescent="0.3">
      <c r="A21" s="8"/>
      <c r="B21" s="8"/>
      <c r="C21" s="8"/>
      <c r="D21" s="8"/>
      <c r="E21" s="8"/>
      <c r="F21" s="8"/>
      <c r="G21" s="8"/>
    </row>
    <row r="22" spans="1:7" x14ac:dyDescent="0.3">
      <c r="A22" s="8"/>
      <c r="B22" s="8"/>
      <c r="C22" s="8"/>
      <c r="D22" s="8"/>
      <c r="E22" s="8"/>
      <c r="F22" s="8"/>
      <c r="G22" s="8"/>
    </row>
    <row r="23" spans="1:7" x14ac:dyDescent="0.3">
      <c r="A23" s="8"/>
      <c r="B23" s="8"/>
      <c r="C23" s="8"/>
      <c r="D23" s="8"/>
      <c r="E23" s="8"/>
      <c r="F23" s="8"/>
      <c r="G23" s="8"/>
    </row>
    <row r="24" spans="1:7" x14ac:dyDescent="0.3">
      <c r="A24" s="8"/>
      <c r="B24" s="8"/>
      <c r="C24" s="8"/>
      <c r="D24" s="8"/>
      <c r="E24" s="8"/>
      <c r="F24" s="8"/>
      <c r="G24" s="8"/>
    </row>
    <row r="25" spans="1:7" x14ac:dyDescent="0.3">
      <c r="A25" s="8"/>
      <c r="B25" s="8"/>
      <c r="C25" s="8"/>
      <c r="D25" s="8"/>
      <c r="E25" s="8"/>
      <c r="F25" s="8"/>
      <c r="G25" s="8"/>
    </row>
    <row r="26" spans="1:7" x14ac:dyDescent="0.3">
      <c r="A26" s="8"/>
      <c r="B26" s="8"/>
      <c r="C26" s="8"/>
      <c r="D26" s="8"/>
      <c r="E26" s="8"/>
      <c r="F26" s="8"/>
      <c r="G26" s="8"/>
    </row>
    <row r="27" spans="1:7" x14ac:dyDescent="0.3">
      <c r="A27" s="8"/>
      <c r="B27" s="8"/>
      <c r="C27" s="8"/>
      <c r="D27" s="8"/>
      <c r="E27" s="8"/>
      <c r="F27" s="8"/>
      <c r="G27" s="8"/>
    </row>
    <row r="28" spans="1:7" x14ac:dyDescent="0.3">
      <c r="A28" s="8"/>
      <c r="B28" s="8"/>
      <c r="C28" s="8"/>
      <c r="D28" s="8"/>
      <c r="E28" s="8"/>
      <c r="F28" s="8"/>
      <c r="G28" s="8"/>
    </row>
    <row r="29" spans="1:7" x14ac:dyDescent="0.3">
      <c r="A29" s="8"/>
      <c r="B29" s="8"/>
      <c r="C29" s="8"/>
      <c r="D29" s="8"/>
      <c r="E29" s="8"/>
      <c r="F29" s="8"/>
      <c r="G29" s="8"/>
    </row>
    <row r="30" spans="1:7" x14ac:dyDescent="0.3">
      <c r="A30" s="8"/>
      <c r="B30" s="8"/>
      <c r="C30" s="8"/>
      <c r="D30" s="8"/>
      <c r="E30" s="8"/>
      <c r="F30" s="8"/>
      <c r="G30" s="8"/>
    </row>
    <row r="31" spans="1:7" x14ac:dyDescent="0.3">
      <c r="A31" s="8"/>
      <c r="B31" s="8"/>
      <c r="C31" s="8"/>
      <c r="D31" s="8"/>
      <c r="E31" s="8"/>
      <c r="F31" s="8"/>
      <c r="G31" s="8"/>
    </row>
    <row r="32" spans="1:7" x14ac:dyDescent="0.3">
      <c r="A32" s="8"/>
      <c r="B32" s="8"/>
      <c r="C32" s="8"/>
      <c r="D32" s="8"/>
      <c r="E32" s="8"/>
      <c r="F32" s="8"/>
      <c r="G32" s="8"/>
    </row>
    <row r="33" spans="1:7" x14ac:dyDescent="0.3">
      <c r="A33" s="8"/>
      <c r="B33" s="8"/>
      <c r="C33" s="8"/>
      <c r="D33" s="8"/>
      <c r="E33" s="8"/>
      <c r="F33" s="8"/>
      <c r="G33" s="8"/>
    </row>
    <row r="34" spans="1:7" x14ac:dyDescent="0.3">
      <c r="A34" s="8"/>
      <c r="B34" s="8"/>
      <c r="C34" s="8"/>
      <c r="D34" s="8"/>
      <c r="E34" s="8"/>
      <c r="F34" s="8"/>
      <c r="G34" s="8"/>
    </row>
    <row r="35" spans="1:7" x14ac:dyDescent="0.3">
      <c r="A35" s="8"/>
      <c r="B35" s="8"/>
      <c r="C35" s="8"/>
      <c r="D35" s="8"/>
      <c r="E35" s="8"/>
      <c r="F35" s="8"/>
      <c r="G35" s="8"/>
    </row>
    <row r="36" spans="1:7" x14ac:dyDescent="0.3">
      <c r="A36" s="8"/>
      <c r="B36" s="8"/>
      <c r="C36" s="8"/>
      <c r="D36" s="8"/>
      <c r="E36" s="8"/>
      <c r="F36" s="8"/>
      <c r="G36" s="8"/>
    </row>
    <row r="37" spans="1:7" x14ac:dyDescent="0.3">
      <c r="A37" s="8"/>
      <c r="B37" s="8"/>
      <c r="C37" s="8"/>
      <c r="D37" s="8"/>
      <c r="E37" s="8"/>
      <c r="F37" s="8"/>
      <c r="G37" s="8"/>
    </row>
    <row r="38" spans="1:7" x14ac:dyDescent="0.3">
      <c r="A38" s="8"/>
      <c r="B38" s="8"/>
      <c r="C38" s="8"/>
      <c r="D38" s="8"/>
      <c r="E38" s="8"/>
      <c r="F38" s="8"/>
      <c r="G38" s="8"/>
    </row>
    <row r="39" spans="1:7" x14ac:dyDescent="0.3">
      <c r="A39" s="8"/>
      <c r="B39" s="8"/>
      <c r="C39" s="8"/>
      <c r="D39" s="8"/>
      <c r="E39" s="8"/>
      <c r="F39" s="8"/>
      <c r="G39" s="8"/>
    </row>
    <row r="40" spans="1:7" x14ac:dyDescent="0.3">
      <c r="A40" s="8"/>
      <c r="B40" s="8"/>
      <c r="C40" s="8"/>
      <c r="D40" s="8"/>
      <c r="E40" s="8"/>
      <c r="F40" s="8"/>
      <c r="G40" s="8"/>
    </row>
    <row r="41" spans="1:7" x14ac:dyDescent="0.3">
      <c r="A41" s="8"/>
      <c r="B41" s="8"/>
      <c r="C41" s="8"/>
      <c r="D41" s="8"/>
      <c r="E41" s="8"/>
      <c r="F41" s="8"/>
      <c r="G41" s="8"/>
    </row>
    <row r="42" spans="1:7" x14ac:dyDescent="0.3">
      <c r="A42" s="8"/>
      <c r="B42" s="8"/>
      <c r="C42" s="8"/>
      <c r="D42" s="8"/>
      <c r="E42" s="8"/>
      <c r="F42" s="8"/>
      <c r="G42" s="8"/>
    </row>
    <row r="43" spans="1:7" x14ac:dyDescent="0.3">
      <c r="A43" s="8"/>
      <c r="B43" s="8"/>
      <c r="C43" s="8"/>
      <c r="D43" s="8"/>
      <c r="E43" s="8"/>
      <c r="F43" s="8"/>
      <c r="G43" s="8"/>
    </row>
    <row r="44" spans="1:7" x14ac:dyDescent="0.3">
      <c r="A44" s="8"/>
      <c r="B44" s="8"/>
      <c r="C44" s="8"/>
      <c r="D44" s="8"/>
      <c r="E44" s="8"/>
      <c r="F44" s="8"/>
      <c r="G44" s="8"/>
    </row>
    <row r="45" spans="1:7" x14ac:dyDescent="0.3">
      <c r="A45" s="8"/>
      <c r="B45" s="8"/>
      <c r="C45" s="8"/>
      <c r="D45" s="8"/>
      <c r="E45" s="8"/>
      <c r="F45" s="8"/>
      <c r="G45" s="8"/>
    </row>
    <row r="46" spans="1:7" x14ac:dyDescent="0.3">
      <c r="A46" s="8"/>
      <c r="B46" s="8"/>
      <c r="C46" s="8"/>
      <c r="D46" s="8"/>
      <c r="E46" s="8"/>
      <c r="F46" s="8"/>
      <c r="G46" s="8"/>
    </row>
    <row r="47" spans="1:7" x14ac:dyDescent="0.3">
      <c r="A47" s="8"/>
      <c r="B47" s="8"/>
      <c r="C47" s="8"/>
      <c r="D47" s="8"/>
      <c r="E47" s="8"/>
      <c r="F47" s="8"/>
      <c r="G47" s="8"/>
    </row>
    <row r="48" spans="1:7" x14ac:dyDescent="0.3">
      <c r="A48" s="8"/>
      <c r="B48" s="8"/>
      <c r="C48" s="8"/>
      <c r="D48" s="8"/>
      <c r="E48" s="8"/>
      <c r="F48" s="8"/>
      <c r="G48" s="8"/>
    </row>
    <row r="49" spans="1:7" x14ac:dyDescent="0.3">
      <c r="A49" s="8"/>
      <c r="B49" s="8"/>
      <c r="C49" s="8"/>
      <c r="D49" s="8"/>
      <c r="E49" s="8"/>
      <c r="F49" s="8"/>
      <c r="G49" s="8"/>
    </row>
    <row r="50" spans="1:7" x14ac:dyDescent="0.3">
      <c r="A50" s="8"/>
      <c r="B50" s="8"/>
      <c r="C50" s="8"/>
      <c r="D50" s="8"/>
      <c r="E50" s="8"/>
      <c r="F50" s="8"/>
      <c r="G50" s="8"/>
    </row>
    <row r="51" spans="1:7" x14ac:dyDescent="0.3">
      <c r="A51" s="8"/>
      <c r="B51" s="8"/>
      <c r="C51" s="8"/>
      <c r="D51" s="8"/>
      <c r="E51" s="8"/>
      <c r="F51" s="8"/>
      <c r="G51" s="8"/>
    </row>
    <row r="52" spans="1:7" x14ac:dyDescent="0.3">
      <c r="A52" s="8"/>
      <c r="B52" s="8"/>
      <c r="C52" s="8"/>
      <c r="D52" s="8"/>
      <c r="E52" s="8"/>
      <c r="F52" s="8"/>
      <c r="G52" s="8"/>
    </row>
    <row r="53" spans="1:7" x14ac:dyDescent="0.3">
      <c r="A53" s="8"/>
      <c r="B53" s="8"/>
      <c r="C53" s="8"/>
      <c r="D53" s="8"/>
      <c r="E53" s="8"/>
      <c r="F53" s="8"/>
      <c r="G53" s="8"/>
    </row>
    <row r="54" spans="1:7" x14ac:dyDescent="0.3">
      <c r="A54" s="8"/>
      <c r="B54" s="8"/>
      <c r="C54" s="8"/>
      <c r="D54" s="8"/>
      <c r="E54" s="8"/>
      <c r="F54" s="8"/>
      <c r="G54" s="8"/>
    </row>
    <row r="55" spans="1:7" x14ac:dyDescent="0.3">
      <c r="A55" s="8"/>
      <c r="B55" s="8"/>
      <c r="C55" s="8"/>
      <c r="D55" s="8"/>
      <c r="E55" s="8"/>
      <c r="F55" s="8"/>
      <c r="G55" s="8"/>
    </row>
    <row r="56" spans="1:7" x14ac:dyDescent="0.3">
      <c r="A56" s="8"/>
      <c r="B56" s="8"/>
      <c r="C56" s="8"/>
      <c r="D56" s="8"/>
      <c r="E56" s="8"/>
      <c r="F56" s="8"/>
      <c r="G56" s="8"/>
    </row>
    <row r="57" spans="1:7" x14ac:dyDescent="0.3">
      <c r="A57" s="8"/>
      <c r="B57" s="8"/>
      <c r="C57" s="8"/>
      <c r="D57" s="8"/>
      <c r="E57" s="8"/>
      <c r="F57" s="8"/>
      <c r="G57" s="8"/>
    </row>
    <row r="58" spans="1:7" x14ac:dyDescent="0.3">
      <c r="A58" s="8"/>
      <c r="B58" s="8"/>
      <c r="C58" s="8"/>
      <c r="D58" s="8"/>
      <c r="E58" s="8"/>
      <c r="F58" s="8"/>
      <c r="G58" s="8"/>
    </row>
    <row r="59" spans="1:7" x14ac:dyDescent="0.3">
      <c r="A59" s="8"/>
      <c r="B59" s="8"/>
      <c r="C59" s="8"/>
      <c r="D59" s="8"/>
      <c r="E59" s="8"/>
      <c r="F59" s="8"/>
      <c r="G59" s="8"/>
    </row>
    <row r="60" spans="1:7" x14ac:dyDescent="0.3">
      <c r="A60" s="8"/>
      <c r="B60" s="8"/>
      <c r="C60" s="8"/>
      <c r="D60" s="8"/>
      <c r="E60" s="8"/>
      <c r="F60" s="8"/>
      <c r="G60" s="8"/>
    </row>
    <row r="61" spans="1:7" x14ac:dyDescent="0.3">
      <c r="A61" s="8"/>
      <c r="B61" s="8"/>
      <c r="C61" s="8"/>
      <c r="D61" s="8"/>
      <c r="E61" s="8"/>
      <c r="F61" s="8"/>
      <c r="G61" s="8"/>
    </row>
    <row r="62" spans="1:7" x14ac:dyDescent="0.3">
      <c r="A62" s="8"/>
      <c r="B62" s="8"/>
      <c r="C62" s="8"/>
      <c r="D62" s="8"/>
      <c r="E62" s="8"/>
      <c r="F62" s="8"/>
      <c r="G62" s="8"/>
    </row>
    <row r="63" spans="1:7" x14ac:dyDescent="0.3">
      <c r="A63" s="8"/>
      <c r="B63" s="8"/>
      <c r="C63" s="8"/>
      <c r="D63" s="8"/>
      <c r="E63" s="8"/>
      <c r="F63" s="8"/>
      <c r="G63" s="8"/>
    </row>
    <row r="64" spans="1:7" x14ac:dyDescent="0.3">
      <c r="A64" s="8"/>
      <c r="B64" s="8"/>
      <c r="C64" s="8"/>
      <c r="D64" s="8"/>
      <c r="E64" s="8"/>
      <c r="F64" s="8"/>
      <c r="G64" s="8"/>
    </row>
    <row r="65" spans="1:7" x14ac:dyDescent="0.3">
      <c r="A65" s="8"/>
      <c r="B65" s="8"/>
      <c r="C65" s="8"/>
      <c r="D65" s="8"/>
      <c r="E65" s="8"/>
      <c r="F65" s="8"/>
      <c r="G65" s="8"/>
    </row>
    <row r="66" spans="1:7" x14ac:dyDescent="0.3">
      <c r="A66" s="8"/>
      <c r="B66" s="8"/>
      <c r="C66" s="8"/>
      <c r="D66" s="8"/>
      <c r="E66" s="8"/>
      <c r="F66" s="8"/>
      <c r="G66" s="8"/>
    </row>
    <row r="67" spans="1:7" x14ac:dyDescent="0.3">
      <c r="A67" s="8"/>
      <c r="B67" s="8"/>
      <c r="C67" s="8"/>
      <c r="D67" s="8"/>
      <c r="E67" s="8"/>
      <c r="F67" s="8"/>
      <c r="G67" s="8"/>
    </row>
    <row r="68" spans="1:7" x14ac:dyDescent="0.3">
      <c r="A68" s="8"/>
      <c r="B68" s="8"/>
      <c r="C68" s="8"/>
      <c r="D68" s="8"/>
      <c r="E68" s="8"/>
      <c r="F68" s="8"/>
      <c r="G68" s="8"/>
    </row>
    <row r="69" spans="1:7" x14ac:dyDescent="0.3">
      <c r="A69" s="8"/>
      <c r="B69" s="8"/>
      <c r="C69" s="8"/>
      <c r="D69" s="8"/>
      <c r="E69" s="8"/>
      <c r="F69" s="8"/>
      <c r="G69" s="8"/>
    </row>
    <row r="70" spans="1:7" x14ac:dyDescent="0.3">
      <c r="A70" s="8"/>
      <c r="B70" s="8"/>
      <c r="C70" s="8"/>
      <c r="D70" s="8"/>
      <c r="E70" s="8"/>
      <c r="F70" s="8"/>
      <c r="G70" s="8"/>
    </row>
    <row r="71" spans="1:7" x14ac:dyDescent="0.3">
      <c r="A71" s="8"/>
      <c r="B71" s="8"/>
      <c r="C71" s="8"/>
      <c r="D71" s="8"/>
      <c r="E71" s="8"/>
      <c r="F71" s="8"/>
      <c r="G71" s="8"/>
    </row>
    <row r="72" spans="1:7" x14ac:dyDescent="0.3">
      <c r="A72" s="8"/>
      <c r="B72" s="8"/>
      <c r="C72" s="8"/>
      <c r="D72" s="8"/>
      <c r="E72" s="8"/>
      <c r="F72" s="8"/>
      <c r="G72" s="8"/>
    </row>
    <row r="73" spans="1:7" x14ac:dyDescent="0.3">
      <c r="A73" s="8"/>
      <c r="B73" s="8"/>
      <c r="C73" s="8"/>
      <c r="D73" s="8"/>
      <c r="E73" s="8"/>
      <c r="F73" s="8"/>
      <c r="G73" s="8"/>
    </row>
    <row r="74" spans="1:7" x14ac:dyDescent="0.3">
      <c r="A74" s="8"/>
      <c r="B74" s="8"/>
      <c r="C74" s="8"/>
      <c r="D74" s="8"/>
      <c r="E74" s="8"/>
      <c r="F74" s="8"/>
      <c r="G74" s="8"/>
    </row>
    <row r="75" spans="1:7" x14ac:dyDescent="0.3">
      <c r="A75" s="8"/>
      <c r="B75" s="8"/>
      <c r="C75" s="8"/>
      <c r="D75" s="8"/>
      <c r="E75" s="8"/>
      <c r="F75" s="8"/>
      <c r="G75" s="8"/>
    </row>
    <row r="76" spans="1:7" x14ac:dyDescent="0.3">
      <c r="A76" s="8"/>
      <c r="B76" s="8"/>
      <c r="C76" s="8"/>
      <c r="D76" s="8"/>
      <c r="E76" s="8"/>
      <c r="F76" s="8"/>
      <c r="G76" s="8"/>
    </row>
    <row r="77" spans="1:7" x14ac:dyDescent="0.3">
      <c r="A77" s="8"/>
      <c r="B77" s="8"/>
      <c r="C77" s="8"/>
      <c r="D77" s="8"/>
      <c r="E77" s="8"/>
      <c r="F77" s="8"/>
      <c r="G77" s="8"/>
    </row>
    <row r="78" spans="1:7" x14ac:dyDescent="0.3">
      <c r="A78" s="8"/>
      <c r="B78" s="8"/>
      <c r="C78" s="8"/>
      <c r="D78" s="8"/>
      <c r="E78" s="8"/>
      <c r="F78" s="8"/>
      <c r="G78" s="8"/>
    </row>
    <row r="79" spans="1:7" x14ac:dyDescent="0.3">
      <c r="A79" s="8"/>
      <c r="B79" s="8"/>
      <c r="C79" s="8"/>
      <c r="D79" s="8"/>
      <c r="E79" s="8"/>
      <c r="F79" s="8"/>
      <c r="G79" s="8"/>
    </row>
    <row r="80" spans="1:7" x14ac:dyDescent="0.3">
      <c r="A80" s="8"/>
      <c r="B80" s="8"/>
      <c r="C80" s="8"/>
      <c r="D80" s="8"/>
      <c r="E80" s="8"/>
      <c r="F80" s="8"/>
      <c r="G80" s="8"/>
    </row>
    <row r="81" spans="1:7" x14ac:dyDescent="0.3">
      <c r="A81" s="8"/>
      <c r="B81" s="8"/>
      <c r="C81" s="8"/>
      <c r="D81" s="8"/>
      <c r="E81" s="8"/>
      <c r="F81" s="8"/>
      <c r="G81" s="8"/>
    </row>
    <row r="82" spans="1:7" x14ac:dyDescent="0.3">
      <c r="A82" s="8"/>
      <c r="B82" s="8"/>
      <c r="C82" s="8"/>
      <c r="D82" s="8"/>
      <c r="E82" s="8"/>
      <c r="F82" s="8"/>
      <c r="G82" s="8"/>
    </row>
    <row r="83" spans="1:7" x14ac:dyDescent="0.3">
      <c r="A83" s="8"/>
      <c r="B83" s="8"/>
      <c r="C83" s="8"/>
      <c r="D83" s="8"/>
      <c r="E83" s="8"/>
      <c r="F83" s="8"/>
      <c r="G83" s="8"/>
    </row>
    <row r="84" spans="1:7" x14ac:dyDescent="0.3">
      <c r="A84" s="8"/>
      <c r="B84" s="8"/>
      <c r="C84" s="8"/>
      <c r="D84" s="8"/>
      <c r="E84" s="8"/>
      <c r="F84" s="8"/>
      <c r="G84" s="8"/>
    </row>
    <row r="85" spans="1:7" x14ac:dyDescent="0.3">
      <c r="A85" s="8"/>
      <c r="B85" s="8"/>
      <c r="C85" s="8"/>
      <c r="D85" s="8"/>
      <c r="E85" s="8"/>
      <c r="F85" s="8"/>
      <c r="G85" s="8"/>
    </row>
    <row r="86" spans="1:7" x14ac:dyDescent="0.3">
      <c r="A86" s="8"/>
      <c r="B86" s="8"/>
      <c r="C86" s="8"/>
      <c r="D86" s="8"/>
      <c r="E86" s="8"/>
      <c r="F86" s="8"/>
      <c r="G86" s="8"/>
    </row>
    <row r="87" spans="1:7" x14ac:dyDescent="0.3">
      <c r="A87" s="8"/>
      <c r="B87" s="8"/>
      <c r="C87" s="8"/>
      <c r="D87" s="8"/>
      <c r="E87" s="8"/>
      <c r="F87" s="8"/>
      <c r="G87" s="8"/>
    </row>
    <row r="88" spans="1:7" x14ac:dyDescent="0.3">
      <c r="A88" s="8"/>
      <c r="B88" s="8"/>
      <c r="C88" s="8"/>
      <c r="D88" s="8"/>
      <c r="E88" s="8"/>
      <c r="F88" s="8"/>
      <c r="G88" s="8"/>
    </row>
    <row r="89" spans="1:7" x14ac:dyDescent="0.3">
      <c r="A89" s="8"/>
      <c r="B89" s="8"/>
      <c r="C89" s="8"/>
      <c r="D89" s="8"/>
      <c r="E89" s="8"/>
      <c r="F89" s="8"/>
      <c r="G89" s="8"/>
    </row>
    <row r="90" spans="1:7" x14ac:dyDescent="0.3">
      <c r="A90" s="8"/>
      <c r="B90" s="8"/>
      <c r="C90" s="8"/>
      <c r="D90" s="8"/>
      <c r="E90" s="8"/>
      <c r="F90" s="8"/>
      <c r="G90" s="8"/>
    </row>
    <row r="91" spans="1:7" x14ac:dyDescent="0.3">
      <c r="A91" s="8"/>
      <c r="B91" s="8"/>
      <c r="C91" s="8"/>
      <c r="D91" s="8"/>
      <c r="E91" s="8"/>
      <c r="F91" s="8"/>
      <c r="G91" s="8"/>
    </row>
    <row r="92" spans="1:7" x14ac:dyDescent="0.3">
      <c r="A92" s="8"/>
      <c r="B92" s="8"/>
      <c r="C92" s="8"/>
      <c r="D92" s="8"/>
      <c r="E92" s="8"/>
      <c r="F92" s="8"/>
      <c r="G92" s="8"/>
    </row>
    <row r="93" spans="1:7" x14ac:dyDescent="0.3">
      <c r="A93" s="8"/>
      <c r="B93" s="8"/>
      <c r="C93" s="8"/>
      <c r="D93" s="8"/>
      <c r="E93" s="8"/>
      <c r="F93" s="8"/>
      <c r="G93" s="8"/>
    </row>
    <row r="94" spans="1:7" x14ac:dyDescent="0.3">
      <c r="A94" s="8"/>
      <c r="B94" s="8"/>
      <c r="C94" s="8"/>
      <c r="D94" s="8"/>
      <c r="E94" s="8"/>
      <c r="F94" s="8"/>
      <c r="G94" s="8"/>
    </row>
    <row r="95" spans="1:7" x14ac:dyDescent="0.3">
      <c r="A95" s="8"/>
      <c r="B95" s="8"/>
      <c r="C95" s="8"/>
      <c r="D95" s="8"/>
      <c r="E95" s="8"/>
      <c r="F95" s="8"/>
      <c r="G95" s="8"/>
    </row>
    <row r="96" spans="1:7" x14ac:dyDescent="0.3">
      <c r="A96" s="8"/>
      <c r="B96" s="8"/>
      <c r="C96" s="8"/>
      <c r="D96" s="8"/>
      <c r="E96" s="8"/>
      <c r="F96" s="8"/>
      <c r="G96" s="8"/>
    </row>
    <row r="97" spans="1:7" x14ac:dyDescent="0.3">
      <c r="A97" s="8"/>
      <c r="B97" s="8"/>
      <c r="C97" s="8"/>
      <c r="D97" s="8"/>
      <c r="E97" s="8"/>
      <c r="F97" s="8"/>
      <c r="G97" s="8"/>
    </row>
    <row r="98" spans="1:7" x14ac:dyDescent="0.3">
      <c r="A98" s="8"/>
      <c r="B98" s="8"/>
      <c r="C98" s="8"/>
      <c r="D98" s="8"/>
      <c r="E98" s="8"/>
      <c r="F98" s="8"/>
      <c r="G98" s="8"/>
    </row>
    <row r="99" spans="1:7" x14ac:dyDescent="0.3">
      <c r="A99" s="8"/>
      <c r="B99" s="8"/>
      <c r="C99" s="8"/>
      <c r="D99" s="8"/>
      <c r="E99" s="8"/>
      <c r="F99" s="8"/>
      <c r="G99" s="8"/>
    </row>
    <row r="100" spans="1:7" x14ac:dyDescent="0.3">
      <c r="A100" s="8"/>
      <c r="B100" s="8"/>
      <c r="C100" s="8"/>
      <c r="D100" s="8"/>
      <c r="E100" s="8"/>
      <c r="F100" s="8"/>
      <c r="G100" s="8"/>
    </row>
    <row r="101" spans="1:7" x14ac:dyDescent="0.3">
      <c r="A101" s="8"/>
      <c r="B101" s="8"/>
      <c r="C101" s="8"/>
      <c r="D101" s="8"/>
      <c r="E101" s="8"/>
      <c r="F101" s="8"/>
      <c r="G101" s="8"/>
    </row>
    <row r="102" spans="1:7" x14ac:dyDescent="0.3">
      <c r="A102" s="8"/>
      <c r="B102" s="8"/>
      <c r="C102" s="8"/>
      <c r="D102" s="8"/>
      <c r="E102" s="8"/>
      <c r="F102" s="8"/>
      <c r="G102" s="8"/>
    </row>
    <row r="103" spans="1:7" x14ac:dyDescent="0.3">
      <c r="A103" s="8"/>
      <c r="B103" s="8"/>
      <c r="C103" s="8"/>
      <c r="D103" s="8"/>
      <c r="E103" s="8"/>
      <c r="F103" s="8"/>
      <c r="G103" s="8"/>
    </row>
    <row r="104" spans="1:7" x14ac:dyDescent="0.3">
      <c r="A104" s="8"/>
      <c r="B104" s="8"/>
      <c r="C104" s="8"/>
      <c r="D104" s="8"/>
      <c r="E104" s="8"/>
      <c r="F104" s="8"/>
      <c r="G104" s="8"/>
    </row>
    <row r="105" spans="1:7" x14ac:dyDescent="0.3">
      <c r="A105" s="8"/>
      <c r="B105" s="8"/>
      <c r="C105" s="8"/>
      <c r="D105" s="8"/>
      <c r="E105" s="8"/>
      <c r="F105" s="8"/>
      <c r="G105" s="8"/>
    </row>
    <row r="106" spans="1:7" x14ac:dyDescent="0.3">
      <c r="A106" s="8"/>
      <c r="B106" s="8"/>
      <c r="C106" s="8"/>
      <c r="D106" s="8"/>
      <c r="E106" s="8"/>
      <c r="F106" s="8"/>
      <c r="G106" s="8"/>
    </row>
    <row r="107" spans="1:7" x14ac:dyDescent="0.3">
      <c r="A107" s="8"/>
      <c r="B107" s="8"/>
      <c r="C107" s="8"/>
      <c r="D107" s="8"/>
      <c r="E107" s="8"/>
      <c r="F107" s="8"/>
      <c r="G107" s="8"/>
    </row>
    <row r="108" spans="1:7" x14ac:dyDescent="0.3">
      <c r="A108" s="8"/>
      <c r="B108" s="8"/>
      <c r="C108" s="8"/>
      <c r="D108" s="8"/>
      <c r="E108" s="8"/>
      <c r="F108" s="8"/>
      <c r="G108" s="8"/>
    </row>
    <row r="109" spans="1:7" x14ac:dyDescent="0.3">
      <c r="A109" s="8"/>
      <c r="B109" s="8"/>
      <c r="C109" s="8"/>
      <c r="D109" s="8"/>
      <c r="E109" s="8"/>
      <c r="F109" s="8"/>
      <c r="G109" s="8"/>
    </row>
    <row r="110" spans="1:7" x14ac:dyDescent="0.3">
      <c r="A110" s="8"/>
      <c r="B110" s="8"/>
      <c r="C110" s="8"/>
      <c r="D110" s="8"/>
      <c r="E110" s="8"/>
      <c r="F110" s="8"/>
      <c r="G110" s="8"/>
    </row>
    <row r="111" spans="1:7" x14ac:dyDescent="0.3">
      <c r="A111" s="8"/>
      <c r="B111" s="8"/>
      <c r="C111" s="8"/>
      <c r="D111" s="8"/>
      <c r="E111" s="8"/>
      <c r="F111" s="8"/>
      <c r="G111" s="8"/>
    </row>
    <row r="112" spans="1:7" x14ac:dyDescent="0.3">
      <c r="A112" s="8"/>
      <c r="B112" s="8"/>
      <c r="C112" s="8"/>
      <c r="D112" s="8"/>
      <c r="E112" s="8"/>
      <c r="F112" s="8"/>
      <c r="G112" s="8"/>
    </row>
    <row r="113" spans="1:7" x14ac:dyDescent="0.3">
      <c r="A113" s="8"/>
      <c r="B113" s="8"/>
      <c r="C113" s="8"/>
      <c r="D113" s="8"/>
      <c r="E113" s="8"/>
      <c r="F113" s="8"/>
      <c r="G113" s="8"/>
    </row>
    <row r="114" spans="1:7" x14ac:dyDescent="0.3">
      <c r="A114" s="8"/>
      <c r="B114" s="8"/>
      <c r="C114" s="8"/>
      <c r="D114" s="8"/>
      <c r="E114" s="8"/>
      <c r="F114" s="8"/>
      <c r="G114" s="8"/>
    </row>
    <row r="115" spans="1:7" x14ac:dyDescent="0.3">
      <c r="A115" s="8"/>
      <c r="B115" s="8"/>
      <c r="C115" s="8"/>
      <c r="D115" s="8"/>
      <c r="E115" s="8"/>
      <c r="F115" s="8"/>
      <c r="G115" s="8"/>
    </row>
    <row r="116" spans="1:7" x14ac:dyDescent="0.3">
      <c r="A116" s="8"/>
      <c r="B116" s="8"/>
      <c r="C116" s="8"/>
      <c r="D116" s="8"/>
      <c r="E116" s="8"/>
      <c r="F116" s="8"/>
      <c r="G116" s="8"/>
    </row>
    <row r="117" spans="1:7" x14ac:dyDescent="0.3">
      <c r="A117" s="8"/>
      <c r="B117" s="8"/>
      <c r="C117" s="8"/>
      <c r="D117" s="8"/>
      <c r="E117" s="8"/>
      <c r="F117" s="8"/>
      <c r="G117" s="8"/>
    </row>
    <row r="118" spans="1:7" x14ac:dyDescent="0.3">
      <c r="A118" s="8"/>
      <c r="B118" s="8"/>
      <c r="C118" s="8"/>
      <c r="D118" s="8"/>
      <c r="E118" s="8"/>
      <c r="F118" s="8"/>
      <c r="G118" s="8"/>
    </row>
    <row r="119" spans="1:7" x14ac:dyDescent="0.3">
      <c r="A119" s="8"/>
      <c r="B119" s="8"/>
      <c r="C119" s="8"/>
      <c r="D119" s="8"/>
      <c r="E119" s="8"/>
      <c r="F119" s="8"/>
      <c r="G119" s="8"/>
    </row>
    <row r="120" spans="1:7" x14ac:dyDescent="0.3">
      <c r="A120" s="8"/>
      <c r="B120" s="8"/>
      <c r="C120" s="8"/>
      <c r="D120" s="8"/>
      <c r="E120" s="8"/>
      <c r="F120" s="8"/>
      <c r="G120" s="8"/>
    </row>
    <row r="121" spans="1:7" x14ac:dyDescent="0.3">
      <c r="A121" s="8"/>
      <c r="B121" s="8"/>
      <c r="C121" s="8"/>
      <c r="D121" s="8"/>
      <c r="E121" s="8"/>
      <c r="F121" s="8"/>
      <c r="G121" s="8"/>
    </row>
    <row r="122" spans="1:7" x14ac:dyDescent="0.3">
      <c r="A122" s="8"/>
      <c r="B122" s="8"/>
      <c r="C122" s="8"/>
      <c r="D122" s="8"/>
      <c r="E122" s="8"/>
      <c r="F122" s="8"/>
      <c r="G122" s="8"/>
    </row>
    <row r="123" spans="1:7" x14ac:dyDescent="0.3">
      <c r="A123" s="8"/>
      <c r="B123" s="8"/>
      <c r="C123" s="8"/>
      <c r="D123" s="8"/>
      <c r="E123" s="8"/>
      <c r="F123" s="8"/>
      <c r="G123" s="8"/>
    </row>
    <row r="124" spans="1:7" x14ac:dyDescent="0.3">
      <c r="A124" s="8"/>
      <c r="B124" s="8"/>
      <c r="C124" s="8"/>
      <c r="D124" s="8"/>
      <c r="E124" s="8"/>
      <c r="F124" s="8"/>
      <c r="G124" s="8"/>
    </row>
    <row r="125" spans="1:7" x14ac:dyDescent="0.3">
      <c r="A125" s="8"/>
      <c r="B125" s="8"/>
      <c r="C125" s="8"/>
      <c r="D125" s="8"/>
      <c r="E125" s="8"/>
      <c r="F125" s="8"/>
      <c r="G125" s="8"/>
    </row>
    <row r="126" spans="1:7" x14ac:dyDescent="0.3">
      <c r="A126" s="8"/>
      <c r="B126" s="8"/>
      <c r="C126" s="8"/>
      <c r="D126" s="8"/>
      <c r="E126" s="8"/>
      <c r="F126" s="8"/>
      <c r="G126" s="8"/>
    </row>
    <row r="127" spans="1:7" x14ac:dyDescent="0.3">
      <c r="A127" s="8"/>
      <c r="B127" s="8"/>
      <c r="C127" s="8"/>
      <c r="D127" s="8"/>
      <c r="E127" s="8"/>
      <c r="F127" s="8"/>
      <c r="G127" s="8"/>
    </row>
    <row r="128" spans="1:7" x14ac:dyDescent="0.3">
      <c r="A128" s="8"/>
      <c r="B128" s="8"/>
      <c r="C128" s="8"/>
      <c r="D128" s="8"/>
      <c r="E128" s="8"/>
      <c r="F128" s="8"/>
      <c r="G128" s="8"/>
    </row>
    <row r="129" spans="1:7" x14ac:dyDescent="0.3">
      <c r="A129" s="8"/>
      <c r="B129" s="8"/>
      <c r="C129" s="8"/>
      <c r="D129" s="8"/>
      <c r="E129" s="8"/>
      <c r="F129" s="8"/>
      <c r="G129" s="8"/>
    </row>
    <row r="130" spans="1:7" x14ac:dyDescent="0.3">
      <c r="A130" s="8"/>
      <c r="B130" s="8"/>
      <c r="C130" s="8"/>
      <c r="D130" s="8"/>
      <c r="E130" s="8"/>
      <c r="F130" s="8"/>
      <c r="G130" s="8"/>
    </row>
    <row r="131" spans="1:7" x14ac:dyDescent="0.3">
      <c r="A131" s="8"/>
      <c r="B131" s="8"/>
      <c r="C131" s="8"/>
      <c r="D131" s="8"/>
      <c r="E131" s="8"/>
      <c r="F131" s="8"/>
      <c r="G131" s="8"/>
    </row>
    <row r="132" spans="1:7" x14ac:dyDescent="0.3">
      <c r="A132" s="8"/>
      <c r="B132" s="8"/>
      <c r="C132" s="8"/>
      <c r="D132" s="8"/>
      <c r="E132" s="8"/>
      <c r="F132" s="8"/>
      <c r="G132" s="8"/>
    </row>
    <row r="133" spans="1:7" x14ac:dyDescent="0.3">
      <c r="A133" s="8"/>
      <c r="B133" s="8"/>
      <c r="C133" s="8"/>
      <c r="D133" s="8"/>
      <c r="E133" s="8"/>
      <c r="F133" s="8"/>
      <c r="G133" s="8"/>
    </row>
    <row r="134" spans="1:7" x14ac:dyDescent="0.3">
      <c r="A134" s="8"/>
      <c r="B134" s="8"/>
      <c r="C134" s="8"/>
      <c r="D134" s="8"/>
      <c r="E134" s="8"/>
      <c r="F134" s="8"/>
      <c r="G134" s="8"/>
    </row>
    <row r="135" spans="1:7" x14ac:dyDescent="0.3">
      <c r="A135" s="8"/>
      <c r="B135" s="8"/>
      <c r="C135" s="8"/>
      <c r="D135" s="8"/>
      <c r="E135" s="8"/>
      <c r="F135" s="8"/>
      <c r="G135" s="8"/>
    </row>
    <row r="136" spans="1:7" x14ac:dyDescent="0.3">
      <c r="A136" s="8"/>
      <c r="B136" s="8"/>
      <c r="C136" s="8"/>
      <c r="D136" s="8"/>
      <c r="E136" s="8"/>
      <c r="F136" s="8"/>
      <c r="G136" s="8"/>
    </row>
    <row r="137" spans="1:7" x14ac:dyDescent="0.3">
      <c r="A137" s="8"/>
      <c r="B137" s="8"/>
      <c r="C137" s="8"/>
      <c r="D137" s="8"/>
      <c r="E137" s="8"/>
      <c r="F137" s="8"/>
      <c r="G137" s="8"/>
    </row>
    <row r="138" spans="1:7" x14ac:dyDescent="0.3">
      <c r="A138" s="8"/>
      <c r="B138" s="8"/>
      <c r="C138" s="8"/>
      <c r="D138" s="8"/>
      <c r="E138" s="8"/>
      <c r="F138" s="8"/>
      <c r="G138" s="8"/>
    </row>
    <row r="139" spans="1:7" x14ac:dyDescent="0.3">
      <c r="A139" s="8"/>
      <c r="B139" s="8"/>
      <c r="C139" s="8"/>
      <c r="D139" s="8"/>
      <c r="E139" s="8"/>
      <c r="F139" s="8"/>
      <c r="G139" s="8"/>
    </row>
    <row r="140" spans="1:7" x14ac:dyDescent="0.3">
      <c r="A140" s="8"/>
      <c r="B140" s="8"/>
      <c r="C140" s="8"/>
      <c r="D140" s="8"/>
      <c r="E140" s="8"/>
      <c r="F140" s="8"/>
      <c r="G140" s="8"/>
    </row>
    <row r="141" spans="1:7" x14ac:dyDescent="0.3">
      <c r="A141" s="8"/>
      <c r="B141" s="8"/>
      <c r="C141" s="8"/>
      <c r="D141" s="8"/>
      <c r="E141" s="8"/>
      <c r="F141" s="8"/>
      <c r="G141" s="8"/>
    </row>
    <row r="142" spans="1:7" x14ac:dyDescent="0.3">
      <c r="A142" s="8"/>
      <c r="B142" s="8"/>
      <c r="C142" s="8"/>
      <c r="D142" s="8"/>
      <c r="E142" s="8"/>
      <c r="F142" s="8"/>
      <c r="G142" s="8"/>
    </row>
    <row r="143" spans="1:7" x14ac:dyDescent="0.3">
      <c r="A143" s="8"/>
      <c r="B143" s="8"/>
      <c r="C143" s="8"/>
      <c r="D143" s="8"/>
      <c r="E143" s="8"/>
      <c r="F143" s="8"/>
      <c r="G143" s="8"/>
    </row>
    <row r="144" spans="1:7" x14ac:dyDescent="0.3">
      <c r="A144" s="8"/>
      <c r="B144" s="8"/>
      <c r="C144" s="8"/>
      <c r="D144" s="8"/>
      <c r="E144" s="8"/>
      <c r="F144" s="8"/>
      <c r="G144" s="8"/>
    </row>
    <row r="145" spans="1:7" x14ac:dyDescent="0.3">
      <c r="A145" s="8"/>
      <c r="B145" s="8"/>
      <c r="C145" s="8"/>
      <c r="D145" s="8"/>
      <c r="E145" s="8"/>
      <c r="F145" s="8"/>
      <c r="G145" s="8"/>
    </row>
    <row r="146" spans="1:7" x14ac:dyDescent="0.3">
      <c r="A146" s="8"/>
      <c r="B146" s="8"/>
      <c r="C146" s="8"/>
      <c r="D146" s="8"/>
      <c r="E146" s="8"/>
      <c r="F146" s="8"/>
      <c r="G146" s="8"/>
    </row>
    <row r="147" spans="1:7" x14ac:dyDescent="0.3">
      <c r="A147" s="8"/>
      <c r="B147" s="8"/>
      <c r="C147" s="8"/>
      <c r="D147" s="8"/>
      <c r="E147" s="8"/>
      <c r="F147" s="8"/>
      <c r="G147" s="8"/>
    </row>
    <row r="148" spans="1:7" x14ac:dyDescent="0.3">
      <c r="A148" s="8"/>
      <c r="B148" s="8"/>
      <c r="C148" s="8"/>
      <c r="D148" s="8"/>
      <c r="E148" s="8"/>
      <c r="F148" s="8"/>
      <c r="G148" s="8"/>
    </row>
    <row r="149" spans="1:7" x14ac:dyDescent="0.3">
      <c r="A149" s="8"/>
      <c r="B149" s="8"/>
      <c r="C149" s="8"/>
      <c r="D149" s="8"/>
      <c r="E149" s="8"/>
      <c r="F149" s="8"/>
      <c r="G149" s="8"/>
    </row>
    <row r="150" spans="1:7" x14ac:dyDescent="0.3">
      <c r="A150" s="8"/>
      <c r="B150" s="8"/>
      <c r="C150" s="8"/>
      <c r="D150" s="8"/>
      <c r="E150" s="8"/>
      <c r="F150" s="8"/>
      <c r="G150" s="8"/>
    </row>
    <row r="151" spans="1:7" x14ac:dyDescent="0.3">
      <c r="A151" s="8"/>
      <c r="B151" s="8"/>
      <c r="C151" s="8"/>
      <c r="D151" s="8"/>
      <c r="E151" s="8"/>
      <c r="F151" s="8"/>
      <c r="G151" s="8"/>
    </row>
    <row r="152" spans="1:7" x14ac:dyDescent="0.3">
      <c r="A152" s="8"/>
      <c r="B152" s="8"/>
      <c r="C152" s="8"/>
      <c r="D152" s="8"/>
      <c r="E152" s="8"/>
      <c r="F152" s="8"/>
      <c r="G152" s="8"/>
    </row>
    <row r="153" spans="1:7" x14ac:dyDescent="0.3">
      <c r="A153" s="8"/>
      <c r="B153" s="8"/>
      <c r="C153" s="8"/>
      <c r="D153" s="8"/>
      <c r="E153" s="8"/>
      <c r="F153" s="8"/>
      <c r="G153" s="8"/>
    </row>
    <row r="154" spans="1:7" x14ac:dyDescent="0.3">
      <c r="A154" s="8"/>
      <c r="B154" s="8"/>
      <c r="C154" s="8"/>
      <c r="D154" s="8"/>
      <c r="E154" s="8"/>
      <c r="F154" s="8"/>
      <c r="G154" s="8"/>
    </row>
    <row r="155" spans="1:7" x14ac:dyDescent="0.3">
      <c r="A155" s="8"/>
      <c r="B155" s="8"/>
      <c r="C155" s="8"/>
      <c r="D155" s="8"/>
      <c r="E155" s="8"/>
      <c r="F155" s="8"/>
      <c r="G155" s="8"/>
    </row>
    <row r="156" spans="1:7" x14ac:dyDescent="0.3">
      <c r="A156" s="8"/>
      <c r="B156" s="8"/>
      <c r="C156" s="8"/>
      <c r="D156" s="8"/>
      <c r="E156" s="8"/>
      <c r="F156" s="8"/>
      <c r="G156" s="8"/>
    </row>
    <row r="157" spans="1:7" x14ac:dyDescent="0.3">
      <c r="A157" s="8"/>
      <c r="B157" s="8"/>
      <c r="C157" s="8"/>
      <c r="D157" s="8"/>
      <c r="E157" s="8"/>
      <c r="F157" s="8"/>
      <c r="G157" s="8"/>
    </row>
    <row r="158" spans="1:7" x14ac:dyDescent="0.3">
      <c r="A158" s="8"/>
      <c r="B158" s="8"/>
      <c r="C158" s="8"/>
      <c r="D158" s="8"/>
      <c r="E158" s="8"/>
      <c r="F158" s="8"/>
      <c r="G158" s="8"/>
    </row>
    <row r="159" spans="1:7" x14ac:dyDescent="0.3">
      <c r="A159" s="8"/>
      <c r="B159" s="8"/>
      <c r="C159" s="8"/>
      <c r="D159" s="8"/>
      <c r="E159" s="8"/>
      <c r="F159" s="8"/>
      <c r="G159" s="8"/>
    </row>
    <row r="160" spans="1:7" x14ac:dyDescent="0.3">
      <c r="A160" s="8"/>
      <c r="B160" s="8"/>
      <c r="C160" s="8"/>
      <c r="D160" s="8"/>
      <c r="E160" s="8"/>
      <c r="F160" s="8"/>
      <c r="G160" s="8"/>
    </row>
    <row r="161" spans="1:7" x14ac:dyDescent="0.3">
      <c r="A161" s="8"/>
      <c r="B161" s="8"/>
      <c r="C161" s="8"/>
      <c r="D161" s="8"/>
      <c r="E161" s="8"/>
      <c r="F161" s="8"/>
      <c r="G161" s="8"/>
    </row>
    <row r="162" spans="1:7" x14ac:dyDescent="0.3">
      <c r="A162" s="8"/>
      <c r="B162" s="8"/>
      <c r="C162" s="8"/>
      <c r="D162" s="8"/>
      <c r="E162" s="8"/>
      <c r="F162" s="8"/>
      <c r="G162" s="8"/>
    </row>
    <row r="163" spans="1:7" x14ac:dyDescent="0.3">
      <c r="A163" s="8"/>
      <c r="B163" s="8"/>
      <c r="C163" s="8"/>
      <c r="D163" s="8"/>
      <c r="E163" s="8"/>
      <c r="F163" s="8"/>
      <c r="G163" s="8"/>
    </row>
    <row r="164" spans="1:7" x14ac:dyDescent="0.3">
      <c r="A164" s="8"/>
      <c r="B164" s="8"/>
      <c r="C164" s="8"/>
      <c r="D164" s="8"/>
      <c r="E164" s="8"/>
      <c r="F164" s="8"/>
      <c r="G164" s="8"/>
    </row>
    <row r="165" spans="1:7" x14ac:dyDescent="0.3">
      <c r="A165" s="8"/>
      <c r="B165" s="8"/>
      <c r="C165" s="8"/>
      <c r="D165" s="8"/>
      <c r="E165" s="8"/>
      <c r="F165" s="8"/>
      <c r="G165" s="8"/>
    </row>
    <row r="166" spans="1:7" x14ac:dyDescent="0.3">
      <c r="A166" s="8"/>
      <c r="B166" s="8"/>
      <c r="C166" s="8"/>
      <c r="D166" s="8"/>
      <c r="E166" s="8"/>
      <c r="F166" s="8"/>
      <c r="G166" s="8"/>
    </row>
    <row r="167" spans="1:7" x14ac:dyDescent="0.3">
      <c r="A167" s="8"/>
      <c r="B167" s="8"/>
      <c r="C167" s="8"/>
      <c r="D167" s="8"/>
      <c r="E167" s="8"/>
      <c r="F167" s="8"/>
      <c r="G167" s="8"/>
    </row>
    <row r="168" spans="1:7" x14ac:dyDescent="0.3">
      <c r="A168" s="8"/>
      <c r="B168" s="8"/>
      <c r="C168" s="8"/>
      <c r="D168" s="8"/>
      <c r="E168" s="8"/>
      <c r="F168" s="8"/>
      <c r="G168" s="8"/>
    </row>
    <row r="169" spans="1:7" x14ac:dyDescent="0.3">
      <c r="A169" s="8"/>
      <c r="B169" s="8"/>
      <c r="C169" s="8"/>
      <c r="D169" s="8"/>
      <c r="E169" s="8"/>
      <c r="F169" s="8"/>
      <c r="G169" s="8"/>
    </row>
    <row r="170" spans="1:7" x14ac:dyDescent="0.3">
      <c r="A170" s="8"/>
      <c r="B170" s="8"/>
      <c r="C170" s="8"/>
      <c r="D170" s="8"/>
      <c r="E170" s="8"/>
      <c r="F170" s="8"/>
      <c r="G170" s="8"/>
    </row>
    <row r="171" spans="1:7" x14ac:dyDescent="0.3">
      <c r="A171" s="8"/>
      <c r="B171" s="8"/>
      <c r="C171" s="8"/>
      <c r="D171" s="8"/>
      <c r="E171" s="8"/>
      <c r="F171" s="8"/>
      <c r="G171" s="8"/>
    </row>
    <row r="172" spans="1:7" x14ac:dyDescent="0.3">
      <c r="A172" s="8"/>
      <c r="B172" s="8"/>
      <c r="C172" s="8"/>
      <c r="D172" s="8"/>
      <c r="E172" s="8"/>
      <c r="F172" s="8"/>
      <c r="G172" s="8"/>
    </row>
    <row r="173" spans="1:7" x14ac:dyDescent="0.3">
      <c r="A173" s="8"/>
      <c r="B173" s="8"/>
      <c r="C173" s="8"/>
      <c r="D173" s="8"/>
      <c r="E173" s="8"/>
      <c r="F173" s="8"/>
      <c r="G173" s="8"/>
    </row>
    <row r="174" spans="1:7" x14ac:dyDescent="0.3">
      <c r="A174" s="8"/>
      <c r="B174" s="8"/>
      <c r="C174" s="8"/>
      <c r="D174" s="8"/>
      <c r="E174" s="8"/>
      <c r="F174" s="8"/>
      <c r="G174" s="8"/>
    </row>
    <row r="175" spans="1:7" x14ac:dyDescent="0.3">
      <c r="A175" s="8"/>
      <c r="B175" s="8"/>
      <c r="C175" s="8"/>
      <c r="D175" s="8"/>
      <c r="E175" s="8"/>
      <c r="F175" s="8"/>
      <c r="G175" s="8"/>
    </row>
    <row r="176" spans="1:7" x14ac:dyDescent="0.3">
      <c r="A176" s="8"/>
      <c r="B176" s="8"/>
      <c r="C176" s="8"/>
      <c r="D176" s="8"/>
      <c r="E176" s="8"/>
      <c r="F176" s="8"/>
      <c r="G176" s="8"/>
    </row>
    <row r="177" spans="1:7" x14ac:dyDescent="0.3">
      <c r="A177" s="8"/>
      <c r="B177" s="8"/>
      <c r="C177" s="8"/>
      <c r="D177" s="8"/>
      <c r="E177" s="8"/>
      <c r="F177" s="8"/>
      <c r="G177" s="8"/>
    </row>
    <row r="178" spans="1:7" x14ac:dyDescent="0.3">
      <c r="A178" s="8"/>
      <c r="B178" s="8"/>
      <c r="C178" s="8"/>
      <c r="D178" s="8"/>
      <c r="E178" s="8"/>
      <c r="F178" s="8"/>
      <c r="G178" s="8"/>
    </row>
    <row r="179" spans="1:7" x14ac:dyDescent="0.3">
      <c r="A179" s="8"/>
      <c r="B179" s="8"/>
      <c r="C179" s="8"/>
      <c r="D179" s="8"/>
      <c r="E179" s="8"/>
      <c r="F179" s="8"/>
      <c r="G179" s="8"/>
    </row>
    <row r="180" spans="1:7" x14ac:dyDescent="0.3">
      <c r="A180" s="8"/>
      <c r="B180" s="8"/>
      <c r="C180" s="8"/>
      <c r="D180" s="8"/>
      <c r="E180" s="8"/>
      <c r="F180" s="8"/>
      <c r="G180" s="8"/>
    </row>
    <row r="181" spans="1:7" x14ac:dyDescent="0.3">
      <c r="A181" s="8"/>
      <c r="B181" s="8"/>
      <c r="C181" s="8"/>
      <c r="D181" s="8"/>
      <c r="E181" s="8"/>
      <c r="F181" s="8"/>
      <c r="G181" s="8"/>
    </row>
    <row r="182" spans="1:7" x14ac:dyDescent="0.3">
      <c r="A182" s="8"/>
      <c r="B182" s="8"/>
      <c r="C182" s="8"/>
      <c r="D182" s="8"/>
      <c r="E182" s="8"/>
      <c r="F182" s="8"/>
      <c r="G182" s="8"/>
    </row>
    <row r="183" spans="1:7" x14ac:dyDescent="0.3">
      <c r="A183" s="8"/>
      <c r="B183" s="8"/>
      <c r="C183" s="8"/>
      <c r="D183" s="8"/>
      <c r="E183" s="8"/>
      <c r="F183" s="8"/>
      <c r="G183" s="8"/>
    </row>
    <row r="184" spans="1:7" x14ac:dyDescent="0.3">
      <c r="A184" s="8"/>
      <c r="B184" s="8"/>
      <c r="C184" s="8"/>
      <c r="D184" s="8"/>
      <c r="E184" s="8"/>
      <c r="F184" s="8"/>
      <c r="G184" s="8"/>
    </row>
    <row r="185" spans="1:7" x14ac:dyDescent="0.3">
      <c r="A185" s="8"/>
      <c r="B185" s="8"/>
      <c r="C185" s="8"/>
      <c r="D185" s="8"/>
      <c r="E185" s="8"/>
      <c r="F185" s="8"/>
      <c r="G185" s="8"/>
    </row>
    <row r="186" spans="1:7" x14ac:dyDescent="0.3">
      <c r="A186" s="8"/>
      <c r="B186" s="8"/>
      <c r="C186" s="8"/>
      <c r="D186" s="8"/>
      <c r="E186" s="8"/>
      <c r="F186" s="8"/>
      <c r="G186" s="8"/>
    </row>
    <row r="187" spans="1:7" x14ac:dyDescent="0.3">
      <c r="A187" s="8"/>
      <c r="B187" s="8"/>
      <c r="C187" s="8"/>
      <c r="D187" s="8"/>
      <c r="E187" s="8"/>
      <c r="F187" s="8"/>
      <c r="G187" s="8"/>
    </row>
    <row r="188" spans="1:7" x14ac:dyDescent="0.3">
      <c r="A188" s="8"/>
      <c r="B188" s="8"/>
      <c r="C188" s="8"/>
      <c r="D188" s="8"/>
      <c r="E188" s="8"/>
      <c r="F188" s="8"/>
      <c r="G188" s="8"/>
    </row>
    <row r="189" spans="1:7" x14ac:dyDescent="0.3">
      <c r="A189" s="8"/>
      <c r="B189" s="8"/>
      <c r="C189" s="8"/>
      <c r="D189" s="8"/>
      <c r="E189" s="8"/>
      <c r="F189" s="8"/>
      <c r="G189" s="8"/>
    </row>
    <row r="190" spans="1:7" x14ac:dyDescent="0.3">
      <c r="A190" s="8"/>
      <c r="B190" s="8"/>
      <c r="C190" s="8"/>
      <c r="D190" s="8"/>
      <c r="E190" s="8"/>
      <c r="F190" s="8"/>
      <c r="G190" s="8"/>
    </row>
    <row r="191" spans="1:7" x14ac:dyDescent="0.3">
      <c r="A191" s="8"/>
      <c r="B191" s="8"/>
      <c r="C191" s="8"/>
      <c r="D191" s="8"/>
      <c r="E191" s="8"/>
      <c r="F191" s="8"/>
      <c r="G191" s="8"/>
    </row>
    <row r="192" spans="1:7" x14ac:dyDescent="0.3">
      <c r="A192" s="8"/>
      <c r="B192" s="8"/>
      <c r="C192" s="8"/>
      <c r="D192" s="8"/>
      <c r="E192" s="8"/>
      <c r="F192" s="8"/>
      <c r="G192" s="8"/>
    </row>
    <row r="193" spans="1:7" x14ac:dyDescent="0.3">
      <c r="A193" s="8"/>
      <c r="B193" s="8"/>
      <c r="C193" s="8"/>
      <c r="D193" s="8"/>
      <c r="E193" s="8"/>
      <c r="F193" s="8"/>
      <c r="G193" s="8"/>
    </row>
    <row r="194" spans="1:7" x14ac:dyDescent="0.3">
      <c r="A194" s="8"/>
      <c r="B194" s="8"/>
      <c r="C194" s="8"/>
      <c r="D194" s="8"/>
      <c r="E194" s="8"/>
      <c r="F194" s="8"/>
      <c r="G194" s="8"/>
    </row>
    <row r="195" spans="1:7" x14ac:dyDescent="0.3">
      <c r="A195" s="8"/>
      <c r="B195" s="8"/>
      <c r="C195" s="8"/>
      <c r="D195" s="8"/>
      <c r="E195" s="8"/>
      <c r="F195" s="8"/>
      <c r="G195" s="8"/>
    </row>
    <row r="196" spans="1:7" x14ac:dyDescent="0.3">
      <c r="A196" s="8"/>
      <c r="B196" s="8"/>
      <c r="C196" s="8"/>
      <c r="D196" s="8"/>
      <c r="E196" s="8"/>
      <c r="F196" s="8"/>
      <c r="G196" s="8"/>
    </row>
    <row r="197" spans="1:7" x14ac:dyDescent="0.3">
      <c r="A197" s="8"/>
      <c r="B197" s="8"/>
      <c r="C197" s="8"/>
      <c r="D197" s="8"/>
      <c r="E197" s="8"/>
      <c r="F197" s="8"/>
      <c r="G197" s="8"/>
    </row>
    <row r="198" spans="1:7" x14ac:dyDescent="0.3">
      <c r="A198" s="8"/>
      <c r="B198" s="8"/>
      <c r="C198" s="8"/>
      <c r="D198" s="8"/>
      <c r="E198" s="8"/>
      <c r="F198" s="8"/>
      <c r="G198" s="8"/>
    </row>
    <row r="199" spans="1:7" x14ac:dyDescent="0.3">
      <c r="A199" s="8"/>
      <c r="B199" s="8"/>
      <c r="C199" s="8"/>
      <c r="D199" s="8"/>
      <c r="E199" s="8"/>
      <c r="F199" s="8"/>
      <c r="G199" s="8"/>
    </row>
    <row r="200" spans="1:7" x14ac:dyDescent="0.3">
      <c r="A200" s="8"/>
      <c r="B200" s="8"/>
      <c r="C200" s="8"/>
      <c r="D200" s="8"/>
      <c r="E200" s="8"/>
      <c r="F200" s="8"/>
      <c r="G200" s="8"/>
    </row>
    <row r="201" spans="1:7" x14ac:dyDescent="0.3">
      <c r="A201" s="8"/>
      <c r="B201" s="8"/>
      <c r="C201" s="8"/>
      <c r="D201" s="8"/>
      <c r="E201" s="8"/>
      <c r="F201" s="8"/>
      <c r="G201" s="8"/>
    </row>
    <row r="202" spans="1:7" x14ac:dyDescent="0.3">
      <c r="A202" s="8"/>
      <c r="B202" s="8"/>
      <c r="C202" s="8"/>
      <c r="D202" s="8"/>
      <c r="E202" s="8"/>
      <c r="F202" s="8"/>
      <c r="G202" s="8"/>
    </row>
    <row r="203" spans="1:7" x14ac:dyDescent="0.3">
      <c r="A203" s="8"/>
      <c r="B203" s="8"/>
      <c r="C203" s="8"/>
      <c r="D203" s="8"/>
      <c r="E203" s="8"/>
      <c r="F203" s="8"/>
      <c r="G203" s="8"/>
    </row>
    <row r="204" spans="1:7" x14ac:dyDescent="0.3">
      <c r="A204" s="8"/>
      <c r="B204" s="8"/>
      <c r="C204" s="8"/>
      <c r="D204" s="8"/>
      <c r="E204" s="8"/>
      <c r="F204" s="8"/>
      <c r="G204" s="8"/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675A-B9F2-4422-A09A-030E5A9F1803}">
  <dimension ref="A1:C14"/>
  <sheetViews>
    <sheetView workbookViewId="0">
      <selection activeCell="E18" sqref="E18"/>
    </sheetView>
  </sheetViews>
  <sheetFormatPr defaultRowHeight="14.4" x14ac:dyDescent="0.3"/>
  <cols>
    <col min="1" max="1" width="15.5546875" customWidth="1"/>
    <col min="2" max="2" width="12.5546875" customWidth="1"/>
    <col min="3" max="3" width="14" customWidth="1"/>
  </cols>
  <sheetData>
    <row r="1" spans="1:3" x14ac:dyDescent="0.3">
      <c r="A1" t="s">
        <v>286</v>
      </c>
      <c r="B1" t="s">
        <v>289</v>
      </c>
      <c r="C1" t="s">
        <v>290</v>
      </c>
    </row>
    <row r="2" spans="1:3" x14ac:dyDescent="0.3">
      <c r="A2" t="s">
        <v>17</v>
      </c>
      <c r="B2">
        <v>885</v>
      </c>
      <c r="C2">
        <v>462</v>
      </c>
    </row>
    <row r="3" spans="1:3" x14ac:dyDescent="0.3">
      <c r="A3" t="s">
        <v>28</v>
      </c>
      <c r="B3">
        <v>496</v>
      </c>
      <c r="C3">
        <v>557</v>
      </c>
    </row>
    <row r="4" spans="1:3" x14ac:dyDescent="0.3">
      <c r="A4" t="s">
        <v>285</v>
      </c>
      <c r="B4">
        <v>249</v>
      </c>
      <c r="C4">
        <v>56</v>
      </c>
    </row>
    <row r="5" spans="1:3" x14ac:dyDescent="0.3">
      <c r="A5" t="s">
        <v>43</v>
      </c>
      <c r="B5">
        <v>209</v>
      </c>
      <c r="C5">
        <v>0</v>
      </c>
    </row>
    <row r="6" spans="1:3" x14ac:dyDescent="0.3">
      <c r="A6" t="s">
        <v>14</v>
      </c>
      <c r="B6">
        <v>295</v>
      </c>
      <c r="C6">
        <v>46</v>
      </c>
    </row>
    <row r="7" spans="1:3" x14ac:dyDescent="0.3">
      <c r="A7" t="s">
        <v>21</v>
      </c>
      <c r="B7">
        <v>140</v>
      </c>
      <c r="C7">
        <v>62</v>
      </c>
    </row>
    <row r="8" spans="1:3" x14ac:dyDescent="0.3">
      <c r="A8" t="s">
        <v>20</v>
      </c>
      <c r="B8">
        <v>53</v>
      </c>
      <c r="C8">
        <v>21</v>
      </c>
    </row>
    <row r="9" spans="1:3" x14ac:dyDescent="0.3">
      <c r="A9" t="s">
        <v>25</v>
      </c>
      <c r="B9">
        <v>38</v>
      </c>
      <c r="C9">
        <v>41</v>
      </c>
    </row>
    <row r="10" spans="1:3" x14ac:dyDescent="0.3">
      <c r="A10" t="s">
        <v>38</v>
      </c>
      <c r="B10">
        <v>36</v>
      </c>
      <c r="C10">
        <v>30</v>
      </c>
    </row>
    <row r="11" spans="1:3" x14ac:dyDescent="0.3">
      <c r="A11" t="s">
        <v>22</v>
      </c>
      <c r="B11">
        <v>15</v>
      </c>
      <c r="C11">
        <v>8</v>
      </c>
    </row>
    <row r="12" spans="1:3" x14ac:dyDescent="0.3">
      <c r="A12" t="s">
        <v>13</v>
      </c>
      <c r="B12">
        <v>7</v>
      </c>
      <c r="C12">
        <v>20</v>
      </c>
    </row>
    <row r="13" spans="1:3" x14ac:dyDescent="0.3">
      <c r="A13" t="s">
        <v>41</v>
      </c>
      <c r="B13">
        <v>5</v>
      </c>
      <c r="C13">
        <v>0</v>
      </c>
    </row>
    <row r="14" spans="1:3" x14ac:dyDescent="0.3">
      <c r="A14" t="s">
        <v>33</v>
      </c>
      <c r="B14">
        <v>0</v>
      </c>
      <c r="C14">
        <v>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357D-CC3B-45E7-9715-2F74ED49A679}">
  <dimension ref="A1:R203"/>
  <sheetViews>
    <sheetView topLeftCell="C1" zoomScale="85" zoomScaleNormal="85" workbookViewId="0">
      <selection activeCell="R203" sqref="R203"/>
    </sheetView>
  </sheetViews>
  <sheetFormatPr defaultRowHeight="14.4" x14ac:dyDescent="0.3"/>
  <cols>
    <col min="1" max="1" width="17.6640625" bestFit="1" customWidth="1"/>
    <col min="2" max="2" width="26.6640625" bestFit="1" customWidth="1"/>
    <col min="3" max="3" width="14.5546875" bestFit="1" customWidth="1"/>
    <col min="4" max="4" width="19.88671875" customWidth="1"/>
    <col min="5" max="5" width="15.21875" customWidth="1"/>
    <col min="6" max="6" width="18.6640625" customWidth="1"/>
    <col min="7" max="11" width="13.88671875" customWidth="1"/>
    <col min="12" max="12" width="17" customWidth="1"/>
    <col min="13" max="13" width="14.88671875" customWidth="1"/>
    <col min="14" max="14" width="13.21875" customWidth="1"/>
    <col min="15" max="15" width="22.109375" customWidth="1"/>
    <col min="16" max="16" width="9.5546875" bestFit="1" customWidth="1"/>
    <col min="17" max="17" width="16.6640625" bestFit="1" customWidth="1"/>
    <col min="18" max="18" width="18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7" t="s">
        <v>231</v>
      </c>
      <c r="G1" s="7" t="s">
        <v>232</v>
      </c>
      <c r="H1" s="7" t="s">
        <v>233</v>
      </c>
      <c r="I1" s="7" t="s">
        <v>234</v>
      </c>
      <c r="J1" s="7" t="s">
        <v>235</v>
      </c>
      <c r="K1" s="7" t="s">
        <v>236</v>
      </c>
      <c r="L1" s="7" t="s">
        <v>237</v>
      </c>
      <c r="M1" s="3" t="s">
        <v>5</v>
      </c>
      <c r="N1" t="s">
        <v>6</v>
      </c>
      <c r="O1" s="7" t="s">
        <v>182</v>
      </c>
      <c r="P1" s="7" t="s">
        <v>183</v>
      </c>
      <c r="Q1" s="7" t="s">
        <v>184</v>
      </c>
      <c r="R1" s="7" t="s">
        <v>185</v>
      </c>
    </row>
    <row r="2" spans="1:18" x14ac:dyDescent="0.3">
      <c r="A2" t="s">
        <v>31</v>
      </c>
      <c r="B2" t="s">
        <v>32</v>
      </c>
      <c r="C2" t="s">
        <v>21</v>
      </c>
      <c r="D2" s="3">
        <v>65</v>
      </c>
      <c r="E2" s="3">
        <v>700</v>
      </c>
      <c r="F2" s="8">
        <v>5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3" t="s">
        <v>10</v>
      </c>
      <c r="N2">
        <v>99</v>
      </c>
      <c r="O2" cm="1">
        <f t="array" ref="O2">_xlfn.XLOOKUP(C2,Table1[[#All],[Colour]],Table1[[#All],[Cost]],0)</f>
        <v>0</v>
      </c>
      <c r="P2">
        <f t="shared" ref="P2:P65" si="0">O2*D2</f>
        <v>0</v>
      </c>
      <c r="Q2">
        <f t="shared" ref="Q2:Q65" si="1">E2-P2</f>
        <v>700</v>
      </c>
      <c r="R2">
        <f t="shared" ref="R2:R65" si="2">Q2/E2*100</f>
        <v>100</v>
      </c>
    </row>
    <row r="3" spans="1:18" x14ac:dyDescent="0.3">
      <c r="A3" t="s">
        <v>29</v>
      </c>
      <c r="B3" t="s">
        <v>30</v>
      </c>
      <c r="C3" t="s">
        <v>21</v>
      </c>
      <c r="D3" s="3">
        <v>55</v>
      </c>
      <c r="E3" s="3">
        <v>615</v>
      </c>
      <c r="F3" s="8">
        <v>57</v>
      </c>
      <c r="G3" s="8">
        <v>35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3" t="s">
        <v>10</v>
      </c>
      <c r="N3">
        <v>93</v>
      </c>
      <c r="O3" cm="1">
        <f t="array" ref="O3">_xlfn.XLOOKUP(C3,Table1[[#All],[Colour]],Table1[[#All],[Cost]],0)</f>
        <v>0</v>
      </c>
      <c r="P3">
        <f t="shared" si="0"/>
        <v>0</v>
      </c>
      <c r="Q3">
        <f t="shared" si="1"/>
        <v>615</v>
      </c>
      <c r="R3">
        <f t="shared" si="2"/>
        <v>100</v>
      </c>
    </row>
    <row r="4" spans="1:18" x14ac:dyDescent="0.3">
      <c r="A4" t="s">
        <v>48</v>
      </c>
      <c r="B4" t="s">
        <v>49</v>
      </c>
      <c r="C4" s="2" t="s">
        <v>21</v>
      </c>
      <c r="D4" s="3">
        <v>55</v>
      </c>
      <c r="E4" s="3">
        <v>510</v>
      </c>
      <c r="F4" s="8">
        <v>53</v>
      </c>
      <c r="G4" s="8">
        <v>21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3" t="s">
        <v>10</v>
      </c>
      <c r="N4">
        <v>99</v>
      </c>
      <c r="O4" cm="1">
        <f t="array" ref="O4">_xlfn.XLOOKUP(C4,Table1[[#All],[Colour]],Table1[[#All],[Cost]],0)</f>
        <v>0</v>
      </c>
      <c r="P4">
        <f t="shared" si="0"/>
        <v>0</v>
      </c>
      <c r="Q4">
        <f t="shared" si="1"/>
        <v>510</v>
      </c>
      <c r="R4">
        <f t="shared" si="2"/>
        <v>100</v>
      </c>
    </row>
    <row r="5" spans="1:18" x14ac:dyDescent="0.3">
      <c r="A5" t="s">
        <v>31</v>
      </c>
      <c r="B5" t="s">
        <v>32</v>
      </c>
      <c r="C5" t="s">
        <v>33</v>
      </c>
      <c r="D5" s="3">
        <v>65</v>
      </c>
      <c r="E5" s="3">
        <v>700</v>
      </c>
      <c r="F5" s="8">
        <v>0</v>
      </c>
      <c r="G5" s="8">
        <v>5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3" t="s">
        <v>10</v>
      </c>
      <c r="N5">
        <v>98</v>
      </c>
      <c r="O5" cm="1">
        <f t="array" ref="O5">_xlfn.XLOOKUP(C5,Table1[[#All],[Colour]],Table1[[#All],[Cost]],0)</f>
        <v>3.2</v>
      </c>
      <c r="P5">
        <f t="shared" si="0"/>
        <v>208</v>
      </c>
      <c r="Q5">
        <f t="shared" si="1"/>
        <v>492</v>
      </c>
      <c r="R5">
        <f t="shared" si="2"/>
        <v>70.285714285714278</v>
      </c>
    </row>
    <row r="6" spans="1:18" x14ac:dyDescent="0.3">
      <c r="A6" t="s">
        <v>31</v>
      </c>
      <c r="B6" t="s">
        <v>32</v>
      </c>
      <c r="C6" t="s">
        <v>17</v>
      </c>
      <c r="D6" s="3">
        <v>65</v>
      </c>
      <c r="E6" s="3">
        <v>700</v>
      </c>
      <c r="F6" s="8">
        <v>53</v>
      </c>
      <c r="G6" s="8">
        <v>28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3" t="s">
        <v>10</v>
      </c>
      <c r="N6">
        <v>93</v>
      </c>
      <c r="O6" cm="1">
        <f t="array" ref="O6">_xlfn.XLOOKUP(C6,Table1[[#All],[Colour]],Table1[[#All],[Cost]],0)</f>
        <v>3.2</v>
      </c>
      <c r="P6">
        <f t="shared" si="0"/>
        <v>208</v>
      </c>
      <c r="Q6">
        <f t="shared" si="1"/>
        <v>492</v>
      </c>
      <c r="R6">
        <f t="shared" si="2"/>
        <v>70.285714285714278</v>
      </c>
    </row>
    <row r="7" spans="1:18" x14ac:dyDescent="0.3">
      <c r="A7" t="s">
        <v>86</v>
      </c>
      <c r="B7" t="s">
        <v>87</v>
      </c>
      <c r="C7" t="s">
        <v>17</v>
      </c>
      <c r="D7" s="3">
        <v>60</v>
      </c>
      <c r="E7" s="3">
        <v>650</v>
      </c>
      <c r="F7" s="8">
        <v>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3" t="s">
        <v>10</v>
      </c>
      <c r="N7">
        <v>92</v>
      </c>
      <c r="O7" cm="1">
        <f t="array" ref="O7">_xlfn.XLOOKUP(C7,Table1[[#All],[Colour]],Table1[[#All],[Cost]],0)</f>
        <v>3.2</v>
      </c>
      <c r="P7">
        <f t="shared" si="0"/>
        <v>192</v>
      </c>
      <c r="Q7">
        <f t="shared" si="1"/>
        <v>458</v>
      </c>
      <c r="R7">
        <f t="shared" si="2"/>
        <v>70.461538461538467</v>
      </c>
    </row>
    <row r="8" spans="1:18" x14ac:dyDescent="0.3">
      <c r="A8" t="s">
        <v>86</v>
      </c>
      <c r="B8" t="s">
        <v>87</v>
      </c>
      <c r="C8" t="s">
        <v>38</v>
      </c>
      <c r="D8" s="3">
        <v>60</v>
      </c>
      <c r="E8" s="3">
        <v>650</v>
      </c>
      <c r="F8" s="8">
        <v>5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3" t="s">
        <v>10</v>
      </c>
      <c r="N8">
        <v>99</v>
      </c>
      <c r="O8" cm="1">
        <f t="array" ref="O8">_xlfn.XLOOKUP(C8,Table1[[#All],[Colour]],Table1[[#All],[Cost]],0)</f>
        <v>3.2</v>
      </c>
      <c r="P8">
        <f t="shared" si="0"/>
        <v>192</v>
      </c>
      <c r="Q8">
        <f t="shared" si="1"/>
        <v>458</v>
      </c>
      <c r="R8">
        <f t="shared" si="2"/>
        <v>70.461538461538467</v>
      </c>
    </row>
    <row r="9" spans="1:18" x14ac:dyDescent="0.3">
      <c r="A9" t="s">
        <v>31</v>
      </c>
      <c r="B9" t="s">
        <v>32</v>
      </c>
      <c r="C9" t="s">
        <v>12</v>
      </c>
      <c r="D9" s="3">
        <v>65</v>
      </c>
      <c r="E9" s="3">
        <v>650</v>
      </c>
      <c r="F9" s="8">
        <v>158</v>
      </c>
      <c r="G9" s="8">
        <v>113</v>
      </c>
      <c r="H9" s="8">
        <v>250</v>
      </c>
      <c r="I9" s="8">
        <v>0</v>
      </c>
      <c r="J9" s="8">
        <v>0</v>
      </c>
      <c r="K9" s="8">
        <v>0</v>
      </c>
      <c r="L9" s="8">
        <v>0</v>
      </c>
      <c r="M9" s="3" t="s">
        <v>10</v>
      </c>
      <c r="N9">
        <v>97</v>
      </c>
      <c r="O9" cm="1">
        <f t="array" ref="O9">_xlfn.XLOOKUP(C9,Table1[[#All],[Colour]],Table1[[#All],[Cost]],0)</f>
        <v>3</v>
      </c>
      <c r="P9">
        <f t="shared" si="0"/>
        <v>195</v>
      </c>
      <c r="Q9">
        <f t="shared" si="1"/>
        <v>455</v>
      </c>
      <c r="R9">
        <f t="shared" si="2"/>
        <v>70</v>
      </c>
    </row>
    <row r="10" spans="1:18" x14ac:dyDescent="0.3">
      <c r="A10" t="s">
        <v>31</v>
      </c>
      <c r="B10" t="s">
        <v>32</v>
      </c>
      <c r="C10" t="s">
        <v>25</v>
      </c>
      <c r="D10" s="3">
        <v>65</v>
      </c>
      <c r="E10" s="3">
        <v>650</v>
      </c>
      <c r="F10" s="8">
        <v>3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3" t="s">
        <v>10</v>
      </c>
      <c r="N10">
        <v>98</v>
      </c>
      <c r="O10" cm="1">
        <f t="array" ref="O10">_xlfn.XLOOKUP(C10,Table1[[#All],[Colour]],Table1[[#All],[Cost]],0)</f>
        <v>3</v>
      </c>
      <c r="P10">
        <f t="shared" si="0"/>
        <v>195</v>
      </c>
      <c r="Q10">
        <f t="shared" si="1"/>
        <v>455</v>
      </c>
      <c r="R10">
        <f t="shared" si="2"/>
        <v>70</v>
      </c>
    </row>
    <row r="11" spans="1:18" hidden="1" x14ac:dyDescent="0.3">
      <c r="A11" t="s">
        <v>29</v>
      </c>
      <c r="B11" t="s">
        <v>30</v>
      </c>
      <c r="C11" t="s">
        <v>12</v>
      </c>
      <c r="D11" s="3">
        <v>55</v>
      </c>
      <c r="E11" s="3">
        <v>600</v>
      </c>
      <c r="F11" s="8">
        <v>66</v>
      </c>
      <c r="G11" s="8">
        <v>35</v>
      </c>
      <c r="H11" s="8">
        <v>12</v>
      </c>
      <c r="I11" s="8">
        <v>15</v>
      </c>
      <c r="J11" s="8">
        <v>33</v>
      </c>
      <c r="K11" s="8">
        <v>50</v>
      </c>
      <c r="L11" s="8">
        <v>45</v>
      </c>
      <c r="M11" s="3" t="s">
        <v>10</v>
      </c>
      <c r="N11">
        <v>94</v>
      </c>
      <c r="O11" cm="1">
        <f t="array" ref="O11">_xlfn.XLOOKUP(C11,Table1[[#All],[Colour]],Table1[[#All],[Cost]],0)</f>
        <v>3</v>
      </c>
      <c r="P11">
        <f t="shared" si="0"/>
        <v>165</v>
      </c>
      <c r="Q11">
        <f t="shared" si="1"/>
        <v>435</v>
      </c>
      <c r="R11">
        <f t="shared" si="2"/>
        <v>72.5</v>
      </c>
    </row>
    <row r="12" spans="1:18" x14ac:dyDescent="0.3">
      <c r="A12" t="s">
        <v>29</v>
      </c>
      <c r="B12" t="s">
        <v>30</v>
      </c>
      <c r="C12" t="s">
        <v>17</v>
      </c>
      <c r="D12" s="3">
        <v>55</v>
      </c>
      <c r="E12" s="3">
        <v>600</v>
      </c>
      <c r="F12" s="8">
        <v>35</v>
      </c>
      <c r="G12" s="8">
        <v>14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3" t="s">
        <v>10</v>
      </c>
      <c r="N12">
        <v>90</v>
      </c>
      <c r="O12" cm="1">
        <f t="array" ref="O12">_xlfn.XLOOKUP(C12,Table1[[#All],[Colour]],Table1[[#All],[Cost]],0)</f>
        <v>3.2</v>
      </c>
      <c r="P12">
        <f t="shared" si="0"/>
        <v>176</v>
      </c>
      <c r="Q12">
        <f t="shared" si="1"/>
        <v>424</v>
      </c>
      <c r="R12">
        <f t="shared" si="2"/>
        <v>70.666666666666671</v>
      </c>
    </row>
    <row r="13" spans="1:18" hidden="1" x14ac:dyDescent="0.3">
      <c r="A13" t="s">
        <v>86</v>
      </c>
      <c r="B13" t="s">
        <v>87</v>
      </c>
      <c r="C13" t="s">
        <v>9</v>
      </c>
      <c r="D13" s="3">
        <v>60</v>
      </c>
      <c r="E13" s="3">
        <v>579</v>
      </c>
      <c r="F13" s="8">
        <v>0</v>
      </c>
      <c r="G13" s="8">
        <v>0</v>
      </c>
      <c r="H13" s="8">
        <v>0</v>
      </c>
      <c r="I13" s="8">
        <v>0</v>
      </c>
      <c r="J13" s="8">
        <v>12</v>
      </c>
      <c r="K13" s="8">
        <v>0</v>
      </c>
      <c r="L13" s="8">
        <v>0</v>
      </c>
      <c r="M13" s="3" t="s">
        <v>10</v>
      </c>
      <c r="N13">
        <v>96</v>
      </c>
      <c r="O13" cm="1">
        <f t="array" ref="O13">_xlfn.XLOOKUP(C13,Table1[[#All],[Colour]],Table1[[#All],[Cost]],0)</f>
        <v>2.8</v>
      </c>
      <c r="P13">
        <f t="shared" si="0"/>
        <v>168</v>
      </c>
      <c r="Q13">
        <f t="shared" si="1"/>
        <v>411</v>
      </c>
      <c r="R13">
        <f t="shared" si="2"/>
        <v>70.984455958549219</v>
      </c>
    </row>
    <row r="14" spans="1:18" x14ac:dyDescent="0.3">
      <c r="A14" t="s">
        <v>86</v>
      </c>
      <c r="B14" t="s">
        <v>87</v>
      </c>
      <c r="C14" t="s">
        <v>12</v>
      </c>
      <c r="D14" s="3">
        <v>60</v>
      </c>
      <c r="E14" s="3">
        <v>589</v>
      </c>
      <c r="F14" s="8">
        <v>10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3" t="s">
        <v>10</v>
      </c>
      <c r="N14">
        <v>90</v>
      </c>
      <c r="O14" cm="1">
        <f t="array" ref="O14">_xlfn.XLOOKUP(C14,Table1[[#All],[Colour]],Table1[[#All],[Cost]],0)</f>
        <v>3</v>
      </c>
      <c r="P14">
        <f t="shared" si="0"/>
        <v>180</v>
      </c>
      <c r="Q14">
        <f t="shared" si="1"/>
        <v>409</v>
      </c>
      <c r="R14">
        <f t="shared" si="2"/>
        <v>69.439728353140922</v>
      </c>
    </row>
    <row r="15" spans="1:18" x14ac:dyDescent="0.3">
      <c r="A15" t="s">
        <v>31</v>
      </c>
      <c r="B15" t="s">
        <v>32</v>
      </c>
      <c r="C15" t="s">
        <v>9</v>
      </c>
      <c r="D15" s="3">
        <v>65</v>
      </c>
      <c r="E15" s="3">
        <v>584</v>
      </c>
      <c r="F15" s="8">
        <v>51</v>
      </c>
      <c r="G15" s="8">
        <v>78</v>
      </c>
      <c r="H15" s="8">
        <v>193</v>
      </c>
      <c r="I15" s="8">
        <v>0</v>
      </c>
      <c r="J15" s="8">
        <v>0</v>
      </c>
      <c r="K15" s="8">
        <v>0</v>
      </c>
      <c r="L15" s="8">
        <v>0</v>
      </c>
      <c r="M15" s="3" t="s">
        <v>10</v>
      </c>
      <c r="N15">
        <v>94</v>
      </c>
      <c r="O15" cm="1">
        <f t="array" ref="O15">_xlfn.XLOOKUP(C15,Table1[[#All],[Colour]],Table1[[#All],[Cost]],0)</f>
        <v>2.8</v>
      </c>
      <c r="P15">
        <f t="shared" si="0"/>
        <v>182</v>
      </c>
      <c r="Q15">
        <f t="shared" si="1"/>
        <v>402</v>
      </c>
      <c r="R15">
        <f t="shared" si="2"/>
        <v>68.835616438356169</v>
      </c>
    </row>
    <row r="16" spans="1:18" x14ac:dyDescent="0.3">
      <c r="A16" t="s">
        <v>50</v>
      </c>
      <c r="B16" s="2" t="s">
        <v>51</v>
      </c>
      <c r="C16" s="2" t="s">
        <v>21</v>
      </c>
      <c r="D16" s="3">
        <v>40</v>
      </c>
      <c r="E16" s="3">
        <v>399</v>
      </c>
      <c r="F16" s="8">
        <v>30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3" t="s">
        <v>10</v>
      </c>
      <c r="N16">
        <v>99</v>
      </c>
      <c r="O16" cm="1">
        <f t="array" ref="O16">_xlfn.XLOOKUP(C16,Table1[[#All],[Colour]],Table1[[#All],[Cost]],0)</f>
        <v>0</v>
      </c>
      <c r="P16">
        <f t="shared" si="0"/>
        <v>0</v>
      </c>
      <c r="Q16">
        <f t="shared" si="1"/>
        <v>399</v>
      </c>
      <c r="R16">
        <f t="shared" si="2"/>
        <v>100</v>
      </c>
    </row>
    <row r="17" spans="1:18" hidden="1" x14ac:dyDescent="0.3">
      <c r="A17" t="s">
        <v>29</v>
      </c>
      <c r="B17" t="s">
        <v>30</v>
      </c>
      <c r="C17" t="s">
        <v>9</v>
      </c>
      <c r="D17" s="3">
        <v>55</v>
      </c>
      <c r="E17" s="3">
        <v>530</v>
      </c>
      <c r="F17" s="8">
        <v>58</v>
      </c>
      <c r="G17" s="8">
        <v>75</v>
      </c>
      <c r="H17" s="8">
        <v>39</v>
      </c>
      <c r="I17" s="8">
        <v>16</v>
      </c>
      <c r="J17" s="8">
        <v>21</v>
      </c>
      <c r="K17" s="8">
        <v>60</v>
      </c>
      <c r="L17" s="8">
        <v>64</v>
      </c>
      <c r="M17" s="3" t="s">
        <v>10</v>
      </c>
      <c r="N17">
        <v>100</v>
      </c>
      <c r="O17" cm="1">
        <f t="array" ref="O17">_xlfn.XLOOKUP(C17,Table1[[#All],[Colour]],Table1[[#All],[Cost]],0)</f>
        <v>2.8</v>
      </c>
      <c r="P17">
        <f t="shared" si="0"/>
        <v>154</v>
      </c>
      <c r="Q17">
        <f t="shared" si="1"/>
        <v>376</v>
      </c>
      <c r="R17">
        <f t="shared" si="2"/>
        <v>70.943396226415089</v>
      </c>
    </row>
    <row r="18" spans="1:18" hidden="1" x14ac:dyDescent="0.3">
      <c r="A18" t="s">
        <v>142</v>
      </c>
      <c r="B18" t="s">
        <v>143</v>
      </c>
      <c r="C18" s="2" t="s">
        <v>9</v>
      </c>
      <c r="D18" s="3">
        <v>40</v>
      </c>
      <c r="E18" s="3">
        <v>450</v>
      </c>
      <c r="F18" s="8">
        <v>487</v>
      </c>
      <c r="G18" s="8">
        <v>450</v>
      </c>
      <c r="H18" s="8">
        <v>954</v>
      </c>
      <c r="I18" s="8">
        <v>25</v>
      </c>
      <c r="J18" s="8">
        <v>0</v>
      </c>
      <c r="K18" s="8">
        <v>0</v>
      </c>
      <c r="L18" s="8">
        <v>0</v>
      </c>
      <c r="M18" s="3" t="s">
        <v>144</v>
      </c>
      <c r="N18">
        <v>90</v>
      </c>
      <c r="O18" cm="1">
        <f t="array" ref="O18">_xlfn.XLOOKUP(C18,Table1[[#All],[Colour]],Table1[[#All],[Cost]],0)</f>
        <v>2.8</v>
      </c>
      <c r="P18">
        <f t="shared" si="0"/>
        <v>112</v>
      </c>
      <c r="Q18">
        <f t="shared" si="1"/>
        <v>338</v>
      </c>
      <c r="R18">
        <f t="shared" si="2"/>
        <v>75.1111111111111</v>
      </c>
    </row>
    <row r="19" spans="1:18" x14ac:dyDescent="0.3">
      <c r="A19" t="s">
        <v>48</v>
      </c>
      <c r="B19" t="s">
        <v>49</v>
      </c>
      <c r="C19" s="2" t="s">
        <v>17</v>
      </c>
      <c r="D19" s="3">
        <v>55</v>
      </c>
      <c r="E19" s="3">
        <v>510</v>
      </c>
      <c r="F19" s="8">
        <v>33</v>
      </c>
      <c r="G19" s="8">
        <v>15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3" t="s">
        <v>10</v>
      </c>
      <c r="N19">
        <v>98</v>
      </c>
      <c r="O19" cm="1">
        <f t="array" ref="O19">_xlfn.XLOOKUP(C19,Table1[[#All],[Colour]],Table1[[#All],[Cost]],0)</f>
        <v>3.2</v>
      </c>
      <c r="P19">
        <f t="shared" si="0"/>
        <v>176</v>
      </c>
      <c r="Q19">
        <f t="shared" si="1"/>
        <v>334</v>
      </c>
      <c r="R19">
        <f t="shared" si="2"/>
        <v>65.490196078431367</v>
      </c>
    </row>
    <row r="20" spans="1:18" x14ac:dyDescent="0.3">
      <c r="A20" t="s">
        <v>92</v>
      </c>
      <c r="B20" t="s">
        <v>93</v>
      </c>
      <c r="C20" t="s">
        <v>38</v>
      </c>
      <c r="D20" s="3">
        <v>55</v>
      </c>
      <c r="E20" s="3">
        <v>500</v>
      </c>
      <c r="F20" s="8">
        <v>0</v>
      </c>
      <c r="G20" s="8">
        <v>1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3" t="s">
        <v>10</v>
      </c>
      <c r="N20">
        <v>93</v>
      </c>
      <c r="O20" cm="1">
        <f t="array" ref="O20">_xlfn.XLOOKUP(C20,Table1[[#All],[Colour]],Table1[[#All],[Cost]],0)</f>
        <v>3.2</v>
      </c>
      <c r="P20">
        <f t="shared" si="0"/>
        <v>176</v>
      </c>
      <c r="Q20">
        <f t="shared" si="1"/>
        <v>324</v>
      </c>
      <c r="R20">
        <f t="shared" si="2"/>
        <v>64.8</v>
      </c>
    </row>
    <row r="21" spans="1:18" x14ac:dyDescent="0.3">
      <c r="A21" t="s">
        <v>92</v>
      </c>
      <c r="B21" t="s">
        <v>93</v>
      </c>
      <c r="C21" t="s">
        <v>17</v>
      </c>
      <c r="D21" s="3">
        <v>55</v>
      </c>
      <c r="E21" s="3">
        <v>500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3" t="s">
        <v>10</v>
      </c>
      <c r="N21">
        <v>100</v>
      </c>
      <c r="O21" cm="1">
        <f t="array" ref="O21">_xlfn.XLOOKUP(C21,Table1[[#All],[Colour]],Table1[[#All],[Cost]],0)</f>
        <v>3.2</v>
      </c>
      <c r="P21">
        <f t="shared" si="0"/>
        <v>176</v>
      </c>
      <c r="Q21">
        <f t="shared" si="1"/>
        <v>324</v>
      </c>
      <c r="R21">
        <f t="shared" si="2"/>
        <v>64.8</v>
      </c>
    </row>
    <row r="22" spans="1:18" x14ac:dyDescent="0.3">
      <c r="A22" t="s">
        <v>92</v>
      </c>
      <c r="B22" t="s">
        <v>93</v>
      </c>
      <c r="C22" t="s">
        <v>12</v>
      </c>
      <c r="D22" s="3">
        <v>55</v>
      </c>
      <c r="E22" s="3">
        <v>470</v>
      </c>
      <c r="F22" s="8">
        <v>2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3" t="s">
        <v>10</v>
      </c>
      <c r="N22">
        <v>96</v>
      </c>
      <c r="O22" cm="1">
        <f t="array" ref="O22">_xlfn.XLOOKUP(C22,Table1[[#All],[Colour]],Table1[[#All],[Cost]],0)</f>
        <v>3</v>
      </c>
      <c r="P22">
        <f t="shared" si="0"/>
        <v>165</v>
      </c>
      <c r="Q22">
        <f t="shared" si="1"/>
        <v>305</v>
      </c>
      <c r="R22">
        <f t="shared" si="2"/>
        <v>64.893617021276597</v>
      </c>
    </row>
    <row r="23" spans="1:18" hidden="1" x14ac:dyDescent="0.3">
      <c r="A23" t="s">
        <v>92</v>
      </c>
      <c r="B23" t="s">
        <v>93</v>
      </c>
      <c r="C23" t="s">
        <v>9</v>
      </c>
      <c r="D23" s="3">
        <v>55</v>
      </c>
      <c r="E23" s="3">
        <v>450</v>
      </c>
      <c r="F23" s="8">
        <v>7</v>
      </c>
      <c r="G23" s="8">
        <v>2</v>
      </c>
      <c r="H23" s="8">
        <v>3</v>
      </c>
      <c r="I23" s="8">
        <v>1</v>
      </c>
      <c r="J23" s="8">
        <v>8</v>
      </c>
      <c r="K23" s="8">
        <v>0</v>
      </c>
      <c r="L23" s="8">
        <v>0</v>
      </c>
      <c r="M23" s="3" t="s">
        <v>10</v>
      </c>
      <c r="N23">
        <v>95</v>
      </c>
      <c r="O23" cm="1">
        <f t="array" ref="O23">_xlfn.XLOOKUP(C23,Table1[[#All],[Colour]],Table1[[#All],[Cost]],0)</f>
        <v>2.8</v>
      </c>
      <c r="P23">
        <f t="shared" si="0"/>
        <v>154</v>
      </c>
      <c r="Q23">
        <f t="shared" si="1"/>
        <v>296</v>
      </c>
      <c r="R23">
        <f t="shared" si="2"/>
        <v>65.777777777777786</v>
      </c>
    </row>
    <row r="24" spans="1:18" x14ac:dyDescent="0.3">
      <c r="A24" t="s">
        <v>88</v>
      </c>
      <c r="B24" t="s">
        <v>89</v>
      </c>
      <c r="C24" t="s">
        <v>21</v>
      </c>
      <c r="D24" s="3">
        <v>40</v>
      </c>
      <c r="E24" s="3">
        <v>290</v>
      </c>
      <c r="F24" s="8">
        <v>0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3" t="s">
        <v>10</v>
      </c>
      <c r="N24">
        <v>90</v>
      </c>
      <c r="O24" cm="1">
        <f t="array" ref="O24">_xlfn.XLOOKUP(C24,Table1[[#All],[Colour]],Table1[[#All],[Cost]],0)</f>
        <v>0</v>
      </c>
      <c r="P24">
        <f t="shared" si="0"/>
        <v>0</v>
      </c>
      <c r="Q24">
        <f t="shared" si="1"/>
        <v>290</v>
      </c>
      <c r="R24">
        <f t="shared" si="2"/>
        <v>100</v>
      </c>
    </row>
    <row r="25" spans="1:18" x14ac:dyDescent="0.3">
      <c r="A25" t="s">
        <v>50</v>
      </c>
      <c r="B25" s="2" t="s">
        <v>51</v>
      </c>
      <c r="C25" s="2" t="s">
        <v>17</v>
      </c>
      <c r="D25" s="3">
        <v>40</v>
      </c>
      <c r="E25" s="3">
        <v>399</v>
      </c>
      <c r="F25" s="8">
        <v>55</v>
      </c>
      <c r="G25" s="8">
        <v>45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3" t="s">
        <v>10</v>
      </c>
      <c r="N25">
        <v>98</v>
      </c>
      <c r="O25" cm="1">
        <f t="array" ref="O25">_xlfn.XLOOKUP(C25,Table1[[#All],[Colour]],Table1[[#All],[Cost]],0)</f>
        <v>3.2</v>
      </c>
      <c r="P25">
        <f t="shared" si="0"/>
        <v>128</v>
      </c>
      <c r="Q25">
        <f t="shared" si="1"/>
        <v>271</v>
      </c>
      <c r="R25">
        <f t="shared" si="2"/>
        <v>67.919799498746869</v>
      </c>
    </row>
    <row r="26" spans="1:18" x14ac:dyDescent="0.3">
      <c r="A26" t="s">
        <v>18</v>
      </c>
      <c r="B26" t="s">
        <v>19</v>
      </c>
      <c r="C26" t="s">
        <v>20</v>
      </c>
      <c r="D26" s="3">
        <v>35</v>
      </c>
      <c r="E26" s="3">
        <v>250</v>
      </c>
      <c r="F26" s="8">
        <v>26</v>
      </c>
      <c r="G26" s="8">
        <v>13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3" t="s">
        <v>10</v>
      </c>
      <c r="N26">
        <v>95</v>
      </c>
      <c r="O26" cm="1">
        <f t="array" ref="O26">_xlfn.XLOOKUP(C26,Table1[[#All],[Colour]],Table1[[#All],[Cost]],0)</f>
        <v>0</v>
      </c>
      <c r="P26">
        <f t="shared" si="0"/>
        <v>0</v>
      </c>
      <c r="Q26">
        <f t="shared" si="1"/>
        <v>250</v>
      </c>
      <c r="R26">
        <f t="shared" si="2"/>
        <v>100</v>
      </c>
    </row>
    <row r="27" spans="1:18" x14ac:dyDescent="0.3">
      <c r="A27" t="s">
        <v>18</v>
      </c>
      <c r="B27" t="s">
        <v>19</v>
      </c>
      <c r="C27" t="s">
        <v>21</v>
      </c>
      <c r="D27" s="3">
        <v>35</v>
      </c>
      <c r="E27" s="3">
        <v>250</v>
      </c>
      <c r="F27" s="8">
        <v>135</v>
      </c>
      <c r="G27" s="8">
        <v>78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3" t="s">
        <v>10</v>
      </c>
      <c r="N27">
        <v>95</v>
      </c>
      <c r="O27" cm="1">
        <f t="array" ref="O27">_xlfn.XLOOKUP(C27,Table1[[#All],[Colour]],Table1[[#All],[Cost]],0)</f>
        <v>0</v>
      </c>
      <c r="P27">
        <f t="shared" si="0"/>
        <v>0</v>
      </c>
      <c r="Q27">
        <f t="shared" si="1"/>
        <v>250</v>
      </c>
      <c r="R27">
        <f t="shared" si="2"/>
        <v>100</v>
      </c>
    </row>
    <row r="28" spans="1:18" x14ac:dyDescent="0.3">
      <c r="A28" t="s">
        <v>84</v>
      </c>
      <c r="B28" t="s">
        <v>85</v>
      </c>
      <c r="C28" t="s">
        <v>17</v>
      </c>
      <c r="D28" s="3">
        <v>47</v>
      </c>
      <c r="E28" s="3">
        <v>400</v>
      </c>
      <c r="F28" s="8">
        <v>5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3" t="s">
        <v>10</v>
      </c>
      <c r="N28">
        <v>90</v>
      </c>
      <c r="O28" cm="1">
        <f t="array" ref="O28">_xlfn.XLOOKUP(C28,Table1[[#All],[Colour]],Table1[[#All],[Cost]],0)</f>
        <v>3.2</v>
      </c>
      <c r="P28">
        <f t="shared" si="0"/>
        <v>150.4</v>
      </c>
      <c r="Q28">
        <f t="shared" si="1"/>
        <v>249.6</v>
      </c>
      <c r="R28">
        <f t="shared" si="2"/>
        <v>62.4</v>
      </c>
    </row>
    <row r="29" spans="1:18" x14ac:dyDescent="0.3">
      <c r="A29" t="s">
        <v>84</v>
      </c>
      <c r="B29" t="s">
        <v>85</v>
      </c>
      <c r="C29" t="s">
        <v>38</v>
      </c>
      <c r="D29" s="3">
        <v>47</v>
      </c>
      <c r="E29" s="3">
        <v>400</v>
      </c>
      <c r="F29" s="8">
        <v>0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3" t="s">
        <v>10</v>
      </c>
      <c r="N29">
        <v>90</v>
      </c>
      <c r="O29" cm="1">
        <f t="array" ref="O29">_xlfn.XLOOKUP(C29,Table1[[#All],[Colour]],Table1[[#All],[Cost]],0)</f>
        <v>3.2</v>
      </c>
      <c r="P29">
        <f t="shared" si="0"/>
        <v>150.4</v>
      </c>
      <c r="Q29">
        <f t="shared" si="1"/>
        <v>249.6</v>
      </c>
      <c r="R29">
        <f t="shared" si="2"/>
        <v>62.4</v>
      </c>
    </row>
    <row r="30" spans="1:18" hidden="1" x14ac:dyDescent="0.3">
      <c r="A30" t="s">
        <v>50</v>
      </c>
      <c r="B30" s="2" t="s">
        <v>51</v>
      </c>
      <c r="C30" s="2" t="s">
        <v>9</v>
      </c>
      <c r="D30" s="3">
        <v>40</v>
      </c>
      <c r="E30" s="3">
        <v>359</v>
      </c>
      <c r="F30" s="8">
        <v>41</v>
      </c>
      <c r="G30" s="8">
        <v>106</v>
      </c>
      <c r="H30" s="8">
        <v>81</v>
      </c>
      <c r="I30" s="8">
        <v>215</v>
      </c>
      <c r="J30" s="8">
        <v>255</v>
      </c>
      <c r="K30" s="8">
        <v>72</v>
      </c>
      <c r="L30" s="8">
        <v>21</v>
      </c>
      <c r="M30" s="3" t="s">
        <v>10</v>
      </c>
      <c r="N30">
        <v>93</v>
      </c>
      <c r="O30" cm="1">
        <f t="array" ref="O30">_xlfn.XLOOKUP(C30,Table1[[#All],[Colour]],Table1[[#All],[Cost]],0)</f>
        <v>2.8</v>
      </c>
      <c r="P30">
        <f t="shared" si="0"/>
        <v>112</v>
      </c>
      <c r="Q30">
        <f t="shared" si="1"/>
        <v>247</v>
      </c>
      <c r="R30">
        <f t="shared" si="2"/>
        <v>68.80222841225627</v>
      </c>
    </row>
    <row r="31" spans="1:18" hidden="1" x14ac:dyDescent="0.3">
      <c r="A31" t="s">
        <v>48</v>
      </c>
      <c r="B31" t="s">
        <v>49</v>
      </c>
      <c r="C31" s="2" t="s">
        <v>12</v>
      </c>
      <c r="D31" s="3">
        <v>55</v>
      </c>
      <c r="E31" s="3">
        <v>400</v>
      </c>
      <c r="F31" s="8">
        <v>25</v>
      </c>
      <c r="G31" s="8">
        <v>30</v>
      </c>
      <c r="H31" s="8">
        <v>23</v>
      </c>
      <c r="I31" s="8">
        <v>22</v>
      </c>
      <c r="J31" s="8">
        <v>35</v>
      </c>
      <c r="K31" s="8">
        <v>135</v>
      </c>
      <c r="L31" s="8">
        <v>142</v>
      </c>
      <c r="M31" s="3" t="s">
        <v>10</v>
      </c>
      <c r="N31">
        <v>95</v>
      </c>
      <c r="O31" cm="1">
        <f t="array" ref="O31">_xlfn.XLOOKUP(C31,Table1[[#All],[Colour]],Table1[[#All],[Cost]],0)</f>
        <v>3</v>
      </c>
      <c r="P31">
        <f t="shared" si="0"/>
        <v>165</v>
      </c>
      <c r="Q31">
        <f t="shared" si="1"/>
        <v>235</v>
      </c>
      <c r="R31">
        <f t="shared" si="2"/>
        <v>58.75</v>
      </c>
    </row>
    <row r="32" spans="1:18" x14ac:dyDescent="0.3">
      <c r="A32" t="s">
        <v>84</v>
      </c>
      <c r="B32" t="s">
        <v>85</v>
      </c>
      <c r="C32" t="s">
        <v>12</v>
      </c>
      <c r="D32" s="3">
        <v>47</v>
      </c>
      <c r="E32" s="3">
        <v>370</v>
      </c>
      <c r="F32" s="8">
        <v>3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3" t="s">
        <v>10</v>
      </c>
      <c r="N32">
        <v>97</v>
      </c>
      <c r="O32" cm="1">
        <f t="array" ref="O32">_xlfn.XLOOKUP(C32,Table1[[#All],[Colour]],Table1[[#All],[Cost]],0)</f>
        <v>3</v>
      </c>
      <c r="P32">
        <f t="shared" si="0"/>
        <v>141</v>
      </c>
      <c r="Q32">
        <f t="shared" si="1"/>
        <v>229</v>
      </c>
      <c r="R32">
        <f t="shared" si="2"/>
        <v>61.891891891891895</v>
      </c>
    </row>
    <row r="33" spans="1:18" x14ac:dyDescent="0.3">
      <c r="A33" t="s">
        <v>84</v>
      </c>
      <c r="B33" t="s">
        <v>85</v>
      </c>
      <c r="C33" t="s">
        <v>43</v>
      </c>
      <c r="D33" s="3">
        <v>47</v>
      </c>
      <c r="E33" s="3">
        <v>370</v>
      </c>
      <c r="F33" s="8">
        <v>2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3" t="s">
        <v>10</v>
      </c>
      <c r="N33">
        <v>99</v>
      </c>
      <c r="O33" cm="1">
        <f t="array" ref="O33">_xlfn.XLOOKUP(C33,Table1[[#All],[Colour]],Table1[[#All],[Cost]],0)</f>
        <v>3</v>
      </c>
      <c r="P33">
        <f t="shared" si="0"/>
        <v>141</v>
      </c>
      <c r="Q33">
        <f t="shared" si="1"/>
        <v>229</v>
      </c>
      <c r="R33">
        <f t="shared" si="2"/>
        <v>61.891891891891895</v>
      </c>
    </row>
    <row r="34" spans="1:18" hidden="1" x14ac:dyDescent="0.3">
      <c r="A34" t="s">
        <v>48</v>
      </c>
      <c r="B34" t="s">
        <v>49</v>
      </c>
      <c r="C34" s="2" t="s">
        <v>9</v>
      </c>
      <c r="D34" s="3">
        <v>55</v>
      </c>
      <c r="E34" s="3">
        <v>375</v>
      </c>
      <c r="F34" s="8">
        <v>36</v>
      </c>
      <c r="G34" s="8">
        <v>40</v>
      </c>
      <c r="H34" s="8">
        <v>45</v>
      </c>
      <c r="I34" s="8">
        <v>141</v>
      </c>
      <c r="J34" s="8">
        <v>156</v>
      </c>
      <c r="K34" s="8">
        <v>73</v>
      </c>
      <c r="L34" s="8">
        <v>39</v>
      </c>
      <c r="M34" s="3" t="s">
        <v>10</v>
      </c>
      <c r="N34">
        <v>92</v>
      </c>
      <c r="O34" cm="1">
        <f t="array" ref="O34">_xlfn.XLOOKUP(C34,Table1[[#All],[Colour]],Table1[[#All],[Cost]],0)</f>
        <v>2.8</v>
      </c>
      <c r="P34">
        <f t="shared" si="0"/>
        <v>154</v>
      </c>
      <c r="Q34">
        <f t="shared" si="1"/>
        <v>221</v>
      </c>
      <c r="R34">
        <f t="shared" si="2"/>
        <v>58.933333333333337</v>
      </c>
    </row>
    <row r="35" spans="1:18" x14ac:dyDescent="0.3">
      <c r="A35" t="s">
        <v>90</v>
      </c>
      <c r="B35" t="s">
        <v>91</v>
      </c>
      <c r="C35" t="s">
        <v>38</v>
      </c>
      <c r="D35" s="3">
        <v>47</v>
      </c>
      <c r="E35" s="3">
        <v>370</v>
      </c>
      <c r="F35" s="8">
        <v>0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3" t="s">
        <v>10</v>
      </c>
      <c r="N35">
        <v>93</v>
      </c>
      <c r="O35" cm="1">
        <f t="array" ref="O35">_xlfn.XLOOKUP(C35,Table1[[#All],[Colour]],Table1[[#All],[Cost]],0)</f>
        <v>3.2</v>
      </c>
      <c r="P35">
        <f t="shared" si="0"/>
        <v>150.4</v>
      </c>
      <c r="Q35">
        <f t="shared" si="1"/>
        <v>219.6</v>
      </c>
      <c r="R35">
        <f t="shared" si="2"/>
        <v>59.351351351351347</v>
      </c>
    </row>
    <row r="36" spans="1:18" x14ac:dyDescent="0.3">
      <c r="A36" t="s">
        <v>90</v>
      </c>
      <c r="B36" t="s">
        <v>91</v>
      </c>
      <c r="C36" t="s">
        <v>17</v>
      </c>
      <c r="D36" s="3">
        <v>47</v>
      </c>
      <c r="E36" s="3">
        <v>370</v>
      </c>
      <c r="F36" s="8">
        <v>1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3" t="s">
        <v>10</v>
      </c>
      <c r="N36">
        <v>99</v>
      </c>
      <c r="O36" cm="1">
        <f t="array" ref="O36">_xlfn.XLOOKUP(C36,Table1[[#All],[Colour]],Table1[[#All],[Cost]],0)</f>
        <v>3.2</v>
      </c>
      <c r="P36">
        <f t="shared" si="0"/>
        <v>150.4</v>
      </c>
      <c r="Q36">
        <f t="shared" si="1"/>
        <v>219.6</v>
      </c>
      <c r="R36">
        <f t="shared" si="2"/>
        <v>59.351351351351347</v>
      </c>
    </row>
    <row r="37" spans="1:18" hidden="1" x14ac:dyDescent="0.3">
      <c r="A37" t="s">
        <v>175</v>
      </c>
      <c r="B37" t="s">
        <v>176</v>
      </c>
      <c r="C37" s="2" t="s">
        <v>9</v>
      </c>
      <c r="D37" s="3">
        <v>30</v>
      </c>
      <c r="E37" s="3">
        <v>300</v>
      </c>
      <c r="F37" s="8">
        <v>25</v>
      </c>
      <c r="G37" s="8">
        <v>30</v>
      </c>
      <c r="H37" s="8">
        <v>10</v>
      </c>
      <c r="I37" s="8">
        <v>20</v>
      </c>
      <c r="J37" s="8">
        <v>43</v>
      </c>
      <c r="K37" s="8">
        <v>55</v>
      </c>
      <c r="L37" s="8">
        <v>10</v>
      </c>
      <c r="M37" s="3" t="s">
        <v>144</v>
      </c>
      <c r="N37">
        <v>98</v>
      </c>
      <c r="O37" cm="1">
        <f t="array" ref="O37">_xlfn.XLOOKUP(C37,Table1[[#All],[Colour]],Table1[[#All],[Cost]],0)</f>
        <v>2.8</v>
      </c>
      <c r="P37">
        <f t="shared" si="0"/>
        <v>84</v>
      </c>
      <c r="Q37">
        <f t="shared" si="1"/>
        <v>216</v>
      </c>
      <c r="R37">
        <f t="shared" si="2"/>
        <v>72</v>
      </c>
    </row>
    <row r="38" spans="1:18" hidden="1" x14ac:dyDescent="0.3">
      <c r="A38" t="s">
        <v>84</v>
      </c>
      <c r="B38" t="s">
        <v>85</v>
      </c>
      <c r="C38" t="s">
        <v>9</v>
      </c>
      <c r="D38" s="3">
        <v>47</v>
      </c>
      <c r="E38" s="3">
        <v>340</v>
      </c>
      <c r="F38" s="8">
        <v>2</v>
      </c>
      <c r="G38" s="8">
        <v>34</v>
      </c>
      <c r="H38" s="8">
        <v>36</v>
      </c>
      <c r="I38" s="8">
        <v>2</v>
      </c>
      <c r="J38" s="8">
        <v>0</v>
      </c>
      <c r="K38" s="8">
        <v>0</v>
      </c>
      <c r="L38" s="8">
        <v>0</v>
      </c>
      <c r="M38" s="3" t="s">
        <v>10</v>
      </c>
      <c r="N38">
        <v>92</v>
      </c>
      <c r="O38" cm="1">
        <f t="array" ref="O38">_xlfn.XLOOKUP(C38,Table1[[#All],[Colour]],Table1[[#All],[Cost]],0)</f>
        <v>2.8</v>
      </c>
      <c r="P38">
        <f t="shared" si="0"/>
        <v>131.6</v>
      </c>
      <c r="Q38">
        <f t="shared" si="1"/>
        <v>208.4</v>
      </c>
      <c r="R38">
        <f t="shared" si="2"/>
        <v>61.294117647058819</v>
      </c>
    </row>
    <row r="39" spans="1:18" hidden="1" x14ac:dyDescent="0.3">
      <c r="A39" t="s">
        <v>157</v>
      </c>
      <c r="B39" t="s">
        <v>158</v>
      </c>
      <c r="C39" s="2" t="s">
        <v>9</v>
      </c>
      <c r="D39" s="3">
        <v>35</v>
      </c>
      <c r="E39" s="3">
        <v>300</v>
      </c>
      <c r="F39" s="8">
        <v>19</v>
      </c>
      <c r="G39" s="8">
        <v>41</v>
      </c>
      <c r="H39" s="8">
        <v>40</v>
      </c>
      <c r="I39" s="8">
        <v>23</v>
      </c>
      <c r="J39" s="8">
        <v>70</v>
      </c>
      <c r="K39" s="8">
        <v>22</v>
      </c>
      <c r="L39" s="8">
        <v>25</v>
      </c>
      <c r="M39" s="3" t="s">
        <v>144</v>
      </c>
      <c r="N39">
        <v>97</v>
      </c>
      <c r="O39" cm="1">
        <f t="array" ref="O39">_xlfn.XLOOKUP(C39,Table1[[#All],[Colour]],Table1[[#All],[Cost]],0)</f>
        <v>2.8</v>
      </c>
      <c r="P39">
        <f t="shared" si="0"/>
        <v>98</v>
      </c>
      <c r="Q39">
        <f t="shared" si="1"/>
        <v>202</v>
      </c>
      <c r="R39">
        <f t="shared" si="2"/>
        <v>67.333333333333329</v>
      </c>
    </row>
    <row r="40" spans="1:18" x14ac:dyDescent="0.3">
      <c r="A40" t="s">
        <v>90</v>
      </c>
      <c r="B40" t="s">
        <v>91</v>
      </c>
      <c r="C40" t="s">
        <v>12</v>
      </c>
      <c r="D40" s="3">
        <v>47</v>
      </c>
      <c r="E40" s="3">
        <v>340</v>
      </c>
      <c r="F40" s="8">
        <v>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3" t="s">
        <v>10</v>
      </c>
      <c r="N40">
        <v>91</v>
      </c>
      <c r="O40" cm="1">
        <f t="array" ref="O40">_xlfn.XLOOKUP(C40,Table1[[#All],[Colour]],Table1[[#All],[Cost]],0)</f>
        <v>3</v>
      </c>
      <c r="P40">
        <f t="shared" si="0"/>
        <v>141</v>
      </c>
      <c r="Q40">
        <f t="shared" si="1"/>
        <v>199</v>
      </c>
      <c r="R40">
        <f t="shared" si="2"/>
        <v>58.529411764705884</v>
      </c>
    </row>
    <row r="41" spans="1:18" hidden="1" x14ac:dyDescent="0.3">
      <c r="A41" t="s">
        <v>165</v>
      </c>
      <c r="B41" t="s">
        <v>166</v>
      </c>
      <c r="C41" s="2" t="s">
        <v>9</v>
      </c>
      <c r="D41" s="3">
        <v>30</v>
      </c>
      <c r="E41" s="3">
        <v>280</v>
      </c>
      <c r="F41" s="8">
        <v>12</v>
      </c>
      <c r="G41" s="8">
        <v>12</v>
      </c>
      <c r="H41" s="8">
        <v>9</v>
      </c>
      <c r="I41" s="8">
        <v>10</v>
      </c>
      <c r="J41" s="8">
        <v>13</v>
      </c>
      <c r="K41" s="8">
        <v>13</v>
      </c>
      <c r="L41" s="8">
        <v>15</v>
      </c>
      <c r="M41" s="3" t="s">
        <v>144</v>
      </c>
      <c r="N41">
        <v>93</v>
      </c>
      <c r="O41" cm="1">
        <f t="array" ref="O41">_xlfn.XLOOKUP(C41,Table1[[#All],[Colour]],Table1[[#All],[Cost]],0)</f>
        <v>2.8</v>
      </c>
      <c r="P41">
        <f t="shared" si="0"/>
        <v>84</v>
      </c>
      <c r="Q41">
        <f t="shared" si="1"/>
        <v>196</v>
      </c>
      <c r="R41">
        <f t="shared" si="2"/>
        <v>70</v>
      </c>
    </row>
    <row r="42" spans="1:18" hidden="1" x14ac:dyDescent="0.3">
      <c r="A42" t="s">
        <v>177</v>
      </c>
      <c r="B42" t="s">
        <v>178</v>
      </c>
      <c r="C42" s="2" t="s">
        <v>9</v>
      </c>
      <c r="D42" s="3">
        <v>30</v>
      </c>
      <c r="E42" s="3">
        <v>280</v>
      </c>
      <c r="F42" s="8">
        <v>35</v>
      </c>
      <c r="G42" s="8">
        <v>55</v>
      </c>
      <c r="H42" s="8">
        <v>2</v>
      </c>
      <c r="I42" s="8">
        <v>10</v>
      </c>
      <c r="J42" s="8">
        <v>62</v>
      </c>
      <c r="K42" s="8">
        <v>57</v>
      </c>
      <c r="L42" s="8">
        <v>315</v>
      </c>
      <c r="M42" s="3" t="s">
        <v>144</v>
      </c>
      <c r="N42">
        <v>92</v>
      </c>
      <c r="O42" cm="1">
        <f t="array" ref="O42">_xlfn.XLOOKUP(C42,Table1[[#All],[Colour]],Table1[[#All],[Cost]],0)</f>
        <v>2.8</v>
      </c>
      <c r="P42">
        <f t="shared" si="0"/>
        <v>84</v>
      </c>
      <c r="Q42">
        <f t="shared" si="1"/>
        <v>196</v>
      </c>
      <c r="R42">
        <f t="shared" si="2"/>
        <v>70</v>
      </c>
    </row>
    <row r="43" spans="1:18" hidden="1" x14ac:dyDescent="0.3">
      <c r="A43" t="s">
        <v>90</v>
      </c>
      <c r="B43" t="s">
        <v>91</v>
      </c>
      <c r="C43" t="s">
        <v>9</v>
      </c>
      <c r="D43" s="3">
        <v>47</v>
      </c>
      <c r="E43" s="3">
        <v>315</v>
      </c>
      <c r="F43" s="8">
        <v>0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0</v>
      </c>
      <c r="M43" s="3" t="s">
        <v>10</v>
      </c>
      <c r="N43">
        <v>93</v>
      </c>
      <c r="O43" cm="1">
        <f t="array" ref="O43">_xlfn.XLOOKUP(C43,Table1[[#All],[Colour]],Table1[[#All],[Cost]],0)</f>
        <v>2.8</v>
      </c>
      <c r="P43">
        <f t="shared" si="0"/>
        <v>131.6</v>
      </c>
      <c r="Q43">
        <f t="shared" si="1"/>
        <v>183.4</v>
      </c>
      <c r="R43">
        <f t="shared" si="2"/>
        <v>58.222222222222221</v>
      </c>
    </row>
    <row r="44" spans="1:18" hidden="1" x14ac:dyDescent="0.3">
      <c r="A44" t="s">
        <v>167</v>
      </c>
      <c r="B44" t="s">
        <v>168</v>
      </c>
      <c r="C44" s="2" t="s">
        <v>9</v>
      </c>
      <c r="D44" s="3">
        <v>45</v>
      </c>
      <c r="E44" s="3">
        <v>300</v>
      </c>
      <c r="F44" s="8">
        <v>23</v>
      </c>
      <c r="G44" s="8">
        <v>20</v>
      </c>
      <c r="H44" s="8">
        <v>15</v>
      </c>
      <c r="I44" s="8">
        <v>10</v>
      </c>
      <c r="J44" s="8">
        <v>13</v>
      </c>
      <c r="K44" s="8">
        <v>20</v>
      </c>
      <c r="L44" s="8">
        <v>15</v>
      </c>
      <c r="M44" s="3" t="s">
        <v>144</v>
      </c>
      <c r="N44">
        <v>98</v>
      </c>
      <c r="O44" cm="1">
        <f t="array" ref="O44">_xlfn.XLOOKUP(C44,Table1[[#All],[Colour]],Table1[[#All],[Cost]],0)</f>
        <v>2.8</v>
      </c>
      <c r="P44">
        <f t="shared" si="0"/>
        <v>125.99999999999999</v>
      </c>
      <c r="Q44">
        <f t="shared" si="1"/>
        <v>174</v>
      </c>
      <c r="R44">
        <f t="shared" si="2"/>
        <v>57.999999999999993</v>
      </c>
    </row>
    <row r="45" spans="1:18" x14ac:dyDescent="0.3">
      <c r="A45" t="s">
        <v>82</v>
      </c>
      <c r="B45" t="s">
        <v>83</v>
      </c>
      <c r="C45" t="s">
        <v>17</v>
      </c>
      <c r="D45" s="3">
        <v>40</v>
      </c>
      <c r="E45" s="3">
        <v>300</v>
      </c>
      <c r="F45" s="8">
        <v>0</v>
      </c>
      <c r="G45" s="8">
        <v>5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3" t="s">
        <v>10</v>
      </c>
      <c r="N45">
        <v>94</v>
      </c>
      <c r="O45" cm="1">
        <f t="array" ref="O45">_xlfn.XLOOKUP(C45,Table1[[#All],[Colour]],Table1[[#All],[Cost]],0)</f>
        <v>3.2</v>
      </c>
      <c r="P45">
        <f t="shared" si="0"/>
        <v>128</v>
      </c>
      <c r="Q45">
        <f t="shared" si="1"/>
        <v>172</v>
      </c>
      <c r="R45">
        <f t="shared" si="2"/>
        <v>57.333333333333336</v>
      </c>
    </row>
    <row r="46" spans="1:18" x14ac:dyDescent="0.3">
      <c r="A46" t="s">
        <v>82</v>
      </c>
      <c r="B46" t="s">
        <v>83</v>
      </c>
      <c r="C46" t="s">
        <v>38</v>
      </c>
      <c r="D46" s="3">
        <v>40</v>
      </c>
      <c r="E46" s="3">
        <v>300</v>
      </c>
      <c r="F46" s="8">
        <v>0</v>
      </c>
      <c r="G46" s="8">
        <v>5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3" t="s">
        <v>10</v>
      </c>
      <c r="N46">
        <v>99</v>
      </c>
      <c r="O46" cm="1">
        <f t="array" ref="O46">_xlfn.XLOOKUP(C46,Table1[[#All],[Colour]],Table1[[#All],[Cost]],0)</f>
        <v>3.2</v>
      </c>
      <c r="P46">
        <f t="shared" si="0"/>
        <v>128</v>
      </c>
      <c r="Q46">
        <f t="shared" si="1"/>
        <v>172</v>
      </c>
      <c r="R46">
        <f t="shared" si="2"/>
        <v>57.333333333333336</v>
      </c>
    </row>
    <row r="47" spans="1:18" hidden="1" x14ac:dyDescent="0.3">
      <c r="A47" t="s">
        <v>151</v>
      </c>
      <c r="B47" t="s">
        <v>152</v>
      </c>
      <c r="C47" s="2" t="s">
        <v>9</v>
      </c>
      <c r="D47" s="3">
        <v>30</v>
      </c>
      <c r="E47" s="3">
        <v>250</v>
      </c>
      <c r="F47" s="8">
        <v>70</v>
      </c>
      <c r="G47" s="8">
        <v>55</v>
      </c>
      <c r="H47" s="8">
        <v>30</v>
      </c>
      <c r="I47" s="8">
        <v>55</v>
      </c>
      <c r="J47" s="8">
        <v>168</v>
      </c>
      <c r="K47" s="8">
        <v>213</v>
      </c>
      <c r="L47" s="8">
        <v>230</v>
      </c>
      <c r="M47" s="3" t="s">
        <v>144</v>
      </c>
      <c r="N47">
        <v>90</v>
      </c>
      <c r="O47" cm="1">
        <f t="array" ref="O47">_xlfn.XLOOKUP(C47,Table1[[#All],[Colour]],Table1[[#All],[Cost]],0)</f>
        <v>2.8</v>
      </c>
      <c r="P47">
        <f t="shared" si="0"/>
        <v>84</v>
      </c>
      <c r="Q47">
        <f t="shared" si="1"/>
        <v>166</v>
      </c>
      <c r="R47">
        <f t="shared" si="2"/>
        <v>66.400000000000006</v>
      </c>
    </row>
    <row r="48" spans="1:18" hidden="1" x14ac:dyDescent="0.3">
      <c r="A48" t="s">
        <v>159</v>
      </c>
      <c r="B48" t="s">
        <v>160</v>
      </c>
      <c r="C48" s="2" t="s">
        <v>9</v>
      </c>
      <c r="D48" s="3">
        <v>30</v>
      </c>
      <c r="E48" s="3">
        <v>250</v>
      </c>
      <c r="F48" s="8">
        <v>15</v>
      </c>
      <c r="G48" s="8">
        <v>10</v>
      </c>
      <c r="H48" s="8">
        <v>8</v>
      </c>
      <c r="I48" s="8">
        <v>10</v>
      </c>
      <c r="J48" s="8">
        <v>25</v>
      </c>
      <c r="K48" s="8">
        <v>10</v>
      </c>
      <c r="L48" s="8">
        <v>3</v>
      </c>
      <c r="M48" s="3" t="s">
        <v>144</v>
      </c>
      <c r="N48">
        <v>96</v>
      </c>
      <c r="O48" cm="1">
        <f t="array" ref="O48">_xlfn.XLOOKUP(C48,Table1[[#All],[Colour]],Table1[[#All],[Cost]],0)</f>
        <v>2.8</v>
      </c>
      <c r="P48">
        <f t="shared" si="0"/>
        <v>84</v>
      </c>
      <c r="Q48">
        <f t="shared" si="1"/>
        <v>166</v>
      </c>
      <c r="R48">
        <f t="shared" si="2"/>
        <v>66.400000000000006</v>
      </c>
    </row>
    <row r="49" spans="1:18" hidden="1" x14ac:dyDescent="0.3">
      <c r="A49" t="s">
        <v>173</v>
      </c>
      <c r="B49" t="s">
        <v>174</v>
      </c>
      <c r="C49" s="2" t="s">
        <v>9</v>
      </c>
      <c r="D49" s="3">
        <v>30</v>
      </c>
      <c r="E49" s="3">
        <v>250</v>
      </c>
      <c r="F49" s="8">
        <v>15</v>
      </c>
      <c r="G49" s="8">
        <v>17</v>
      </c>
      <c r="H49" s="8">
        <v>15</v>
      </c>
      <c r="I49" s="8">
        <v>20</v>
      </c>
      <c r="J49" s="8">
        <v>35</v>
      </c>
      <c r="K49" s="8">
        <v>24</v>
      </c>
      <c r="L49" s="8">
        <v>15</v>
      </c>
      <c r="M49" s="3" t="s">
        <v>144</v>
      </c>
      <c r="N49">
        <v>90</v>
      </c>
      <c r="O49" cm="1">
        <f t="array" ref="O49">_xlfn.XLOOKUP(C49,Table1[[#All],[Colour]],Table1[[#All],[Cost]],0)</f>
        <v>2.8</v>
      </c>
      <c r="P49">
        <f t="shared" si="0"/>
        <v>84</v>
      </c>
      <c r="Q49">
        <f t="shared" si="1"/>
        <v>166</v>
      </c>
      <c r="R49">
        <f t="shared" si="2"/>
        <v>66.400000000000006</v>
      </c>
    </row>
    <row r="50" spans="1:18" x14ac:dyDescent="0.3">
      <c r="A50" t="s">
        <v>88</v>
      </c>
      <c r="B50" t="s">
        <v>89</v>
      </c>
      <c r="C50" t="s">
        <v>17</v>
      </c>
      <c r="D50" s="3">
        <v>40</v>
      </c>
      <c r="E50" s="3">
        <v>290</v>
      </c>
      <c r="F50" s="8">
        <v>5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3" t="s">
        <v>10</v>
      </c>
      <c r="N50">
        <v>93</v>
      </c>
      <c r="O50" cm="1">
        <f t="array" ref="O50">_xlfn.XLOOKUP(C50,Table1[[#All],[Colour]],Table1[[#All],[Cost]],0)</f>
        <v>3.2</v>
      </c>
      <c r="P50">
        <f t="shared" si="0"/>
        <v>128</v>
      </c>
      <c r="Q50">
        <f t="shared" si="1"/>
        <v>162</v>
      </c>
      <c r="R50">
        <f t="shared" si="2"/>
        <v>55.862068965517238</v>
      </c>
    </row>
    <row r="51" spans="1:18" x14ac:dyDescent="0.3">
      <c r="A51" t="s">
        <v>88</v>
      </c>
      <c r="B51" t="s">
        <v>89</v>
      </c>
      <c r="C51" t="s">
        <v>38</v>
      </c>
      <c r="D51" s="3">
        <v>40</v>
      </c>
      <c r="E51" s="3">
        <v>290</v>
      </c>
      <c r="F51" s="8">
        <v>5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3" t="s">
        <v>10</v>
      </c>
      <c r="N51">
        <v>95</v>
      </c>
      <c r="O51" cm="1">
        <f t="array" ref="O51">_xlfn.XLOOKUP(C51,Table1[[#All],[Colour]],Table1[[#All],[Cost]],0)</f>
        <v>3.2</v>
      </c>
      <c r="P51">
        <f t="shared" si="0"/>
        <v>128</v>
      </c>
      <c r="Q51">
        <f t="shared" si="1"/>
        <v>162</v>
      </c>
      <c r="R51">
        <f t="shared" si="2"/>
        <v>55.862068965517238</v>
      </c>
    </row>
    <row r="52" spans="1:18" x14ac:dyDescent="0.3">
      <c r="A52" t="s">
        <v>52</v>
      </c>
      <c r="B52" s="2" t="s">
        <v>53</v>
      </c>
      <c r="C52" s="2" t="s">
        <v>21</v>
      </c>
      <c r="D52" s="3">
        <v>30</v>
      </c>
      <c r="E52" s="3">
        <v>150</v>
      </c>
      <c r="F52" s="8">
        <v>26</v>
      </c>
      <c r="G52" s="8">
        <v>25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3" t="s">
        <v>10</v>
      </c>
      <c r="N52">
        <v>100</v>
      </c>
      <c r="O52" cm="1">
        <f t="array" ref="O52">_xlfn.XLOOKUP(C52,Table1[[#All],[Colour]],Table1[[#All],[Cost]],0)</f>
        <v>0</v>
      </c>
      <c r="P52">
        <f t="shared" si="0"/>
        <v>0</v>
      </c>
      <c r="Q52">
        <f t="shared" si="1"/>
        <v>150</v>
      </c>
      <c r="R52">
        <f t="shared" si="2"/>
        <v>100</v>
      </c>
    </row>
    <row r="53" spans="1:18" hidden="1" x14ac:dyDescent="0.3">
      <c r="A53" t="s">
        <v>18</v>
      </c>
      <c r="B53" t="s">
        <v>19</v>
      </c>
      <c r="C53" t="s">
        <v>12</v>
      </c>
      <c r="D53" s="3">
        <v>35</v>
      </c>
      <c r="E53" s="3">
        <v>250</v>
      </c>
      <c r="F53" s="8">
        <v>230</v>
      </c>
      <c r="G53" s="8">
        <v>187</v>
      </c>
      <c r="H53" s="8">
        <v>135</v>
      </c>
      <c r="I53" s="8">
        <v>87</v>
      </c>
      <c r="J53" s="8">
        <v>53</v>
      </c>
      <c r="K53" s="8">
        <v>235</v>
      </c>
      <c r="L53" s="8">
        <v>200</v>
      </c>
      <c r="M53" s="3" t="s">
        <v>10</v>
      </c>
      <c r="N53">
        <v>96</v>
      </c>
      <c r="O53" cm="1">
        <f t="array" ref="O53">_xlfn.XLOOKUP(C53,Table1[[#All],[Colour]],Table1[[#All],[Cost]],0)</f>
        <v>3</v>
      </c>
      <c r="P53">
        <f t="shared" si="0"/>
        <v>105</v>
      </c>
      <c r="Q53">
        <f t="shared" si="1"/>
        <v>145</v>
      </c>
      <c r="R53">
        <f t="shared" si="2"/>
        <v>57.999999999999993</v>
      </c>
    </row>
    <row r="54" spans="1:18" x14ac:dyDescent="0.3">
      <c r="A54" t="s">
        <v>88</v>
      </c>
      <c r="B54" t="s">
        <v>89</v>
      </c>
      <c r="C54" t="s">
        <v>14</v>
      </c>
      <c r="D54" s="3">
        <v>40</v>
      </c>
      <c r="E54" s="3">
        <v>260</v>
      </c>
      <c r="F54" s="8">
        <v>1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3" t="s">
        <v>10</v>
      </c>
      <c r="N54">
        <v>92</v>
      </c>
      <c r="O54" cm="1">
        <f t="array" ref="O54">_xlfn.XLOOKUP(C54,Table1[[#All],[Colour]],Table1[[#All],[Cost]],0)</f>
        <v>3</v>
      </c>
      <c r="P54">
        <f t="shared" si="0"/>
        <v>120</v>
      </c>
      <c r="Q54">
        <f t="shared" si="1"/>
        <v>140</v>
      </c>
      <c r="R54">
        <f t="shared" si="2"/>
        <v>53.846153846153847</v>
      </c>
    </row>
    <row r="55" spans="1:18" x14ac:dyDescent="0.3">
      <c r="A55" t="s">
        <v>18</v>
      </c>
      <c r="B55" t="s">
        <v>19</v>
      </c>
      <c r="C55" t="s">
        <v>22</v>
      </c>
      <c r="D55" s="3">
        <v>35</v>
      </c>
      <c r="E55" s="3">
        <v>250</v>
      </c>
      <c r="F55" s="8">
        <v>15</v>
      </c>
      <c r="G55" s="8">
        <v>8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3" t="s">
        <v>10</v>
      </c>
      <c r="N55">
        <v>97</v>
      </c>
      <c r="O55" cm="1">
        <f t="array" ref="O55">_xlfn.XLOOKUP(C55,Table1[[#All],[Colour]],Table1[[#All],[Cost]],0)</f>
        <v>3.2</v>
      </c>
      <c r="P55">
        <f t="shared" si="0"/>
        <v>112</v>
      </c>
      <c r="Q55">
        <f t="shared" si="1"/>
        <v>138</v>
      </c>
      <c r="R55">
        <f t="shared" si="2"/>
        <v>55.2</v>
      </c>
    </row>
    <row r="56" spans="1:18" x14ac:dyDescent="0.3">
      <c r="A56" t="s">
        <v>18</v>
      </c>
      <c r="B56" t="s">
        <v>19</v>
      </c>
      <c r="C56" t="s">
        <v>17</v>
      </c>
      <c r="D56" s="3">
        <v>35</v>
      </c>
      <c r="E56" s="3">
        <v>250</v>
      </c>
      <c r="F56" s="8">
        <v>76</v>
      </c>
      <c r="G56" s="8">
        <v>55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3" t="s">
        <v>10</v>
      </c>
      <c r="N56">
        <v>95</v>
      </c>
      <c r="O56" cm="1">
        <f t="array" ref="O56">_xlfn.XLOOKUP(C56,Table1[[#All],[Colour]],Table1[[#All],[Cost]],0)</f>
        <v>3.2</v>
      </c>
      <c r="P56">
        <f t="shared" si="0"/>
        <v>112</v>
      </c>
      <c r="Q56">
        <f t="shared" si="1"/>
        <v>138</v>
      </c>
      <c r="R56">
        <f t="shared" si="2"/>
        <v>55.2</v>
      </c>
    </row>
    <row r="57" spans="1:18" hidden="1" x14ac:dyDescent="0.3">
      <c r="A57" t="s">
        <v>88</v>
      </c>
      <c r="B57" t="s">
        <v>89</v>
      </c>
      <c r="C57" t="s">
        <v>9</v>
      </c>
      <c r="D57" s="3">
        <v>40</v>
      </c>
      <c r="E57" s="3">
        <v>250</v>
      </c>
      <c r="F57" s="8">
        <v>5</v>
      </c>
      <c r="G57" s="8">
        <v>0</v>
      </c>
      <c r="H57" s="8">
        <v>0</v>
      </c>
      <c r="I57" s="8">
        <v>2</v>
      </c>
      <c r="J57" s="8">
        <v>52</v>
      </c>
      <c r="K57" s="8">
        <v>0</v>
      </c>
      <c r="L57" s="8">
        <v>0</v>
      </c>
      <c r="M57" s="3" t="s">
        <v>10</v>
      </c>
      <c r="N57">
        <v>95</v>
      </c>
      <c r="O57" cm="1">
        <f t="array" ref="O57">_xlfn.XLOOKUP(C57,Table1[[#All],[Colour]],Table1[[#All],[Cost]],0)</f>
        <v>2.8</v>
      </c>
      <c r="P57">
        <f t="shared" si="0"/>
        <v>112</v>
      </c>
      <c r="Q57">
        <f t="shared" si="1"/>
        <v>138</v>
      </c>
      <c r="R57">
        <f t="shared" si="2"/>
        <v>55.2</v>
      </c>
    </row>
    <row r="58" spans="1:18" x14ac:dyDescent="0.3">
      <c r="A58" t="s">
        <v>82</v>
      </c>
      <c r="B58" t="s">
        <v>83</v>
      </c>
      <c r="C58" t="s">
        <v>12</v>
      </c>
      <c r="D58" s="3">
        <v>40</v>
      </c>
      <c r="E58" s="3">
        <v>250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3" t="s">
        <v>10</v>
      </c>
      <c r="N58">
        <v>100</v>
      </c>
      <c r="O58" cm="1">
        <f t="array" ref="O58">_xlfn.XLOOKUP(C58,Table1[[#All],[Colour]],Table1[[#All],[Cost]],0)</f>
        <v>3</v>
      </c>
      <c r="P58">
        <f t="shared" si="0"/>
        <v>120</v>
      </c>
      <c r="Q58">
        <f t="shared" si="1"/>
        <v>130</v>
      </c>
      <c r="R58">
        <f t="shared" si="2"/>
        <v>52</v>
      </c>
    </row>
    <row r="59" spans="1:18" x14ac:dyDescent="0.3">
      <c r="A59" t="s">
        <v>82</v>
      </c>
      <c r="B59" t="s">
        <v>83</v>
      </c>
      <c r="C59" t="s">
        <v>14</v>
      </c>
      <c r="D59" s="3">
        <v>40</v>
      </c>
      <c r="E59" s="3">
        <v>250</v>
      </c>
      <c r="F59" s="8">
        <v>0</v>
      </c>
      <c r="G59" s="8">
        <v>5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3" t="s">
        <v>10</v>
      </c>
      <c r="N59">
        <v>90</v>
      </c>
      <c r="O59" cm="1">
        <f t="array" ref="O59">_xlfn.XLOOKUP(C59,Table1[[#All],[Colour]],Table1[[#All],[Cost]],0)</f>
        <v>3</v>
      </c>
      <c r="P59">
        <f t="shared" si="0"/>
        <v>120</v>
      </c>
      <c r="Q59">
        <f t="shared" si="1"/>
        <v>130</v>
      </c>
      <c r="R59">
        <f t="shared" si="2"/>
        <v>52</v>
      </c>
    </row>
    <row r="60" spans="1:18" x14ac:dyDescent="0.3">
      <c r="A60" t="s">
        <v>82</v>
      </c>
      <c r="B60" t="s">
        <v>83</v>
      </c>
      <c r="C60" t="s">
        <v>43</v>
      </c>
      <c r="D60" s="3">
        <v>40</v>
      </c>
      <c r="E60" s="3">
        <v>250</v>
      </c>
      <c r="F60" s="8">
        <v>0</v>
      </c>
      <c r="G60" s="8">
        <v>5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3" t="s">
        <v>10</v>
      </c>
      <c r="N60">
        <v>98</v>
      </c>
      <c r="O60" cm="1">
        <f t="array" ref="O60">_xlfn.XLOOKUP(C60,Table1[[#All],[Colour]],Table1[[#All],[Cost]],0)</f>
        <v>3</v>
      </c>
      <c r="P60">
        <f t="shared" si="0"/>
        <v>120</v>
      </c>
      <c r="Q60">
        <f t="shared" si="1"/>
        <v>130</v>
      </c>
      <c r="R60">
        <f t="shared" si="2"/>
        <v>52</v>
      </c>
    </row>
    <row r="61" spans="1:18" x14ac:dyDescent="0.3">
      <c r="A61" t="s">
        <v>65</v>
      </c>
      <c r="B61" s="2" t="s">
        <v>59</v>
      </c>
      <c r="C61" s="2" t="s">
        <v>17</v>
      </c>
      <c r="D61" s="3">
        <v>10</v>
      </c>
      <c r="E61" s="3">
        <v>160</v>
      </c>
      <c r="F61" s="8">
        <v>55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3" t="s">
        <v>10</v>
      </c>
      <c r="N61">
        <v>99</v>
      </c>
      <c r="O61" cm="1">
        <f t="array" ref="O61">_xlfn.XLOOKUP(C61,Table1[[#All],[Colour]],Table1[[#All],[Cost]],0)</f>
        <v>3.2</v>
      </c>
      <c r="P61">
        <f t="shared" si="0"/>
        <v>32</v>
      </c>
      <c r="Q61">
        <f t="shared" si="1"/>
        <v>128</v>
      </c>
      <c r="R61">
        <f t="shared" si="2"/>
        <v>80</v>
      </c>
    </row>
    <row r="62" spans="1:18" hidden="1" x14ac:dyDescent="0.3">
      <c r="A62" t="s">
        <v>163</v>
      </c>
      <c r="B62" t="s">
        <v>164</v>
      </c>
      <c r="C62" s="2" t="s">
        <v>9</v>
      </c>
      <c r="D62" s="3">
        <v>30</v>
      </c>
      <c r="E62" s="3">
        <v>200</v>
      </c>
      <c r="F62" s="8">
        <v>20</v>
      </c>
      <c r="G62" s="8">
        <v>25</v>
      </c>
      <c r="H62" s="8">
        <v>60</v>
      </c>
      <c r="I62" s="8">
        <v>45</v>
      </c>
      <c r="J62" s="8">
        <v>55</v>
      </c>
      <c r="K62" s="8">
        <v>130</v>
      </c>
      <c r="L62" s="8">
        <v>0</v>
      </c>
      <c r="M62" s="3" t="s">
        <v>144</v>
      </c>
      <c r="N62">
        <v>91</v>
      </c>
      <c r="O62" cm="1">
        <f t="array" ref="O62">_xlfn.XLOOKUP(C62,Table1[[#All],[Colour]],Table1[[#All],[Cost]],0)</f>
        <v>2.8</v>
      </c>
      <c r="P62">
        <f t="shared" si="0"/>
        <v>84</v>
      </c>
      <c r="Q62">
        <f t="shared" si="1"/>
        <v>116</v>
      </c>
      <c r="R62">
        <f t="shared" si="2"/>
        <v>57.999999999999993</v>
      </c>
    </row>
    <row r="63" spans="1:18" hidden="1" x14ac:dyDescent="0.3">
      <c r="A63" t="s">
        <v>65</v>
      </c>
      <c r="B63" s="2" t="s">
        <v>59</v>
      </c>
      <c r="C63" s="2" t="s">
        <v>12</v>
      </c>
      <c r="D63" s="3">
        <v>10</v>
      </c>
      <c r="E63" s="3">
        <v>145</v>
      </c>
      <c r="F63" s="8">
        <v>45</v>
      </c>
      <c r="G63" s="8">
        <v>35</v>
      </c>
      <c r="H63" s="8">
        <v>30</v>
      </c>
      <c r="I63" s="8">
        <v>20</v>
      </c>
      <c r="J63" s="8">
        <v>15</v>
      </c>
      <c r="K63" s="8">
        <v>50</v>
      </c>
      <c r="L63" s="8">
        <v>45</v>
      </c>
      <c r="M63" s="3" t="s">
        <v>10</v>
      </c>
      <c r="N63">
        <v>100</v>
      </c>
      <c r="O63" cm="1">
        <f t="array" ref="O63">_xlfn.XLOOKUP(C63,Table1[[#All],[Colour]],Table1[[#All],[Cost]],0)</f>
        <v>3</v>
      </c>
      <c r="P63">
        <f t="shared" si="0"/>
        <v>30</v>
      </c>
      <c r="Q63">
        <f t="shared" si="1"/>
        <v>115</v>
      </c>
      <c r="R63">
        <f t="shared" si="2"/>
        <v>79.310344827586206</v>
      </c>
    </row>
    <row r="64" spans="1:18" x14ac:dyDescent="0.3">
      <c r="A64" t="s">
        <v>77</v>
      </c>
      <c r="B64" s="2" t="s">
        <v>55</v>
      </c>
      <c r="C64" s="2" t="s">
        <v>12</v>
      </c>
      <c r="D64" s="3">
        <v>10</v>
      </c>
      <c r="E64" s="3">
        <v>145</v>
      </c>
      <c r="F64" s="8">
        <v>10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3" t="s">
        <v>10</v>
      </c>
      <c r="N64">
        <v>94</v>
      </c>
      <c r="O64" cm="1">
        <f t="array" ref="O64">_xlfn.XLOOKUP(C64,Table1[[#All],[Colour]],Table1[[#All],[Cost]],0)</f>
        <v>3</v>
      </c>
      <c r="P64">
        <f t="shared" si="0"/>
        <v>30</v>
      </c>
      <c r="Q64">
        <f t="shared" si="1"/>
        <v>115</v>
      </c>
      <c r="R64">
        <f t="shared" si="2"/>
        <v>79.310344827586206</v>
      </c>
    </row>
    <row r="65" spans="1:18" x14ac:dyDescent="0.3">
      <c r="A65" t="s">
        <v>77</v>
      </c>
      <c r="B65" s="2" t="s">
        <v>55</v>
      </c>
      <c r="C65" s="2" t="s">
        <v>43</v>
      </c>
      <c r="D65" s="3">
        <v>10</v>
      </c>
      <c r="E65" s="3">
        <v>145</v>
      </c>
      <c r="F65" s="8">
        <v>2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3" t="s">
        <v>10</v>
      </c>
      <c r="N65">
        <v>100</v>
      </c>
      <c r="O65" cm="1">
        <f t="array" ref="O65">_xlfn.XLOOKUP(C65,Table1[[#All],[Colour]],Table1[[#All],[Cost]],0)</f>
        <v>3</v>
      </c>
      <c r="P65">
        <f t="shared" si="0"/>
        <v>30</v>
      </c>
      <c r="Q65">
        <f t="shared" si="1"/>
        <v>115</v>
      </c>
      <c r="R65">
        <f t="shared" si="2"/>
        <v>79.310344827586206</v>
      </c>
    </row>
    <row r="66" spans="1:18" hidden="1" x14ac:dyDescent="0.3">
      <c r="A66" t="s">
        <v>169</v>
      </c>
      <c r="B66" t="s">
        <v>170</v>
      </c>
      <c r="C66" s="2" t="s">
        <v>9</v>
      </c>
      <c r="D66" s="3">
        <v>6</v>
      </c>
      <c r="E66" s="3">
        <v>130</v>
      </c>
      <c r="F66" s="8">
        <v>85</v>
      </c>
      <c r="G66" s="8">
        <v>34</v>
      </c>
      <c r="H66" s="8">
        <v>33</v>
      </c>
      <c r="I66" s="8">
        <v>10</v>
      </c>
      <c r="J66" s="8">
        <v>0</v>
      </c>
      <c r="K66" s="8">
        <v>0</v>
      </c>
      <c r="L66" s="8">
        <v>0</v>
      </c>
      <c r="M66" s="3" t="s">
        <v>144</v>
      </c>
      <c r="N66">
        <v>92</v>
      </c>
      <c r="O66" cm="1">
        <f t="array" ref="O66">_xlfn.XLOOKUP(C66,Table1[[#All],[Colour]],Table1[[#All],[Cost]],0)</f>
        <v>2.8</v>
      </c>
      <c r="P66">
        <f t="shared" ref="P66:P129" si="3">O66*D66</f>
        <v>16.799999999999997</v>
      </c>
      <c r="Q66">
        <f t="shared" ref="Q66:Q129" si="4">E66-P66</f>
        <v>113.2</v>
      </c>
      <c r="R66">
        <f t="shared" ref="R66:R129" si="5">Q66/E66*100</f>
        <v>87.07692307692308</v>
      </c>
    </row>
    <row r="67" spans="1:18" x14ac:dyDescent="0.3">
      <c r="A67" t="s">
        <v>77</v>
      </c>
      <c r="B67" s="2" t="s">
        <v>55</v>
      </c>
      <c r="C67" s="2" t="s">
        <v>17</v>
      </c>
      <c r="D67" s="3">
        <v>10</v>
      </c>
      <c r="E67" s="3">
        <v>145</v>
      </c>
      <c r="F67" s="8">
        <v>13</v>
      </c>
      <c r="G67" s="8">
        <v>10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3" t="s">
        <v>10</v>
      </c>
      <c r="N67">
        <v>96</v>
      </c>
      <c r="O67" cm="1">
        <f t="array" ref="O67">_xlfn.XLOOKUP(C67,Table1[[#All],[Colour]],Table1[[#All],[Cost]],0)</f>
        <v>3.2</v>
      </c>
      <c r="P67">
        <f t="shared" si="3"/>
        <v>32</v>
      </c>
      <c r="Q67">
        <f t="shared" si="4"/>
        <v>113</v>
      </c>
      <c r="R67">
        <f t="shared" si="5"/>
        <v>77.931034482758619</v>
      </c>
    </row>
    <row r="68" spans="1:18" x14ac:dyDescent="0.3">
      <c r="A68" t="s">
        <v>153</v>
      </c>
      <c r="B68" t="s">
        <v>154</v>
      </c>
      <c r="C68" s="2" t="s">
        <v>9</v>
      </c>
      <c r="D68" s="3">
        <v>25</v>
      </c>
      <c r="E68" s="3">
        <v>180</v>
      </c>
      <c r="F68" s="8">
        <v>40</v>
      </c>
      <c r="G68" s="8">
        <v>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3" t="s">
        <v>144</v>
      </c>
      <c r="N68">
        <v>91</v>
      </c>
      <c r="O68" cm="1">
        <f t="array" ref="O68">_xlfn.XLOOKUP(C68,Table1[[#All],[Colour]],Table1[[#All],[Cost]],0)</f>
        <v>2.8</v>
      </c>
      <c r="P68">
        <f t="shared" si="3"/>
        <v>70</v>
      </c>
      <c r="Q68">
        <f t="shared" si="4"/>
        <v>110</v>
      </c>
      <c r="R68">
        <f t="shared" si="5"/>
        <v>61.111111111111114</v>
      </c>
    </row>
    <row r="69" spans="1:18" hidden="1" x14ac:dyDescent="0.3">
      <c r="A69" t="s">
        <v>82</v>
      </c>
      <c r="B69" t="s">
        <v>83</v>
      </c>
      <c r="C69" t="s">
        <v>9</v>
      </c>
      <c r="D69" s="3">
        <v>40</v>
      </c>
      <c r="E69" s="3">
        <v>220</v>
      </c>
      <c r="F69" s="8">
        <v>0</v>
      </c>
      <c r="G69" s="8">
        <v>1</v>
      </c>
      <c r="H69" s="8">
        <v>0</v>
      </c>
      <c r="I69" s="8">
        <v>1</v>
      </c>
      <c r="J69" s="8">
        <v>38</v>
      </c>
      <c r="K69" s="8">
        <v>0</v>
      </c>
      <c r="L69" s="8">
        <v>0</v>
      </c>
      <c r="M69" s="3" t="s">
        <v>10</v>
      </c>
      <c r="N69">
        <v>98</v>
      </c>
      <c r="O69" cm="1">
        <f t="array" ref="O69">_xlfn.XLOOKUP(C69,Table1[[#All],[Colour]],Table1[[#All],[Cost]],0)</f>
        <v>2.8</v>
      </c>
      <c r="P69">
        <f t="shared" si="3"/>
        <v>112</v>
      </c>
      <c r="Q69">
        <f t="shared" si="4"/>
        <v>108</v>
      </c>
      <c r="R69">
        <f t="shared" si="5"/>
        <v>49.090909090909093</v>
      </c>
    </row>
    <row r="70" spans="1:18" hidden="1" x14ac:dyDescent="0.3">
      <c r="A70" t="s">
        <v>161</v>
      </c>
      <c r="B70" t="s">
        <v>162</v>
      </c>
      <c r="C70" s="2" t="s">
        <v>9</v>
      </c>
      <c r="D70" s="3">
        <v>8</v>
      </c>
      <c r="E70" s="3">
        <v>125</v>
      </c>
      <c r="F70" s="8">
        <v>45</v>
      </c>
      <c r="G70" s="8">
        <v>50</v>
      </c>
      <c r="H70" s="8">
        <v>80</v>
      </c>
      <c r="I70" s="8">
        <v>50</v>
      </c>
      <c r="J70" s="8">
        <v>120</v>
      </c>
      <c r="K70" s="8">
        <v>103</v>
      </c>
      <c r="L70" s="8">
        <v>69</v>
      </c>
      <c r="M70" s="3" t="s">
        <v>144</v>
      </c>
      <c r="N70">
        <v>100</v>
      </c>
      <c r="O70" cm="1">
        <f t="array" ref="O70">_xlfn.XLOOKUP(C70,Table1[[#All],[Colour]],Table1[[#All],[Cost]],0)</f>
        <v>2.8</v>
      </c>
      <c r="P70">
        <f t="shared" si="3"/>
        <v>22.4</v>
      </c>
      <c r="Q70">
        <f t="shared" si="4"/>
        <v>102.6</v>
      </c>
      <c r="R70">
        <f t="shared" si="5"/>
        <v>82.08</v>
      </c>
    </row>
    <row r="71" spans="1:18" hidden="1" x14ac:dyDescent="0.3">
      <c r="A71" t="s">
        <v>65</v>
      </c>
      <c r="B71" s="2" t="s">
        <v>59</v>
      </c>
      <c r="C71" s="2" t="s">
        <v>9</v>
      </c>
      <c r="D71" s="3">
        <v>10</v>
      </c>
      <c r="E71" s="3">
        <v>130</v>
      </c>
      <c r="F71" s="8">
        <v>38</v>
      </c>
      <c r="G71" s="8">
        <v>16</v>
      </c>
      <c r="H71" s="8">
        <v>36</v>
      </c>
      <c r="I71" s="8">
        <v>79</v>
      </c>
      <c r="J71" s="8">
        <v>23</v>
      </c>
      <c r="K71" s="8">
        <v>78</v>
      </c>
      <c r="L71" s="8">
        <v>124</v>
      </c>
      <c r="M71" s="3" t="s">
        <v>10</v>
      </c>
      <c r="N71">
        <v>97</v>
      </c>
      <c r="O71" cm="1">
        <f t="array" ref="O71">_xlfn.XLOOKUP(C71,Table1[[#All],[Colour]],Table1[[#All],[Cost]],0)</f>
        <v>2.8</v>
      </c>
      <c r="P71">
        <f t="shared" si="3"/>
        <v>28</v>
      </c>
      <c r="Q71">
        <f t="shared" si="4"/>
        <v>102</v>
      </c>
      <c r="R71">
        <f t="shared" si="5"/>
        <v>78.461538461538467</v>
      </c>
    </row>
    <row r="72" spans="1:18" x14ac:dyDescent="0.3">
      <c r="A72" t="s">
        <v>77</v>
      </c>
      <c r="B72" s="2" t="s">
        <v>55</v>
      </c>
      <c r="C72" s="2" t="s">
        <v>9</v>
      </c>
      <c r="D72" s="3">
        <v>10</v>
      </c>
      <c r="E72" s="3">
        <v>130</v>
      </c>
      <c r="F72" s="8">
        <v>15</v>
      </c>
      <c r="G72" s="8">
        <v>15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3" t="s">
        <v>10</v>
      </c>
      <c r="N72">
        <v>94</v>
      </c>
      <c r="O72" cm="1">
        <f t="array" ref="O72">_xlfn.XLOOKUP(C72,Table1[[#All],[Colour]],Table1[[#All],[Cost]],0)</f>
        <v>2.8</v>
      </c>
      <c r="P72">
        <f t="shared" si="3"/>
        <v>28</v>
      </c>
      <c r="Q72">
        <f t="shared" si="4"/>
        <v>102</v>
      </c>
      <c r="R72">
        <f t="shared" si="5"/>
        <v>78.461538461538467</v>
      </c>
    </row>
    <row r="73" spans="1:18" x14ac:dyDescent="0.3">
      <c r="A73" t="s">
        <v>179</v>
      </c>
      <c r="B73" t="s">
        <v>180</v>
      </c>
      <c r="C73" s="2" t="s">
        <v>9</v>
      </c>
      <c r="D73" s="3">
        <v>7</v>
      </c>
      <c r="E73" s="3">
        <v>120</v>
      </c>
      <c r="F73" s="8">
        <v>10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3" t="s">
        <v>144</v>
      </c>
      <c r="N73">
        <v>98</v>
      </c>
      <c r="O73" cm="1">
        <f t="array" ref="O73">_xlfn.XLOOKUP(C73,Table1[[#All],[Colour]],Table1[[#All],[Cost]],0)</f>
        <v>2.8</v>
      </c>
      <c r="P73">
        <f t="shared" si="3"/>
        <v>19.599999999999998</v>
      </c>
      <c r="Q73">
        <f t="shared" si="4"/>
        <v>100.4</v>
      </c>
      <c r="R73">
        <f t="shared" si="5"/>
        <v>83.666666666666671</v>
      </c>
    </row>
    <row r="74" spans="1:18" hidden="1" x14ac:dyDescent="0.3">
      <c r="A74" t="s">
        <v>145</v>
      </c>
      <c r="B74" t="s">
        <v>146</v>
      </c>
      <c r="C74" s="2" t="s">
        <v>9</v>
      </c>
      <c r="D74" s="3">
        <v>20</v>
      </c>
      <c r="E74" s="3">
        <v>150</v>
      </c>
      <c r="F74" s="8">
        <v>230</v>
      </c>
      <c r="G74" s="8">
        <v>215</v>
      </c>
      <c r="H74" s="8">
        <v>150</v>
      </c>
      <c r="I74" s="8">
        <v>20</v>
      </c>
      <c r="J74" s="8">
        <v>80</v>
      </c>
      <c r="K74" s="8">
        <v>40</v>
      </c>
      <c r="L74" s="8">
        <v>50</v>
      </c>
      <c r="M74" s="3" t="s">
        <v>144</v>
      </c>
      <c r="N74">
        <v>97</v>
      </c>
      <c r="O74" cm="1">
        <f t="array" ref="O74">_xlfn.XLOOKUP(C74,Table1[[#All],[Colour]],Table1[[#All],[Cost]],0)</f>
        <v>2.8</v>
      </c>
      <c r="P74">
        <f t="shared" si="3"/>
        <v>56</v>
      </c>
      <c r="Q74">
        <f t="shared" si="4"/>
        <v>94</v>
      </c>
      <c r="R74">
        <f t="shared" si="5"/>
        <v>62.666666666666671</v>
      </c>
    </row>
    <row r="75" spans="1:18" hidden="1" x14ac:dyDescent="0.3">
      <c r="A75" t="s">
        <v>18</v>
      </c>
      <c r="B75" t="s">
        <v>19</v>
      </c>
      <c r="C75" t="s">
        <v>9</v>
      </c>
      <c r="D75" s="3">
        <v>35</v>
      </c>
      <c r="E75" s="3">
        <v>185</v>
      </c>
      <c r="F75" s="8">
        <v>112</v>
      </c>
      <c r="G75" s="8">
        <v>98</v>
      </c>
      <c r="H75" s="8">
        <v>92</v>
      </c>
      <c r="I75" s="8">
        <v>235</v>
      </c>
      <c r="J75" s="8">
        <v>176</v>
      </c>
      <c r="K75" s="8">
        <v>88</v>
      </c>
      <c r="L75" s="8">
        <v>28</v>
      </c>
      <c r="M75" s="3" t="s">
        <v>10</v>
      </c>
      <c r="N75">
        <v>97</v>
      </c>
      <c r="O75" cm="1">
        <f t="array" ref="O75">_xlfn.XLOOKUP(C75,Table1[[#All],[Colour]],Table1[[#All],[Cost]],0)</f>
        <v>2.8</v>
      </c>
      <c r="P75">
        <f t="shared" si="3"/>
        <v>98</v>
      </c>
      <c r="Q75">
        <f t="shared" si="4"/>
        <v>87</v>
      </c>
      <c r="R75">
        <f t="shared" si="5"/>
        <v>47.027027027027032</v>
      </c>
    </row>
    <row r="76" spans="1:18" hidden="1" x14ac:dyDescent="0.3">
      <c r="A76" t="s">
        <v>181</v>
      </c>
      <c r="B76" t="s">
        <v>170</v>
      </c>
      <c r="C76" s="2" t="s">
        <v>9</v>
      </c>
      <c r="D76" s="3">
        <v>5</v>
      </c>
      <c r="E76" s="3">
        <v>100</v>
      </c>
      <c r="F76" s="8">
        <v>5</v>
      </c>
      <c r="G76" s="8">
        <v>7</v>
      </c>
      <c r="H76" s="8">
        <v>3</v>
      </c>
      <c r="I76" s="8">
        <v>8</v>
      </c>
      <c r="J76" s="8">
        <v>0</v>
      </c>
      <c r="K76" s="8">
        <v>0</v>
      </c>
      <c r="L76" s="8">
        <v>0</v>
      </c>
      <c r="M76" s="3" t="s">
        <v>144</v>
      </c>
      <c r="N76">
        <v>91</v>
      </c>
      <c r="O76" cm="1">
        <f t="array" ref="O76">_xlfn.XLOOKUP(C76,Table1[[#All],[Colour]],Table1[[#All],[Cost]],0)</f>
        <v>2.8</v>
      </c>
      <c r="P76">
        <f t="shared" si="3"/>
        <v>14</v>
      </c>
      <c r="Q76">
        <f t="shared" si="4"/>
        <v>86</v>
      </c>
      <c r="R76">
        <f t="shared" si="5"/>
        <v>86</v>
      </c>
    </row>
    <row r="77" spans="1:18" x14ac:dyDescent="0.3">
      <c r="A77" t="s">
        <v>78</v>
      </c>
      <c r="B77" s="2" t="s">
        <v>79</v>
      </c>
      <c r="C77" s="2" t="s">
        <v>43</v>
      </c>
      <c r="D77" s="3">
        <v>5.5</v>
      </c>
      <c r="E77" s="3">
        <v>99</v>
      </c>
      <c r="F77" s="8">
        <v>2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3" t="s">
        <v>10</v>
      </c>
      <c r="N77">
        <v>90</v>
      </c>
      <c r="O77" cm="1">
        <f t="array" ref="O77">_xlfn.XLOOKUP(C77,Table1[[#All],[Colour]],Table1[[#All],[Cost]],0)</f>
        <v>3</v>
      </c>
      <c r="P77">
        <f t="shared" si="3"/>
        <v>16.5</v>
      </c>
      <c r="Q77">
        <f t="shared" si="4"/>
        <v>82.5</v>
      </c>
      <c r="R77">
        <f t="shared" si="5"/>
        <v>83.333333333333343</v>
      </c>
    </row>
    <row r="78" spans="1:18" x14ac:dyDescent="0.3">
      <c r="A78" t="s">
        <v>78</v>
      </c>
      <c r="B78" s="2" t="s">
        <v>79</v>
      </c>
      <c r="C78" s="2" t="s">
        <v>17</v>
      </c>
      <c r="D78" s="3">
        <v>5.5</v>
      </c>
      <c r="E78" s="3">
        <v>99</v>
      </c>
      <c r="F78" s="8">
        <v>13</v>
      </c>
      <c r="G78" s="8">
        <v>10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3" t="s">
        <v>10</v>
      </c>
      <c r="N78">
        <v>93</v>
      </c>
      <c r="O78" cm="1">
        <f t="array" ref="O78">_xlfn.XLOOKUP(C78,Table1[[#All],[Colour]],Table1[[#All],[Cost]],0)</f>
        <v>3.2</v>
      </c>
      <c r="P78">
        <f t="shared" si="3"/>
        <v>17.600000000000001</v>
      </c>
      <c r="Q78">
        <f t="shared" si="4"/>
        <v>81.400000000000006</v>
      </c>
      <c r="R78">
        <f t="shared" si="5"/>
        <v>82.222222222222229</v>
      </c>
    </row>
    <row r="79" spans="1:18" x14ac:dyDescent="0.3">
      <c r="A79" t="s">
        <v>60</v>
      </c>
      <c r="B79" s="2" t="s">
        <v>59</v>
      </c>
      <c r="C79" s="2" t="s">
        <v>17</v>
      </c>
      <c r="D79" s="3">
        <v>5.5</v>
      </c>
      <c r="E79" s="3">
        <v>95</v>
      </c>
      <c r="F79" s="8">
        <v>35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3" t="s">
        <v>10</v>
      </c>
      <c r="N79">
        <v>96</v>
      </c>
      <c r="O79" cm="1">
        <f t="array" ref="O79">_xlfn.XLOOKUP(C79,Table1[[#All],[Colour]],Table1[[#All],[Cost]],0)</f>
        <v>3.2</v>
      </c>
      <c r="P79">
        <f t="shared" si="3"/>
        <v>17.600000000000001</v>
      </c>
      <c r="Q79">
        <f t="shared" si="4"/>
        <v>77.400000000000006</v>
      </c>
      <c r="R79">
        <f t="shared" si="5"/>
        <v>81.473684210526315</v>
      </c>
    </row>
    <row r="80" spans="1:18" hidden="1" x14ac:dyDescent="0.3">
      <c r="A80" t="s">
        <v>67</v>
      </c>
      <c r="B80" t="s">
        <v>68</v>
      </c>
      <c r="C80" s="2" t="s">
        <v>9</v>
      </c>
      <c r="D80" s="3">
        <v>5</v>
      </c>
      <c r="E80" s="3">
        <v>85</v>
      </c>
      <c r="F80" s="8">
        <v>268</v>
      </c>
      <c r="G80" s="8">
        <v>253</v>
      </c>
      <c r="H80" s="8">
        <v>178</v>
      </c>
      <c r="I80" s="8">
        <v>360</v>
      </c>
      <c r="J80" s="8">
        <v>816</v>
      </c>
      <c r="K80" s="8">
        <v>410</v>
      </c>
      <c r="L80" s="8">
        <v>301</v>
      </c>
      <c r="M80" s="3" t="s">
        <v>10</v>
      </c>
      <c r="N80">
        <v>93</v>
      </c>
      <c r="O80" cm="1">
        <f t="array" ref="O80">_xlfn.XLOOKUP(C80,Table1[[#All],[Colour]],Table1[[#All],[Cost]],0)</f>
        <v>2.8</v>
      </c>
      <c r="P80">
        <f t="shared" si="3"/>
        <v>14</v>
      </c>
      <c r="Q80">
        <f t="shared" si="4"/>
        <v>71</v>
      </c>
      <c r="R80">
        <f t="shared" si="5"/>
        <v>83.529411764705884</v>
      </c>
    </row>
    <row r="81" spans="1:18" x14ac:dyDescent="0.3">
      <c r="A81" t="s">
        <v>67</v>
      </c>
      <c r="B81" t="s">
        <v>68</v>
      </c>
      <c r="C81" s="2" t="s">
        <v>12</v>
      </c>
      <c r="D81" s="3">
        <v>5</v>
      </c>
      <c r="E81" s="3">
        <v>85</v>
      </c>
      <c r="F81" s="8">
        <v>180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3" t="s">
        <v>10</v>
      </c>
      <c r="N81">
        <v>98</v>
      </c>
      <c r="O81" cm="1">
        <f t="array" ref="O81">_xlfn.XLOOKUP(C81,Table1[[#All],[Colour]],Table1[[#All],[Cost]],0)</f>
        <v>3</v>
      </c>
      <c r="P81">
        <f t="shared" si="3"/>
        <v>15</v>
      </c>
      <c r="Q81">
        <f t="shared" si="4"/>
        <v>70</v>
      </c>
      <c r="R81">
        <f t="shared" si="5"/>
        <v>82.35294117647058</v>
      </c>
    </row>
    <row r="82" spans="1:18" x14ac:dyDescent="0.3">
      <c r="A82" t="s">
        <v>78</v>
      </c>
      <c r="B82" s="2" t="s">
        <v>79</v>
      </c>
      <c r="C82" s="2" t="s">
        <v>12</v>
      </c>
      <c r="D82" s="3">
        <v>5.5</v>
      </c>
      <c r="E82" s="3">
        <v>85</v>
      </c>
      <c r="F82" s="8">
        <v>10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3" t="s">
        <v>10</v>
      </c>
      <c r="N82">
        <v>100</v>
      </c>
      <c r="O82" cm="1">
        <f t="array" ref="O82">_xlfn.XLOOKUP(C82,Table1[[#All],[Colour]],Table1[[#All],[Cost]],0)</f>
        <v>3</v>
      </c>
      <c r="P82">
        <f t="shared" si="3"/>
        <v>16.5</v>
      </c>
      <c r="Q82">
        <f t="shared" si="4"/>
        <v>68.5</v>
      </c>
      <c r="R82">
        <f t="shared" si="5"/>
        <v>80.588235294117652</v>
      </c>
    </row>
    <row r="83" spans="1:18" x14ac:dyDescent="0.3">
      <c r="A83" t="s">
        <v>39</v>
      </c>
      <c r="B83" t="s">
        <v>40</v>
      </c>
      <c r="C83" s="2" t="s">
        <v>17</v>
      </c>
      <c r="D83" s="3">
        <v>35</v>
      </c>
      <c r="E83" s="3">
        <v>180</v>
      </c>
      <c r="F83" s="8">
        <v>0</v>
      </c>
      <c r="G83" s="8">
        <v>89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3" t="s">
        <v>10</v>
      </c>
      <c r="N83">
        <v>92</v>
      </c>
      <c r="O83" cm="1">
        <f t="array" ref="O83">_xlfn.XLOOKUP(C83,Table1[[#All],[Colour]],Table1[[#All],[Cost]],0)</f>
        <v>3.2</v>
      </c>
      <c r="P83">
        <f t="shared" si="3"/>
        <v>112</v>
      </c>
      <c r="Q83">
        <f t="shared" si="4"/>
        <v>68</v>
      </c>
      <c r="R83">
        <f t="shared" si="5"/>
        <v>37.777777777777779</v>
      </c>
    </row>
    <row r="84" spans="1:18" x14ac:dyDescent="0.3">
      <c r="A84" t="s">
        <v>39</v>
      </c>
      <c r="B84" t="s">
        <v>40</v>
      </c>
      <c r="C84" s="2" t="s">
        <v>38</v>
      </c>
      <c r="D84" s="3">
        <v>35</v>
      </c>
      <c r="E84" s="3">
        <v>180</v>
      </c>
      <c r="F84" s="8">
        <v>5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3" t="s">
        <v>10</v>
      </c>
      <c r="N84">
        <v>98</v>
      </c>
      <c r="O84" cm="1">
        <f t="array" ref="O84">_xlfn.XLOOKUP(C84,Table1[[#All],[Colour]],Table1[[#All],[Cost]],0)</f>
        <v>3.2</v>
      </c>
      <c r="P84">
        <f t="shared" si="3"/>
        <v>112</v>
      </c>
      <c r="Q84">
        <f t="shared" si="4"/>
        <v>68</v>
      </c>
      <c r="R84">
        <f t="shared" si="5"/>
        <v>37.777777777777779</v>
      </c>
    </row>
    <row r="85" spans="1:18" x14ac:dyDescent="0.3">
      <c r="A85" t="s">
        <v>39</v>
      </c>
      <c r="B85" t="s">
        <v>40</v>
      </c>
      <c r="C85" s="2" t="s">
        <v>41</v>
      </c>
      <c r="D85" s="3">
        <v>35</v>
      </c>
      <c r="E85" s="3">
        <v>180</v>
      </c>
      <c r="F85" s="8">
        <v>5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3" t="s">
        <v>10</v>
      </c>
      <c r="N85">
        <v>97</v>
      </c>
      <c r="O85" cm="1">
        <f t="array" ref="O85">_xlfn.XLOOKUP(C85,Table1[[#All],[Colour]],Table1[[#All],[Cost]],0)</f>
        <v>3.2</v>
      </c>
      <c r="P85">
        <f t="shared" si="3"/>
        <v>112</v>
      </c>
      <c r="Q85">
        <f t="shared" si="4"/>
        <v>68</v>
      </c>
      <c r="R85">
        <f t="shared" si="5"/>
        <v>37.777777777777779</v>
      </c>
    </row>
    <row r="86" spans="1:18" x14ac:dyDescent="0.3">
      <c r="A86" t="s">
        <v>72</v>
      </c>
      <c r="B86" s="2" t="s">
        <v>73</v>
      </c>
      <c r="C86" s="2" t="s">
        <v>17</v>
      </c>
      <c r="D86" s="3">
        <v>7</v>
      </c>
      <c r="E86" s="3">
        <v>90</v>
      </c>
      <c r="F86" s="8">
        <v>25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3" t="s">
        <v>10</v>
      </c>
      <c r="N86">
        <v>92</v>
      </c>
      <c r="O86" cm="1">
        <f t="array" ref="O86">_xlfn.XLOOKUP(C86,Table1[[#All],[Colour]],Table1[[#All],[Cost]],0)</f>
        <v>3.2</v>
      </c>
      <c r="P86">
        <f t="shared" si="3"/>
        <v>22.400000000000002</v>
      </c>
      <c r="Q86">
        <f t="shared" si="4"/>
        <v>67.599999999999994</v>
      </c>
      <c r="R86">
        <f t="shared" si="5"/>
        <v>75.1111111111111</v>
      </c>
    </row>
    <row r="87" spans="1:18" x14ac:dyDescent="0.3">
      <c r="A87" t="s">
        <v>60</v>
      </c>
      <c r="B87" s="2" t="s">
        <v>59</v>
      </c>
      <c r="C87" s="2" t="s">
        <v>12</v>
      </c>
      <c r="D87" s="3">
        <v>5.5</v>
      </c>
      <c r="E87" s="3">
        <v>80</v>
      </c>
      <c r="F87" s="8">
        <v>200</v>
      </c>
      <c r="G87" s="8">
        <v>45</v>
      </c>
      <c r="H87" s="8">
        <v>5</v>
      </c>
      <c r="I87" s="8">
        <v>0</v>
      </c>
      <c r="J87" s="8">
        <v>0</v>
      </c>
      <c r="K87" s="8">
        <v>0</v>
      </c>
      <c r="L87" s="8">
        <v>0</v>
      </c>
      <c r="M87" s="3" t="s">
        <v>10</v>
      </c>
      <c r="N87">
        <v>92</v>
      </c>
      <c r="O87" cm="1">
        <f t="array" ref="O87">_xlfn.XLOOKUP(C87,Table1[[#All],[Colour]],Table1[[#All],[Cost]],0)</f>
        <v>3</v>
      </c>
      <c r="P87">
        <f t="shared" si="3"/>
        <v>16.5</v>
      </c>
      <c r="Q87">
        <f t="shared" si="4"/>
        <v>63.5</v>
      </c>
      <c r="R87">
        <f t="shared" si="5"/>
        <v>79.375</v>
      </c>
    </row>
    <row r="88" spans="1:18" hidden="1" x14ac:dyDescent="0.3">
      <c r="A88" t="s">
        <v>60</v>
      </c>
      <c r="B88" s="2" t="s">
        <v>59</v>
      </c>
      <c r="C88" s="2" t="s">
        <v>9</v>
      </c>
      <c r="D88" s="3">
        <v>5.5</v>
      </c>
      <c r="E88" s="3">
        <v>75</v>
      </c>
      <c r="F88" s="8">
        <v>45</v>
      </c>
      <c r="G88" s="8">
        <v>3</v>
      </c>
      <c r="H88" s="8">
        <v>10</v>
      </c>
      <c r="I88" s="8">
        <v>21</v>
      </c>
      <c r="J88" s="8">
        <v>1</v>
      </c>
      <c r="K88" s="8">
        <v>40</v>
      </c>
      <c r="L88" s="8">
        <v>41</v>
      </c>
      <c r="M88" s="3" t="s">
        <v>10</v>
      </c>
      <c r="N88">
        <v>91</v>
      </c>
      <c r="O88" cm="1">
        <f t="array" ref="O88">_xlfn.XLOOKUP(C88,Table1[[#All],[Colour]],Table1[[#All],[Cost]],0)</f>
        <v>2.8</v>
      </c>
      <c r="P88">
        <f t="shared" si="3"/>
        <v>15.399999999999999</v>
      </c>
      <c r="Q88">
        <f t="shared" si="4"/>
        <v>59.6</v>
      </c>
      <c r="R88">
        <f t="shared" si="5"/>
        <v>79.466666666666669</v>
      </c>
    </row>
    <row r="89" spans="1:18" hidden="1" x14ac:dyDescent="0.3">
      <c r="A89" t="s">
        <v>78</v>
      </c>
      <c r="B89" s="2" t="s">
        <v>79</v>
      </c>
      <c r="C89" s="2" t="s">
        <v>9</v>
      </c>
      <c r="D89" s="3">
        <v>5.5</v>
      </c>
      <c r="E89" s="3">
        <v>75</v>
      </c>
      <c r="F89" s="8">
        <v>15</v>
      </c>
      <c r="G89" s="8">
        <v>15</v>
      </c>
      <c r="H89" s="8">
        <v>7</v>
      </c>
      <c r="I89" s="8">
        <v>8</v>
      </c>
      <c r="J89" s="8">
        <v>27</v>
      </c>
      <c r="K89" s="8">
        <v>12</v>
      </c>
      <c r="L89" s="8">
        <v>177</v>
      </c>
      <c r="M89" s="3" t="s">
        <v>10</v>
      </c>
      <c r="N89">
        <v>97</v>
      </c>
      <c r="O89" cm="1">
        <f t="array" ref="O89">_xlfn.XLOOKUP(C89,Table1[[#All],[Colour]],Table1[[#All],[Cost]],0)</f>
        <v>2.8</v>
      </c>
      <c r="P89">
        <f t="shared" si="3"/>
        <v>15.399999999999999</v>
      </c>
      <c r="Q89">
        <f t="shared" si="4"/>
        <v>59.6</v>
      </c>
      <c r="R89">
        <f t="shared" si="5"/>
        <v>79.466666666666669</v>
      </c>
    </row>
    <row r="90" spans="1:18" x14ac:dyDescent="0.3">
      <c r="A90" t="s">
        <v>71</v>
      </c>
      <c r="B90" s="2" t="s">
        <v>55</v>
      </c>
      <c r="C90" s="2" t="s">
        <v>17</v>
      </c>
      <c r="D90" s="3">
        <v>8</v>
      </c>
      <c r="E90" s="3">
        <v>85</v>
      </c>
      <c r="F90" s="8">
        <v>5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3" t="s">
        <v>10</v>
      </c>
      <c r="N90">
        <v>97</v>
      </c>
      <c r="O90" cm="1">
        <f t="array" ref="O90">_xlfn.XLOOKUP(C90,Table1[[#All],[Colour]],Table1[[#All],[Cost]],0)</f>
        <v>3.2</v>
      </c>
      <c r="P90">
        <f t="shared" si="3"/>
        <v>25.6</v>
      </c>
      <c r="Q90">
        <f t="shared" si="4"/>
        <v>59.4</v>
      </c>
      <c r="R90">
        <f t="shared" si="5"/>
        <v>69.882352941176478</v>
      </c>
    </row>
    <row r="91" spans="1:18" hidden="1" x14ac:dyDescent="0.3">
      <c r="A91" t="s">
        <v>72</v>
      </c>
      <c r="B91" s="2" t="s">
        <v>73</v>
      </c>
      <c r="C91" s="2" t="s">
        <v>12</v>
      </c>
      <c r="D91" s="3">
        <v>7</v>
      </c>
      <c r="E91" s="3">
        <v>79</v>
      </c>
      <c r="F91" s="8">
        <v>40</v>
      </c>
      <c r="G91" s="8">
        <v>32</v>
      </c>
      <c r="H91" s="8">
        <v>45</v>
      </c>
      <c r="I91" s="8">
        <v>13</v>
      </c>
      <c r="J91" s="8">
        <v>25</v>
      </c>
      <c r="K91" s="8">
        <v>66</v>
      </c>
      <c r="L91" s="8">
        <v>45</v>
      </c>
      <c r="M91" s="3" t="s">
        <v>10</v>
      </c>
      <c r="N91">
        <v>92</v>
      </c>
      <c r="O91" cm="1">
        <f t="array" ref="O91">_xlfn.XLOOKUP(C91,Table1[[#All],[Colour]],Table1[[#All],[Cost]],0)</f>
        <v>3</v>
      </c>
      <c r="P91">
        <f t="shared" si="3"/>
        <v>21</v>
      </c>
      <c r="Q91">
        <f t="shared" si="4"/>
        <v>58</v>
      </c>
      <c r="R91">
        <f t="shared" si="5"/>
        <v>73.417721518987349</v>
      </c>
    </row>
    <row r="92" spans="1:18" x14ac:dyDescent="0.3">
      <c r="A92" t="s">
        <v>72</v>
      </c>
      <c r="B92" s="2" t="s">
        <v>73</v>
      </c>
      <c r="C92" s="2" t="s">
        <v>43</v>
      </c>
      <c r="D92" s="3">
        <v>7</v>
      </c>
      <c r="E92" s="3">
        <v>79</v>
      </c>
      <c r="F92" s="8">
        <v>0</v>
      </c>
      <c r="G92" s="8">
        <v>3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3" t="s">
        <v>10</v>
      </c>
      <c r="N92">
        <v>93</v>
      </c>
      <c r="O92" cm="1">
        <f t="array" ref="O92">_xlfn.XLOOKUP(C92,Table1[[#All],[Colour]],Table1[[#All],[Cost]],0)</f>
        <v>3</v>
      </c>
      <c r="P92">
        <f t="shared" si="3"/>
        <v>21</v>
      </c>
      <c r="Q92">
        <f t="shared" si="4"/>
        <v>58</v>
      </c>
      <c r="R92">
        <f t="shared" si="5"/>
        <v>73.417721518987349</v>
      </c>
    </row>
    <row r="93" spans="1:18" hidden="1" x14ac:dyDescent="0.3">
      <c r="A93" t="s">
        <v>63</v>
      </c>
      <c r="B93" t="s">
        <v>59</v>
      </c>
      <c r="C93" s="2" t="s">
        <v>12</v>
      </c>
      <c r="D93" s="3">
        <v>8</v>
      </c>
      <c r="E93" s="3">
        <v>80</v>
      </c>
      <c r="F93" s="8">
        <v>189</v>
      </c>
      <c r="G93" s="8">
        <v>144</v>
      </c>
      <c r="H93" s="8">
        <v>64</v>
      </c>
      <c r="I93" s="8">
        <v>0</v>
      </c>
      <c r="J93" s="8">
        <v>87</v>
      </c>
      <c r="K93" s="8">
        <v>153</v>
      </c>
      <c r="L93" s="8">
        <v>145</v>
      </c>
      <c r="M93" s="3" t="s">
        <v>10</v>
      </c>
      <c r="N93">
        <v>98</v>
      </c>
      <c r="O93" cm="1">
        <f t="array" ref="O93">_xlfn.XLOOKUP(C93,Table1[[#All],[Colour]],Table1[[#All],[Cost]],0)</f>
        <v>3</v>
      </c>
      <c r="P93">
        <f t="shared" si="3"/>
        <v>24</v>
      </c>
      <c r="Q93">
        <f t="shared" si="4"/>
        <v>56</v>
      </c>
      <c r="R93">
        <f t="shared" si="5"/>
        <v>70</v>
      </c>
    </row>
    <row r="94" spans="1:18" hidden="1" x14ac:dyDescent="0.3">
      <c r="A94" t="s">
        <v>34</v>
      </c>
      <c r="B94" s="2" t="s">
        <v>35</v>
      </c>
      <c r="C94" s="2" t="s">
        <v>12</v>
      </c>
      <c r="D94" s="3">
        <v>5</v>
      </c>
      <c r="E94" s="3">
        <v>70</v>
      </c>
      <c r="F94" s="8">
        <v>890</v>
      </c>
      <c r="G94" s="8">
        <v>765</v>
      </c>
      <c r="H94" s="8">
        <v>521</v>
      </c>
      <c r="I94" s="8">
        <v>220</v>
      </c>
      <c r="J94" s="8">
        <v>349</v>
      </c>
      <c r="K94" s="8">
        <v>1385</v>
      </c>
      <c r="L94" s="8">
        <v>1290</v>
      </c>
      <c r="M94" s="3" t="s">
        <v>10</v>
      </c>
      <c r="N94">
        <v>93</v>
      </c>
      <c r="O94" cm="1">
        <f t="array" ref="O94">_xlfn.XLOOKUP(C94,Table1[[#All],[Colour]],Table1[[#All],[Cost]],0)</f>
        <v>3</v>
      </c>
      <c r="P94">
        <f t="shared" si="3"/>
        <v>15</v>
      </c>
      <c r="Q94">
        <f t="shared" si="4"/>
        <v>55</v>
      </c>
      <c r="R94">
        <f t="shared" si="5"/>
        <v>78.571428571428569</v>
      </c>
    </row>
    <row r="95" spans="1:18" x14ac:dyDescent="0.3">
      <c r="A95" t="s">
        <v>34</v>
      </c>
      <c r="B95" s="2" t="s">
        <v>35</v>
      </c>
      <c r="C95" s="2" t="s">
        <v>14</v>
      </c>
      <c r="D95" s="3">
        <v>5</v>
      </c>
      <c r="E95" s="3">
        <v>70</v>
      </c>
      <c r="F95" s="8">
        <v>23</v>
      </c>
      <c r="G95" s="8">
        <v>5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3" t="s">
        <v>10</v>
      </c>
      <c r="N95">
        <v>93</v>
      </c>
      <c r="O95" cm="1">
        <f t="array" ref="O95">_xlfn.XLOOKUP(C95,Table1[[#All],[Colour]],Table1[[#All],[Cost]],0)</f>
        <v>3</v>
      </c>
      <c r="P95">
        <f t="shared" si="3"/>
        <v>15</v>
      </c>
      <c r="Q95">
        <f t="shared" si="4"/>
        <v>55</v>
      </c>
      <c r="R95">
        <f t="shared" si="5"/>
        <v>78.571428571428569</v>
      </c>
    </row>
    <row r="96" spans="1:18" x14ac:dyDescent="0.3">
      <c r="A96" t="s">
        <v>34</v>
      </c>
      <c r="B96" s="2" t="s">
        <v>35</v>
      </c>
      <c r="C96" s="2" t="s">
        <v>25</v>
      </c>
      <c r="D96" s="3">
        <v>5</v>
      </c>
      <c r="E96" s="3">
        <v>70</v>
      </c>
      <c r="F96" s="8">
        <v>15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3" t="s">
        <v>10</v>
      </c>
      <c r="N96">
        <v>99</v>
      </c>
      <c r="O96" cm="1">
        <f t="array" ref="O96">_xlfn.XLOOKUP(C96,Table1[[#All],[Colour]],Table1[[#All],[Cost]],0)</f>
        <v>3</v>
      </c>
      <c r="P96">
        <f t="shared" si="3"/>
        <v>15</v>
      </c>
      <c r="Q96">
        <f t="shared" si="4"/>
        <v>55</v>
      </c>
      <c r="R96">
        <f t="shared" si="5"/>
        <v>78.571428571428569</v>
      </c>
    </row>
    <row r="97" spans="1:18" x14ac:dyDescent="0.3">
      <c r="A97" t="s">
        <v>63</v>
      </c>
      <c r="B97" t="s">
        <v>59</v>
      </c>
      <c r="C97" s="2" t="s">
        <v>17</v>
      </c>
      <c r="D97" s="3">
        <v>8</v>
      </c>
      <c r="E97" s="3">
        <v>80</v>
      </c>
      <c r="F97" s="8">
        <v>35</v>
      </c>
      <c r="G97" s="8">
        <v>23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3" t="s">
        <v>10</v>
      </c>
      <c r="N97">
        <v>93</v>
      </c>
      <c r="O97" cm="1">
        <f t="array" ref="O97">_xlfn.XLOOKUP(C97,Table1[[#All],[Colour]],Table1[[#All],[Cost]],0)</f>
        <v>3.2</v>
      </c>
      <c r="P97">
        <f t="shared" si="3"/>
        <v>25.6</v>
      </c>
      <c r="Q97">
        <f t="shared" si="4"/>
        <v>54.4</v>
      </c>
      <c r="R97">
        <f t="shared" si="5"/>
        <v>68</v>
      </c>
    </row>
    <row r="98" spans="1:18" x14ac:dyDescent="0.3">
      <c r="A98" t="s">
        <v>58</v>
      </c>
      <c r="B98" t="s">
        <v>59</v>
      </c>
      <c r="C98" s="2" t="s">
        <v>17</v>
      </c>
      <c r="D98" s="3">
        <v>3.5</v>
      </c>
      <c r="E98" s="3">
        <v>65</v>
      </c>
      <c r="F98" s="8">
        <v>35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3" t="s">
        <v>10</v>
      </c>
      <c r="N98">
        <v>96</v>
      </c>
      <c r="O98" cm="1">
        <f t="array" ref="O98">_xlfn.XLOOKUP(C98,Table1[[#All],[Colour]],Table1[[#All],[Cost]],0)</f>
        <v>3.2</v>
      </c>
      <c r="P98">
        <f t="shared" si="3"/>
        <v>11.200000000000001</v>
      </c>
      <c r="Q98">
        <f t="shared" si="4"/>
        <v>53.8</v>
      </c>
      <c r="R98">
        <f t="shared" si="5"/>
        <v>82.769230769230759</v>
      </c>
    </row>
    <row r="99" spans="1:18" x14ac:dyDescent="0.3">
      <c r="A99" t="s">
        <v>76</v>
      </c>
      <c r="B99" s="2" t="s">
        <v>59</v>
      </c>
      <c r="C99" s="2" t="s">
        <v>12</v>
      </c>
      <c r="D99" s="3">
        <v>6</v>
      </c>
      <c r="E99" s="3">
        <v>70</v>
      </c>
      <c r="F99" s="8">
        <v>3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3" t="s">
        <v>10</v>
      </c>
      <c r="N99">
        <v>94</v>
      </c>
      <c r="O99" cm="1">
        <f t="array" ref="O99">_xlfn.XLOOKUP(C99,Table1[[#All],[Colour]],Table1[[#All],[Cost]],0)</f>
        <v>3</v>
      </c>
      <c r="P99">
        <f t="shared" si="3"/>
        <v>18</v>
      </c>
      <c r="Q99">
        <f t="shared" si="4"/>
        <v>52</v>
      </c>
      <c r="R99">
        <f t="shared" si="5"/>
        <v>74.285714285714292</v>
      </c>
    </row>
    <row r="100" spans="1:18" x14ac:dyDescent="0.3">
      <c r="A100" t="s">
        <v>76</v>
      </c>
      <c r="B100" s="2" t="s">
        <v>59</v>
      </c>
      <c r="C100" s="2" t="s">
        <v>43</v>
      </c>
      <c r="D100" s="3">
        <v>6</v>
      </c>
      <c r="E100" s="3">
        <v>70</v>
      </c>
      <c r="F100" s="8">
        <v>0</v>
      </c>
      <c r="G100" s="8">
        <v>3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3" t="s">
        <v>10</v>
      </c>
      <c r="N100">
        <v>90</v>
      </c>
      <c r="O100" cm="1">
        <f t="array" ref="O100">_xlfn.XLOOKUP(C100,Table1[[#All],[Colour]],Table1[[#All],[Cost]],0)</f>
        <v>3</v>
      </c>
      <c r="P100">
        <f t="shared" si="3"/>
        <v>18</v>
      </c>
      <c r="Q100">
        <f t="shared" si="4"/>
        <v>52</v>
      </c>
      <c r="R100">
        <f t="shared" si="5"/>
        <v>74.285714285714292</v>
      </c>
    </row>
    <row r="101" spans="1:18" hidden="1" x14ac:dyDescent="0.3">
      <c r="A101" t="s">
        <v>34</v>
      </c>
      <c r="B101" s="2" t="s">
        <v>35</v>
      </c>
      <c r="C101" s="2" t="s">
        <v>9</v>
      </c>
      <c r="D101" s="3">
        <v>5</v>
      </c>
      <c r="E101" s="3">
        <v>65</v>
      </c>
      <c r="F101" s="8">
        <v>728</v>
      </c>
      <c r="G101" s="8">
        <v>871</v>
      </c>
      <c r="H101" s="8">
        <v>913</v>
      </c>
      <c r="I101" s="8">
        <v>1800</v>
      </c>
      <c r="J101" s="8">
        <v>1315</v>
      </c>
      <c r="K101" s="8">
        <v>577</v>
      </c>
      <c r="L101" s="8">
        <v>573</v>
      </c>
      <c r="M101" s="3" t="s">
        <v>10</v>
      </c>
      <c r="N101">
        <v>93</v>
      </c>
      <c r="O101" cm="1">
        <f t="array" ref="O101">_xlfn.XLOOKUP(C101,Table1[[#All],[Colour]],Table1[[#All],[Cost]],0)</f>
        <v>2.8</v>
      </c>
      <c r="P101">
        <f t="shared" si="3"/>
        <v>14</v>
      </c>
      <c r="Q101">
        <f t="shared" si="4"/>
        <v>51</v>
      </c>
      <c r="R101">
        <f t="shared" si="5"/>
        <v>78.461538461538467</v>
      </c>
    </row>
    <row r="102" spans="1:18" hidden="1" x14ac:dyDescent="0.3">
      <c r="A102" t="s">
        <v>70</v>
      </c>
      <c r="B102" s="2" t="s">
        <v>47</v>
      </c>
      <c r="C102" s="2" t="s">
        <v>12</v>
      </c>
      <c r="D102" s="3">
        <v>5</v>
      </c>
      <c r="E102" s="3">
        <v>66</v>
      </c>
      <c r="F102" s="8">
        <v>87</v>
      </c>
      <c r="G102" s="8">
        <v>65</v>
      </c>
      <c r="H102" s="8">
        <v>50</v>
      </c>
      <c r="I102" s="8">
        <v>67</v>
      </c>
      <c r="J102" s="8">
        <v>50</v>
      </c>
      <c r="K102" s="8">
        <v>35</v>
      </c>
      <c r="L102" s="8">
        <v>55</v>
      </c>
      <c r="M102" s="3" t="s">
        <v>10</v>
      </c>
      <c r="N102">
        <v>91</v>
      </c>
      <c r="O102" cm="1">
        <f t="array" ref="O102">_xlfn.XLOOKUP(C102,Table1[[#All],[Colour]],Table1[[#All],[Cost]],0)</f>
        <v>3</v>
      </c>
      <c r="P102">
        <f t="shared" si="3"/>
        <v>15</v>
      </c>
      <c r="Q102">
        <f t="shared" si="4"/>
        <v>51</v>
      </c>
      <c r="R102">
        <f t="shared" si="5"/>
        <v>77.272727272727266</v>
      </c>
    </row>
    <row r="103" spans="1:18" x14ac:dyDescent="0.3">
      <c r="A103" t="s">
        <v>70</v>
      </c>
      <c r="B103" s="2" t="s">
        <v>47</v>
      </c>
      <c r="C103" s="2" t="s">
        <v>43</v>
      </c>
      <c r="D103" s="3">
        <v>5</v>
      </c>
      <c r="E103" s="3">
        <v>66</v>
      </c>
      <c r="F103" s="8">
        <v>0</v>
      </c>
      <c r="G103" s="8">
        <v>5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3" t="s">
        <v>10</v>
      </c>
      <c r="N103">
        <v>91</v>
      </c>
      <c r="O103" cm="1">
        <f t="array" ref="O103">_xlfn.XLOOKUP(C103,Table1[[#All],[Colour]],Table1[[#All],[Cost]],0)</f>
        <v>3</v>
      </c>
      <c r="P103">
        <f t="shared" si="3"/>
        <v>15</v>
      </c>
      <c r="Q103">
        <f t="shared" si="4"/>
        <v>51</v>
      </c>
      <c r="R103">
        <f t="shared" si="5"/>
        <v>77.272727272727266</v>
      </c>
    </row>
    <row r="104" spans="1:18" x14ac:dyDescent="0.3">
      <c r="A104" t="s">
        <v>70</v>
      </c>
      <c r="B104" s="2" t="s">
        <v>47</v>
      </c>
      <c r="C104" s="2" t="s">
        <v>13</v>
      </c>
      <c r="D104" s="3">
        <v>5</v>
      </c>
      <c r="E104" s="3">
        <v>66</v>
      </c>
      <c r="F104" s="8">
        <v>1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3" t="s">
        <v>10</v>
      </c>
      <c r="N104">
        <v>98</v>
      </c>
      <c r="O104" cm="1">
        <f t="array" ref="O104">_xlfn.XLOOKUP(C104,Table1[[#All],[Colour]],Table1[[#All],[Cost]],0)</f>
        <v>3</v>
      </c>
      <c r="P104">
        <f t="shared" si="3"/>
        <v>15</v>
      </c>
      <c r="Q104">
        <f t="shared" si="4"/>
        <v>51</v>
      </c>
      <c r="R104">
        <f t="shared" si="5"/>
        <v>77.272727272727266</v>
      </c>
    </row>
    <row r="105" spans="1:18" hidden="1" x14ac:dyDescent="0.3">
      <c r="A105" t="s">
        <v>71</v>
      </c>
      <c r="B105" s="2" t="s">
        <v>55</v>
      </c>
      <c r="C105" s="2" t="s">
        <v>12</v>
      </c>
      <c r="D105" s="3">
        <v>8</v>
      </c>
      <c r="E105" s="3">
        <v>75</v>
      </c>
      <c r="F105" s="8">
        <v>135</v>
      </c>
      <c r="G105" s="8">
        <v>100</v>
      </c>
      <c r="H105" s="8">
        <v>87</v>
      </c>
      <c r="I105" s="8">
        <v>15</v>
      </c>
      <c r="J105" s="8">
        <v>57</v>
      </c>
      <c r="K105" s="8">
        <v>180</v>
      </c>
      <c r="L105" s="8">
        <v>167</v>
      </c>
      <c r="M105" s="3" t="s">
        <v>10</v>
      </c>
      <c r="N105">
        <v>100</v>
      </c>
      <c r="O105" cm="1">
        <f t="array" ref="O105">_xlfn.XLOOKUP(C105,Table1[[#All],[Colour]],Table1[[#All],[Cost]],0)</f>
        <v>3</v>
      </c>
      <c r="P105">
        <f t="shared" si="3"/>
        <v>24</v>
      </c>
      <c r="Q105">
        <f t="shared" si="4"/>
        <v>51</v>
      </c>
      <c r="R105">
        <f t="shared" si="5"/>
        <v>68</v>
      </c>
    </row>
    <row r="106" spans="1:18" x14ac:dyDescent="0.3">
      <c r="A106" t="s">
        <v>66</v>
      </c>
      <c r="B106" s="2" t="s">
        <v>55</v>
      </c>
      <c r="C106" s="2" t="s">
        <v>17</v>
      </c>
      <c r="D106" s="3">
        <v>4.5</v>
      </c>
      <c r="E106" s="3">
        <v>65</v>
      </c>
      <c r="F106" s="8">
        <v>5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3" t="s">
        <v>10</v>
      </c>
      <c r="N106">
        <v>94</v>
      </c>
      <c r="O106" cm="1">
        <f t="array" ref="O106">_xlfn.XLOOKUP(C106,Table1[[#All],[Colour]],Table1[[#All],[Cost]],0)</f>
        <v>3.2</v>
      </c>
      <c r="P106">
        <f t="shared" si="3"/>
        <v>14.4</v>
      </c>
      <c r="Q106">
        <f t="shared" si="4"/>
        <v>50.6</v>
      </c>
      <c r="R106">
        <f t="shared" si="5"/>
        <v>77.846153846153854</v>
      </c>
    </row>
    <row r="107" spans="1:18" x14ac:dyDescent="0.3">
      <c r="A107" t="s">
        <v>103</v>
      </c>
      <c r="B107" s="2" t="s">
        <v>104</v>
      </c>
      <c r="C107" s="2" t="s">
        <v>38</v>
      </c>
      <c r="D107" s="4">
        <v>11</v>
      </c>
      <c r="E107" s="3">
        <v>85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3" t="s">
        <v>97</v>
      </c>
      <c r="N107">
        <v>98</v>
      </c>
      <c r="O107" cm="1">
        <f t="array" ref="O107">_xlfn.XLOOKUP(C107,Table1[[#All],[Colour]],Table1[[#All],[Cost]],0)</f>
        <v>3.2</v>
      </c>
      <c r="P107">
        <f t="shared" si="3"/>
        <v>35.200000000000003</v>
      </c>
      <c r="Q107">
        <f t="shared" si="4"/>
        <v>49.8</v>
      </c>
      <c r="R107">
        <f t="shared" si="5"/>
        <v>58.588235294117638</v>
      </c>
    </row>
    <row r="108" spans="1:18" hidden="1" x14ac:dyDescent="0.3">
      <c r="A108" t="s">
        <v>72</v>
      </c>
      <c r="B108" s="2" t="s">
        <v>73</v>
      </c>
      <c r="C108" s="2" t="s">
        <v>9</v>
      </c>
      <c r="D108" s="3">
        <v>7</v>
      </c>
      <c r="E108" s="3">
        <v>69</v>
      </c>
      <c r="F108" s="8">
        <v>32</v>
      </c>
      <c r="G108" s="8">
        <v>20</v>
      </c>
      <c r="H108" s="8">
        <v>24</v>
      </c>
      <c r="I108" s="8">
        <v>49</v>
      </c>
      <c r="J108" s="8">
        <v>40</v>
      </c>
      <c r="K108" s="8">
        <v>69</v>
      </c>
      <c r="L108" s="8">
        <v>59</v>
      </c>
      <c r="M108" s="3" t="s">
        <v>10</v>
      </c>
      <c r="N108">
        <v>94</v>
      </c>
      <c r="O108" cm="1">
        <f t="array" ref="O108">_xlfn.XLOOKUP(C108,Table1[[#All],[Colour]],Table1[[#All],[Cost]],0)</f>
        <v>2.8</v>
      </c>
      <c r="P108">
        <f t="shared" si="3"/>
        <v>19.599999999999998</v>
      </c>
      <c r="Q108">
        <f t="shared" si="4"/>
        <v>49.400000000000006</v>
      </c>
      <c r="R108">
        <f t="shared" si="5"/>
        <v>71.594202898550733</v>
      </c>
    </row>
    <row r="109" spans="1:18" x14ac:dyDescent="0.3">
      <c r="A109" t="s">
        <v>69</v>
      </c>
      <c r="B109" t="s">
        <v>55</v>
      </c>
      <c r="C109" s="2" t="s">
        <v>17</v>
      </c>
      <c r="D109" s="3">
        <v>3.5</v>
      </c>
      <c r="E109" s="3">
        <v>60</v>
      </c>
      <c r="F109" s="8">
        <v>3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3" t="s">
        <v>10</v>
      </c>
      <c r="N109">
        <v>94</v>
      </c>
      <c r="O109" cm="1">
        <f t="array" ref="O109">_xlfn.XLOOKUP(C109,Table1[[#All],[Colour]],Table1[[#All],[Cost]],0)</f>
        <v>3.2</v>
      </c>
      <c r="P109">
        <f t="shared" si="3"/>
        <v>11.200000000000001</v>
      </c>
      <c r="Q109">
        <f t="shared" si="4"/>
        <v>48.8</v>
      </c>
      <c r="R109">
        <f t="shared" si="5"/>
        <v>81.333333333333329</v>
      </c>
    </row>
    <row r="110" spans="1:18" hidden="1" x14ac:dyDescent="0.3">
      <c r="A110" t="s">
        <v>56</v>
      </c>
      <c r="B110" t="s">
        <v>57</v>
      </c>
      <c r="C110" s="2" t="s">
        <v>12</v>
      </c>
      <c r="D110" s="3">
        <v>7.5</v>
      </c>
      <c r="E110" s="3">
        <v>70</v>
      </c>
      <c r="F110" s="8">
        <v>360</v>
      </c>
      <c r="G110" s="8">
        <v>245</v>
      </c>
      <c r="H110" s="8">
        <v>133</v>
      </c>
      <c r="I110" s="8">
        <v>88</v>
      </c>
      <c r="J110" s="8">
        <v>10</v>
      </c>
      <c r="K110" s="8">
        <v>0</v>
      </c>
      <c r="L110" s="8">
        <v>0</v>
      </c>
      <c r="M110" s="3" t="s">
        <v>10</v>
      </c>
      <c r="N110">
        <v>99</v>
      </c>
      <c r="O110" cm="1">
        <f t="array" ref="O110">_xlfn.XLOOKUP(C110,Table1[[#All],[Colour]],Table1[[#All],[Cost]],0)</f>
        <v>3</v>
      </c>
      <c r="P110">
        <f t="shared" si="3"/>
        <v>22.5</v>
      </c>
      <c r="Q110">
        <f t="shared" si="4"/>
        <v>47.5</v>
      </c>
      <c r="R110">
        <f t="shared" si="5"/>
        <v>67.857142857142861</v>
      </c>
    </row>
    <row r="111" spans="1:18" x14ac:dyDescent="0.3">
      <c r="A111" t="s">
        <v>56</v>
      </c>
      <c r="B111" t="s">
        <v>57</v>
      </c>
      <c r="C111" s="2" t="s">
        <v>43</v>
      </c>
      <c r="D111" s="3">
        <v>7.5</v>
      </c>
      <c r="E111" s="3">
        <v>70</v>
      </c>
      <c r="F111" s="8">
        <v>5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3" t="s">
        <v>10</v>
      </c>
      <c r="N111">
        <v>96</v>
      </c>
      <c r="O111" cm="1">
        <f t="array" ref="O111">_xlfn.XLOOKUP(C111,Table1[[#All],[Colour]],Table1[[#All],[Cost]],0)</f>
        <v>3</v>
      </c>
      <c r="P111">
        <f t="shared" si="3"/>
        <v>22.5</v>
      </c>
      <c r="Q111">
        <f t="shared" si="4"/>
        <v>47.5</v>
      </c>
      <c r="R111">
        <f t="shared" si="5"/>
        <v>67.857142857142861</v>
      </c>
    </row>
    <row r="112" spans="1:18" x14ac:dyDescent="0.3">
      <c r="A112" t="s">
        <v>36</v>
      </c>
      <c r="B112" t="s">
        <v>37</v>
      </c>
      <c r="C112" s="2" t="s">
        <v>38</v>
      </c>
      <c r="D112" s="3">
        <v>5</v>
      </c>
      <c r="E112" s="3">
        <v>60</v>
      </c>
      <c r="F112" s="8">
        <v>23</v>
      </c>
      <c r="G112" s="8">
        <v>35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3" t="s">
        <v>10</v>
      </c>
      <c r="N112">
        <v>95</v>
      </c>
      <c r="O112" cm="1">
        <f t="array" ref="O112">_xlfn.XLOOKUP(C112,Table1[[#All],[Colour]],Table1[[#All],[Cost]],0)</f>
        <v>3.2</v>
      </c>
      <c r="P112">
        <f t="shared" si="3"/>
        <v>16</v>
      </c>
      <c r="Q112">
        <f t="shared" si="4"/>
        <v>44</v>
      </c>
      <c r="R112">
        <f t="shared" si="5"/>
        <v>73.333333333333329</v>
      </c>
    </row>
    <row r="113" spans="1:18" hidden="1" x14ac:dyDescent="0.3">
      <c r="A113" t="s">
        <v>76</v>
      </c>
      <c r="B113" s="2" t="s">
        <v>59</v>
      </c>
      <c r="C113" s="2" t="s">
        <v>9</v>
      </c>
      <c r="D113" s="3">
        <v>6</v>
      </c>
      <c r="E113" s="3">
        <v>60</v>
      </c>
      <c r="F113" s="8">
        <v>10</v>
      </c>
      <c r="G113" s="8">
        <v>10</v>
      </c>
      <c r="H113" s="8">
        <v>12</v>
      </c>
      <c r="I113" s="8">
        <v>13</v>
      </c>
      <c r="J113" s="8">
        <v>36</v>
      </c>
      <c r="K113" s="8">
        <v>34</v>
      </c>
      <c r="L113" s="8">
        <v>0</v>
      </c>
      <c r="M113" s="3" t="s">
        <v>10</v>
      </c>
      <c r="N113">
        <v>98</v>
      </c>
      <c r="O113" cm="1">
        <f t="array" ref="O113">_xlfn.XLOOKUP(C113,Table1[[#All],[Colour]],Table1[[#All],[Cost]],0)</f>
        <v>2.8</v>
      </c>
      <c r="P113">
        <f t="shared" si="3"/>
        <v>16.799999999999997</v>
      </c>
      <c r="Q113">
        <f t="shared" si="4"/>
        <v>43.2</v>
      </c>
      <c r="R113">
        <f t="shared" si="5"/>
        <v>72.000000000000014</v>
      </c>
    </row>
    <row r="114" spans="1:18" hidden="1" x14ac:dyDescent="0.3">
      <c r="A114" t="s">
        <v>42</v>
      </c>
      <c r="B114" t="s">
        <v>35</v>
      </c>
      <c r="C114" s="2" t="s">
        <v>12</v>
      </c>
      <c r="D114" s="3">
        <v>4</v>
      </c>
      <c r="E114" s="3">
        <v>55</v>
      </c>
      <c r="F114" s="8">
        <v>1450</v>
      </c>
      <c r="G114" s="8">
        <v>834</v>
      </c>
      <c r="H114" s="8">
        <v>620</v>
      </c>
      <c r="I114" s="8">
        <v>348</v>
      </c>
      <c r="J114" s="8">
        <v>930</v>
      </c>
      <c r="K114" s="8">
        <v>870</v>
      </c>
      <c r="L114" s="8">
        <v>850</v>
      </c>
      <c r="M114" s="3" t="s">
        <v>10</v>
      </c>
      <c r="N114">
        <v>96</v>
      </c>
      <c r="O114" cm="1">
        <f t="array" ref="O114">_xlfn.XLOOKUP(C114,Table1[[#All],[Colour]],Table1[[#All],[Cost]],0)</f>
        <v>3</v>
      </c>
      <c r="P114">
        <f t="shared" si="3"/>
        <v>12</v>
      </c>
      <c r="Q114">
        <f t="shared" si="4"/>
        <v>43</v>
      </c>
      <c r="R114">
        <f t="shared" si="5"/>
        <v>78.181818181818187</v>
      </c>
    </row>
    <row r="115" spans="1:18" x14ac:dyDescent="0.3">
      <c r="A115" t="s">
        <v>42</v>
      </c>
      <c r="B115" t="s">
        <v>35</v>
      </c>
      <c r="C115" s="2" t="s">
        <v>13</v>
      </c>
      <c r="D115" s="3">
        <v>4</v>
      </c>
      <c r="E115" s="3">
        <v>55</v>
      </c>
      <c r="F115" s="8">
        <v>0</v>
      </c>
      <c r="G115" s="8">
        <v>5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3" t="s">
        <v>10</v>
      </c>
      <c r="N115">
        <v>100</v>
      </c>
      <c r="O115" cm="1">
        <f t="array" ref="O115">_xlfn.XLOOKUP(C115,Table1[[#All],[Colour]],Table1[[#All],[Cost]],0)</f>
        <v>3</v>
      </c>
      <c r="P115">
        <f t="shared" si="3"/>
        <v>12</v>
      </c>
      <c r="Q115">
        <f t="shared" si="4"/>
        <v>43</v>
      </c>
      <c r="R115">
        <f t="shared" si="5"/>
        <v>78.181818181818187</v>
      </c>
    </row>
    <row r="116" spans="1:18" x14ac:dyDescent="0.3">
      <c r="A116" t="s">
        <v>42</v>
      </c>
      <c r="B116" t="s">
        <v>35</v>
      </c>
      <c r="C116" s="2" t="s">
        <v>14</v>
      </c>
      <c r="D116" s="3">
        <v>4</v>
      </c>
      <c r="E116" s="3">
        <v>55</v>
      </c>
      <c r="F116" s="8">
        <v>5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3" t="s">
        <v>10</v>
      </c>
      <c r="N116">
        <v>95</v>
      </c>
      <c r="O116" cm="1">
        <f t="array" ref="O116">_xlfn.XLOOKUP(C116,Table1[[#All],[Colour]],Table1[[#All],[Cost]],0)</f>
        <v>3</v>
      </c>
      <c r="P116">
        <f t="shared" si="3"/>
        <v>12</v>
      </c>
      <c r="Q116">
        <f t="shared" si="4"/>
        <v>43</v>
      </c>
      <c r="R116">
        <f t="shared" si="5"/>
        <v>78.181818181818187</v>
      </c>
    </row>
    <row r="117" spans="1:18" x14ac:dyDescent="0.3">
      <c r="A117" t="s">
        <v>42</v>
      </c>
      <c r="B117" t="s">
        <v>35</v>
      </c>
      <c r="C117" s="2" t="s">
        <v>43</v>
      </c>
      <c r="D117" s="3">
        <v>4</v>
      </c>
      <c r="E117" s="3">
        <v>55</v>
      </c>
      <c r="F117" s="8">
        <v>0</v>
      </c>
      <c r="G117" s="8">
        <v>5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3" t="s">
        <v>10</v>
      </c>
      <c r="N117">
        <v>100</v>
      </c>
      <c r="O117" cm="1">
        <f t="array" ref="O117">_xlfn.XLOOKUP(C117,Table1[[#All],[Colour]],Table1[[#All],[Cost]],0)</f>
        <v>3</v>
      </c>
      <c r="P117">
        <f t="shared" si="3"/>
        <v>12</v>
      </c>
      <c r="Q117">
        <f t="shared" si="4"/>
        <v>43</v>
      </c>
      <c r="R117">
        <f t="shared" si="5"/>
        <v>78.181818181818187</v>
      </c>
    </row>
    <row r="118" spans="1:18" x14ac:dyDescent="0.3">
      <c r="A118" t="s">
        <v>127</v>
      </c>
      <c r="B118" s="2" t="s">
        <v>128</v>
      </c>
      <c r="C118" s="2" t="s">
        <v>96</v>
      </c>
      <c r="D118" s="4">
        <v>10</v>
      </c>
      <c r="E118" s="3">
        <v>73</v>
      </c>
      <c r="F118" s="8">
        <v>70</v>
      </c>
      <c r="G118" s="8">
        <v>7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3" t="s">
        <v>97</v>
      </c>
      <c r="N118">
        <v>90</v>
      </c>
      <c r="O118" cm="1">
        <f t="array" ref="O118">_xlfn.XLOOKUP(C118,Table1[[#All],[Colour]],Table1[[#All],[Cost]],0)</f>
        <v>3</v>
      </c>
      <c r="P118">
        <f t="shared" si="3"/>
        <v>30</v>
      </c>
      <c r="Q118">
        <f t="shared" si="4"/>
        <v>43</v>
      </c>
      <c r="R118">
        <f t="shared" si="5"/>
        <v>58.904109589041099</v>
      </c>
    </row>
    <row r="119" spans="1:18" x14ac:dyDescent="0.3">
      <c r="A119" t="s">
        <v>129</v>
      </c>
      <c r="B119" s="2" t="s">
        <v>128</v>
      </c>
      <c r="C119" s="2" t="s">
        <v>96</v>
      </c>
      <c r="D119" s="4">
        <v>12</v>
      </c>
      <c r="E119" s="3">
        <v>79</v>
      </c>
      <c r="F119" s="8">
        <v>35</v>
      </c>
      <c r="G119" s="8">
        <v>35</v>
      </c>
      <c r="H119" s="8">
        <v>5</v>
      </c>
      <c r="I119" s="8">
        <v>0</v>
      </c>
      <c r="J119" s="8">
        <v>0</v>
      </c>
      <c r="K119" s="8">
        <v>0</v>
      </c>
      <c r="L119" s="8">
        <v>0</v>
      </c>
      <c r="M119" s="3" t="s">
        <v>97</v>
      </c>
      <c r="N119">
        <v>92</v>
      </c>
      <c r="O119" cm="1">
        <f t="array" ref="O119">_xlfn.XLOOKUP(C119,Table1[[#All],[Colour]],Table1[[#All],[Cost]],0)</f>
        <v>3</v>
      </c>
      <c r="P119">
        <f t="shared" si="3"/>
        <v>36</v>
      </c>
      <c r="Q119">
        <f t="shared" si="4"/>
        <v>43</v>
      </c>
      <c r="R119">
        <f t="shared" si="5"/>
        <v>54.430379746835442</v>
      </c>
    </row>
    <row r="120" spans="1:18" x14ac:dyDescent="0.3">
      <c r="A120" t="s">
        <v>139</v>
      </c>
      <c r="B120" s="2" t="s">
        <v>138</v>
      </c>
      <c r="C120" s="2" t="s">
        <v>96</v>
      </c>
      <c r="D120" s="4">
        <v>15</v>
      </c>
      <c r="E120" s="3">
        <v>88</v>
      </c>
      <c r="F120" s="8">
        <v>18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3" t="s">
        <v>97</v>
      </c>
      <c r="N120">
        <v>90</v>
      </c>
      <c r="O120" cm="1">
        <f t="array" ref="O120">_xlfn.XLOOKUP(C120,Table1[[#All],[Colour]],Table1[[#All],[Cost]],0)</f>
        <v>3</v>
      </c>
      <c r="P120">
        <f t="shared" si="3"/>
        <v>45</v>
      </c>
      <c r="Q120">
        <f t="shared" si="4"/>
        <v>43</v>
      </c>
      <c r="R120">
        <f t="shared" si="5"/>
        <v>48.863636363636367</v>
      </c>
    </row>
    <row r="121" spans="1:18" hidden="1" x14ac:dyDescent="0.3">
      <c r="A121" t="s">
        <v>63</v>
      </c>
      <c r="B121" t="s">
        <v>59</v>
      </c>
      <c r="C121" s="2" t="s">
        <v>9</v>
      </c>
      <c r="D121" s="3">
        <v>8</v>
      </c>
      <c r="E121" s="3">
        <v>65</v>
      </c>
      <c r="F121" s="8">
        <v>163</v>
      </c>
      <c r="G121" s="8">
        <v>33</v>
      </c>
      <c r="H121" s="8">
        <v>68</v>
      </c>
      <c r="I121" s="8">
        <v>32</v>
      </c>
      <c r="J121" s="8">
        <v>138</v>
      </c>
      <c r="K121" s="8">
        <v>386</v>
      </c>
      <c r="L121" s="8">
        <v>233</v>
      </c>
      <c r="M121" s="3" t="s">
        <v>10</v>
      </c>
      <c r="N121">
        <v>91</v>
      </c>
      <c r="O121" cm="1">
        <f t="array" ref="O121">_xlfn.XLOOKUP(C121,Table1[[#All],[Colour]],Table1[[#All],[Cost]],0)</f>
        <v>2.8</v>
      </c>
      <c r="P121">
        <f t="shared" si="3"/>
        <v>22.4</v>
      </c>
      <c r="Q121">
        <f t="shared" si="4"/>
        <v>42.6</v>
      </c>
      <c r="R121">
        <f t="shared" si="5"/>
        <v>65.538461538461547</v>
      </c>
    </row>
    <row r="122" spans="1:18" hidden="1" x14ac:dyDescent="0.3">
      <c r="A122" t="s">
        <v>71</v>
      </c>
      <c r="B122" s="2" t="s">
        <v>55</v>
      </c>
      <c r="C122" s="2" t="s">
        <v>9</v>
      </c>
      <c r="D122" s="3">
        <v>8</v>
      </c>
      <c r="E122" s="3">
        <v>65</v>
      </c>
      <c r="F122" s="8">
        <v>60</v>
      </c>
      <c r="G122" s="8">
        <v>68</v>
      </c>
      <c r="H122" s="8">
        <v>315</v>
      </c>
      <c r="I122" s="8">
        <v>56</v>
      </c>
      <c r="J122" s="8">
        <v>132</v>
      </c>
      <c r="K122" s="8">
        <v>160</v>
      </c>
      <c r="L122" s="8">
        <v>168</v>
      </c>
      <c r="M122" s="3" t="s">
        <v>10</v>
      </c>
      <c r="N122">
        <v>99</v>
      </c>
      <c r="O122" cm="1">
        <f t="array" ref="O122">_xlfn.XLOOKUP(C122,Table1[[#All],[Colour]],Table1[[#All],[Cost]],0)</f>
        <v>2.8</v>
      </c>
      <c r="P122">
        <f t="shared" si="3"/>
        <v>22.4</v>
      </c>
      <c r="Q122">
        <f t="shared" si="4"/>
        <v>42.6</v>
      </c>
      <c r="R122">
        <f t="shared" si="5"/>
        <v>65.538461538461547</v>
      </c>
    </row>
    <row r="123" spans="1:18" hidden="1" x14ac:dyDescent="0.3">
      <c r="A123" t="s">
        <v>70</v>
      </c>
      <c r="B123" s="2" t="s">
        <v>47</v>
      </c>
      <c r="C123" s="2" t="s">
        <v>9</v>
      </c>
      <c r="D123" s="3">
        <v>5</v>
      </c>
      <c r="E123" s="3">
        <v>56</v>
      </c>
      <c r="F123" s="8">
        <v>61</v>
      </c>
      <c r="G123" s="8">
        <v>97</v>
      </c>
      <c r="H123" s="8">
        <v>29</v>
      </c>
      <c r="I123" s="8">
        <v>91</v>
      </c>
      <c r="J123" s="8">
        <v>62</v>
      </c>
      <c r="K123" s="8">
        <v>419</v>
      </c>
      <c r="L123" s="8">
        <v>37</v>
      </c>
      <c r="M123" s="3" t="s">
        <v>10</v>
      </c>
      <c r="N123">
        <v>96</v>
      </c>
      <c r="O123" cm="1">
        <f t="array" ref="O123">_xlfn.XLOOKUP(C123,Table1[[#All],[Colour]],Table1[[#All],[Cost]],0)</f>
        <v>2.8</v>
      </c>
      <c r="P123">
        <f t="shared" si="3"/>
        <v>14</v>
      </c>
      <c r="Q123">
        <f t="shared" si="4"/>
        <v>42</v>
      </c>
      <c r="R123">
        <f t="shared" si="5"/>
        <v>75</v>
      </c>
    </row>
    <row r="124" spans="1:18" hidden="1" x14ac:dyDescent="0.3">
      <c r="A124" t="s">
        <v>80</v>
      </c>
      <c r="B124" s="2" t="s">
        <v>81</v>
      </c>
      <c r="C124" s="2" t="s">
        <v>12</v>
      </c>
      <c r="D124" s="3">
        <v>6</v>
      </c>
      <c r="E124" s="3">
        <v>60</v>
      </c>
      <c r="F124" s="8">
        <v>444</v>
      </c>
      <c r="G124" s="8">
        <v>294</v>
      </c>
      <c r="H124" s="8">
        <v>180</v>
      </c>
      <c r="I124" s="8">
        <v>222</v>
      </c>
      <c r="J124" s="8">
        <v>493</v>
      </c>
      <c r="K124" s="8">
        <v>450</v>
      </c>
      <c r="L124" s="8">
        <v>0</v>
      </c>
      <c r="M124" s="3" t="s">
        <v>10</v>
      </c>
      <c r="N124">
        <v>96</v>
      </c>
      <c r="O124" cm="1">
        <f t="array" ref="O124">_xlfn.XLOOKUP(C124,Table1[[#All],[Colour]],Table1[[#All],[Cost]],0)</f>
        <v>3</v>
      </c>
      <c r="P124">
        <f t="shared" si="3"/>
        <v>18</v>
      </c>
      <c r="Q124">
        <f t="shared" si="4"/>
        <v>42</v>
      </c>
      <c r="R124">
        <f t="shared" si="5"/>
        <v>70</v>
      </c>
    </row>
    <row r="125" spans="1:18" x14ac:dyDescent="0.3">
      <c r="A125" t="s">
        <v>103</v>
      </c>
      <c r="B125" s="2" t="s">
        <v>104</v>
      </c>
      <c r="C125" s="2" t="s">
        <v>96</v>
      </c>
      <c r="D125" s="4">
        <v>11</v>
      </c>
      <c r="E125" s="3">
        <v>75</v>
      </c>
      <c r="F125" s="8">
        <v>130</v>
      </c>
      <c r="G125" s="8">
        <v>77</v>
      </c>
      <c r="H125" s="8">
        <v>12</v>
      </c>
      <c r="I125" s="8">
        <v>0</v>
      </c>
      <c r="J125" s="8">
        <v>0</v>
      </c>
      <c r="K125" s="8">
        <v>0</v>
      </c>
      <c r="L125" s="8">
        <v>0</v>
      </c>
      <c r="M125" s="3" t="s">
        <v>97</v>
      </c>
      <c r="N125">
        <v>90</v>
      </c>
      <c r="O125" cm="1">
        <f t="array" ref="O125">_xlfn.XLOOKUP(C125,Table1[[#All],[Colour]],Table1[[#All],[Cost]],0)</f>
        <v>3</v>
      </c>
      <c r="P125">
        <f t="shared" si="3"/>
        <v>33</v>
      </c>
      <c r="Q125">
        <f t="shared" si="4"/>
        <v>42</v>
      </c>
      <c r="R125">
        <f t="shared" si="5"/>
        <v>56.000000000000007</v>
      </c>
    </row>
    <row r="126" spans="1:18" hidden="1" x14ac:dyDescent="0.3">
      <c r="A126" t="s">
        <v>149</v>
      </c>
      <c r="B126" t="s">
        <v>150</v>
      </c>
      <c r="C126" s="2" t="s">
        <v>9</v>
      </c>
      <c r="D126" s="3">
        <v>12</v>
      </c>
      <c r="E126" s="3">
        <v>75</v>
      </c>
      <c r="F126" s="8">
        <v>315</v>
      </c>
      <c r="G126" s="8">
        <v>467</v>
      </c>
      <c r="H126" s="8">
        <v>580</v>
      </c>
      <c r="I126" s="8">
        <v>443</v>
      </c>
      <c r="J126" s="8">
        <v>521</v>
      </c>
      <c r="K126" s="8">
        <v>342</v>
      </c>
      <c r="L126" s="8">
        <v>155</v>
      </c>
      <c r="M126" s="3" t="s">
        <v>144</v>
      </c>
      <c r="N126">
        <v>96</v>
      </c>
      <c r="O126" cm="1">
        <f t="array" ref="O126">_xlfn.XLOOKUP(C126,Table1[[#All],[Colour]],Table1[[#All],[Cost]],0)</f>
        <v>2.8</v>
      </c>
      <c r="P126">
        <f t="shared" si="3"/>
        <v>33.599999999999994</v>
      </c>
      <c r="Q126">
        <f t="shared" si="4"/>
        <v>41.400000000000006</v>
      </c>
      <c r="R126">
        <f t="shared" si="5"/>
        <v>55.2</v>
      </c>
    </row>
    <row r="127" spans="1:18" x14ac:dyDescent="0.3">
      <c r="A127" t="s">
        <v>130</v>
      </c>
      <c r="B127" s="2" t="s">
        <v>131</v>
      </c>
      <c r="C127" s="2" t="s">
        <v>96</v>
      </c>
      <c r="D127" s="4">
        <v>15</v>
      </c>
      <c r="E127" s="3">
        <v>85</v>
      </c>
      <c r="F127" s="8">
        <v>150</v>
      </c>
      <c r="G127" s="8">
        <v>50</v>
      </c>
      <c r="H127" s="8">
        <v>4</v>
      </c>
      <c r="I127" s="8">
        <v>0</v>
      </c>
      <c r="J127" s="8">
        <v>0</v>
      </c>
      <c r="K127" s="8">
        <v>0</v>
      </c>
      <c r="L127" s="8">
        <v>0</v>
      </c>
      <c r="M127" s="3" t="s">
        <v>97</v>
      </c>
      <c r="N127">
        <v>95</v>
      </c>
      <c r="O127" cm="1">
        <f t="array" ref="O127">_xlfn.XLOOKUP(C127,Table1[[#All],[Colour]],Table1[[#All],[Cost]],0)</f>
        <v>3</v>
      </c>
      <c r="P127">
        <f t="shared" si="3"/>
        <v>45</v>
      </c>
      <c r="Q127">
        <f t="shared" si="4"/>
        <v>40</v>
      </c>
      <c r="R127">
        <f t="shared" si="5"/>
        <v>47.058823529411761</v>
      </c>
    </row>
    <row r="128" spans="1:18" x14ac:dyDescent="0.3">
      <c r="A128" t="s">
        <v>58</v>
      </c>
      <c r="B128" t="s">
        <v>59</v>
      </c>
      <c r="C128" s="2" t="s">
        <v>12</v>
      </c>
      <c r="D128" s="3">
        <v>3.5</v>
      </c>
      <c r="E128" s="3">
        <v>50</v>
      </c>
      <c r="F128" s="8">
        <v>5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3" t="s">
        <v>10</v>
      </c>
      <c r="N128">
        <v>92</v>
      </c>
      <c r="O128" cm="1">
        <f t="array" ref="O128">_xlfn.XLOOKUP(C128,Table1[[#All],[Colour]],Table1[[#All],[Cost]],0)</f>
        <v>3</v>
      </c>
      <c r="P128">
        <f t="shared" si="3"/>
        <v>10.5</v>
      </c>
      <c r="Q128">
        <f t="shared" si="4"/>
        <v>39.5</v>
      </c>
      <c r="R128">
        <f t="shared" si="5"/>
        <v>79</v>
      </c>
    </row>
    <row r="129" spans="1:18" x14ac:dyDescent="0.3">
      <c r="A129" t="s">
        <v>58</v>
      </c>
      <c r="B129" t="s">
        <v>59</v>
      </c>
      <c r="C129" s="2" t="s">
        <v>25</v>
      </c>
      <c r="D129" s="3">
        <v>3.5</v>
      </c>
      <c r="E129" s="3">
        <v>50</v>
      </c>
      <c r="F129" s="8">
        <v>3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3" t="s">
        <v>10</v>
      </c>
      <c r="N129">
        <v>93</v>
      </c>
      <c r="O129" cm="1">
        <f t="array" ref="O129">_xlfn.XLOOKUP(C129,Table1[[#All],[Colour]],Table1[[#All],[Cost]],0)</f>
        <v>3</v>
      </c>
      <c r="P129">
        <f t="shared" si="3"/>
        <v>10.5</v>
      </c>
      <c r="Q129">
        <f t="shared" si="4"/>
        <v>39.5</v>
      </c>
      <c r="R129">
        <f t="shared" si="5"/>
        <v>79</v>
      </c>
    </row>
    <row r="130" spans="1:18" x14ac:dyDescent="0.3">
      <c r="A130" t="s">
        <v>111</v>
      </c>
      <c r="B130" s="2" t="s">
        <v>108</v>
      </c>
      <c r="C130" s="2" t="s">
        <v>96</v>
      </c>
      <c r="D130" s="4">
        <v>17</v>
      </c>
      <c r="E130" s="3">
        <v>90</v>
      </c>
      <c r="F130" s="8">
        <v>133</v>
      </c>
      <c r="G130" s="8">
        <v>93</v>
      </c>
      <c r="H130" s="8">
        <v>8</v>
      </c>
      <c r="I130" s="8">
        <v>0</v>
      </c>
      <c r="J130" s="8">
        <v>0</v>
      </c>
      <c r="K130" s="8">
        <v>0</v>
      </c>
      <c r="L130" s="8">
        <v>0</v>
      </c>
      <c r="M130" s="3" t="s">
        <v>97</v>
      </c>
      <c r="N130">
        <v>95</v>
      </c>
      <c r="O130" cm="1">
        <f t="array" ref="O130">_xlfn.XLOOKUP(C130,Table1[[#All],[Colour]],Table1[[#All],[Cost]],0)</f>
        <v>3</v>
      </c>
      <c r="P130">
        <f t="shared" ref="P130:P193" si="6">O130*D130</f>
        <v>51</v>
      </c>
      <c r="Q130">
        <f t="shared" ref="Q130:Q193" si="7">E130-P130</f>
        <v>39</v>
      </c>
      <c r="R130">
        <f t="shared" ref="R130:R193" si="8">Q130/E130*100</f>
        <v>43.333333333333336</v>
      </c>
    </row>
    <row r="131" spans="1:18" hidden="1" x14ac:dyDescent="0.3">
      <c r="A131" t="s">
        <v>155</v>
      </c>
      <c r="B131" t="s">
        <v>156</v>
      </c>
      <c r="C131" s="2" t="s">
        <v>9</v>
      </c>
      <c r="D131" s="3">
        <v>4</v>
      </c>
      <c r="E131" s="3">
        <v>50</v>
      </c>
      <c r="F131" s="8">
        <v>332</v>
      </c>
      <c r="G131" s="8">
        <v>280</v>
      </c>
      <c r="H131" s="8">
        <v>309</v>
      </c>
      <c r="I131" s="8">
        <v>280</v>
      </c>
      <c r="J131" s="8">
        <v>255</v>
      </c>
      <c r="K131" s="8">
        <v>244</v>
      </c>
      <c r="L131" s="8">
        <v>158</v>
      </c>
      <c r="M131" s="3" t="s">
        <v>144</v>
      </c>
      <c r="N131">
        <v>94</v>
      </c>
      <c r="O131" cm="1">
        <f t="array" ref="O131">_xlfn.XLOOKUP(C131,Table1[[#All],[Colour]],Table1[[#All],[Cost]],0)</f>
        <v>2.8</v>
      </c>
      <c r="P131">
        <f t="shared" si="6"/>
        <v>11.2</v>
      </c>
      <c r="Q131">
        <f t="shared" si="7"/>
        <v>38.799999999999997</v>
      </c>
      <c r="R131">
        <f t="shared" si="8"/>
        <v>77.599999999999994</v>
      </c>
    </row>
    <row r="132" spans="1:18" hidden="1" x14ac:dyDescent="0.3">
      <c r="A132" t="s">
        <v>56</v>
      </c>
      <c r="B132" t="s">
        <v>57</v>
      </c>
      <c r="C132" s="2" t="s">
        <v>9</v>
      </c>
      <c r="D132" s="3">
        <v>7.5</v>
      </c>
      <c r="E132" s="3">
        <v>58</v>
      </c>
      <c r="F132" s="8">
        <v>94</v>
      </c>
      <c r="G132" s="8">
        <v>138</v>
      </c>
      <c r="H132" s="8">
        <v>124</v>
      </c>
      <c r="I132" s="8">
        <v>72</v>
      </c>
      <c r="J132" s="8">
        <v>10</v>
      </c>
      <c r="K132" s="8">
        <v>0</v>
      </c>
      <c r="L132" s="8">
        <v>0</v>
      </c>
      <c r="M132" s="3" t="s">
        <v>10</v>
      </c>
      <c r="N132">
        <v>99</v>
      </c>
      <c r="O132" cm="1">
        <f t="array" ref="O132">_xlfn.XLOOKUP(C132,Table1[[#All],[Colour]],Table1[[#All],[Cost]],0)</f>
        <v>2.8</v>
      </c>
      <c r="P132">
        <f t="shared" si="6"/>
        <v>21</v>
      </c>
      <c r="Q132">
        <f t="shared" si="7"/>
        <v>37</v>
      </c>
      <c r="R132">
        <f t="shared" si="8"/>
        <v>63.793103448275865</v>
      </c>
    </row>
    <row r="133" spans="1:18" x14ac:dyDescent="0.3">
      <c r="A133" t="s">
        <v>140</v>
      </c>
      <c r="B133" s="2" t="s">
        <v>141</v>
      </c>
      <c r="C133" s="2" t="s">
        <v>96</v>
      </c>
      <c r="D133" s="4">
        <v>9</v>
      </c>
      <c r="E133" s="3">
        <v>64</v>
      </c>
      <c r="F133" s="8">
        <v>7</v>
      </c>
      <c r="G133" s="8">
        <v>25</v>
      </c>
      <c r="H133" s="8">
        <v>25</v>
      </c>
      <c r="I133" s="8">
        <v>0</v>
      </c>
      <c r="J133" s="8">
        <v>0</v>
      </c>
      <c r="K133" s="8">
        <v>0</v>
      </c>
      <c r="L133" s="8">
        <v>0</v>
      </c>
      <c r="M133" s="3" t="s">
        <v>97</v>
      </c>
      <c r="N133">
        <v>99</v>
      </c>
      <c r="O133" cm="1">
        <f t="array" ref="O133">_xlfn.XLOOKUP(C133,Table1[[#All],[Colour]],Table1[[#All],[Cost]],0)</f>
        <v>3</v>
      </c>
      <c r="P133">
        <f t="shared" si="6"/>
        <v>27</v>
      </c>
      <c r="Q133">
        <f t="shared" si="7"/>
        <v>37</v>
      </c>
      <c r="R133">
        <f t="shared" si="8"/>
        <v>57.8125</v>
      </c>
    </row>
    <row r="134" spans="1:18" hidden="1" x14ac:dyDescent="0.3">
      <c r="A134" t="s">
        <v>39</v>
      </c>
      <c r="B134" t="s">
        <v>40</v>
      </c>
      <c r="C134" s="2" t="s">
        <v>9</v>
      </c>
      <c r="D134" s="3">
        <v>35</v>
      </c>
      <c r="E134" s="3">
        <v>135</v>
      </c>
      <c r="F134" s="8">
        <v>116</v>
      </c>
      <c r="G134" s="8">
        <v>164</v>
      </c>
      <c r="H134" s="8">
        <v>319</v>
      </c>
      <c r="I134" s="8">
        <v>251</v>
      </c>
      <c r="J134" s="8">
        <v>207</v>
      </c>
      <c r="K134" s="8">
        <v>182</v>
      </c>
      <c r="L134" s="8">
        <v>54</v>
      </c>
      <c r="M134" s="3" t="s">
        <v>10</v>
      </c>
      <c r="N134">
        <v>96</v>
      </c>
      <c r="O134" cm="1">
        <f t="array" ref="O134">_xlfn.XLOOKUP(C134,Table1[[#All],[Colour]],Table1[[#All],[Cost]],0)</f>
        <v>2.8</v>
      </c>
      <c r="P134">
        <f t="shared" si="6"/>
        <v>98</v>
      </c>
      <c r="Q134">
        <f t="shared" si="7"/>
        <v>37</v>
      </c>
      <c r="R134">
        <f t="shared" si="8"/>
        <v>27.407407407407408</v>
      </c>
    </row>
    <row r="135" spans="1:18" hidden="1" x14ac:dyDescent="0.3">
      <c r="A135" t="s">
        <v>66</v>
      </c>
      <c r="B135" s="2" t="s">
        <v>55</v>
      </c>
      <c r="C135" s="2" t="s">
        <v>12</v>
      </c>
      <c r="D135" s="3">
        <v>4.5</v>
      </c>
      <c r="E135" s="3">
        <v>50</v>
      </c>
      <c r="F135" s="8">
        <v>40</v>
      </c>
      <c r="G135" s="8">
        <v>33</v>
      </c>
      <c r="H135" s="8">
        <v>45</v>
      </c>
      <c r="I135" s="8">
        <v>20</v>
      </c>
      <c r="J135" s="8">
        <v>15</v>
      </c>
      <c r="K135" s="8">
        <v>55</v>
      </c>
      <c r="L135" s="8">
        <v>46</v>
      </c>
      <c r="M135" s="3" t="s">
        <v>10</v>
      </c>
      <c r="N135">
        <v>100</v>
      </c>
      <c r="O135" cm="1">
        <f t="array" ref="O135">_xlfn.XLOOKUP(C135,Table1[[#All],[Colour]],Table1[[#All],[Cost]],0)</f>
        <v>3</v>
      </c>
      <c r="P135">
        <f t="shared" si="6"/>
        <v>13.5</v>
      </c>
      <c r="Q135">
        <f t="shared" si="7"/>
        <v>36.5</v>
      </c>
      <c r="R135">
        <f t="shared" si="8"/>
        <v>73</v>
      </c>
    </row>
    <row r="136" spans="1:18" x14ac:dyDescent="0.3">
      <c r="A136" t="s">
        <v>110</v>
      </c>
      <c r="B136" s="2" t="s">
        <v>108</v>
      </c>
      <c r="C136" s="2" t="s">
        <v>96</v>
      </c>
      <c r="D136" s="4">
        <v>13</v>
      </c>
      <c r="E136" s="3">
        <v>75</v>
      </c>
      <c r="F136" s="8">
        <v>147</v>
      </c>
      <c r="G136" s="8">
        <v>110</v>
      </c>
      <c r="H136" s="8">
        <v>17</v>
      </c>
      <c r="I136" s="8">
        <v>0</v>
      </c>
      <c r="J136" s="8">
        <v>0</v>
      </c>
      <c r="K136" s="8">
        <v>0</v>
      </c>
      <c r="L136" s="8">
        <v>0</v>
      </c>
      <c r="M136" s="3" t="s">
        <v>97</v>
      </c>
      <c r="N136">
        <v>91</v>
      </c>
      <c r="O136" cm="1">
        <f t="array" ref="O136">_xlfn.XLOOKUP(C136,Table1[[#All],[Colour]],Table1[[#All],[Cost]],0)</f>
        <v>3</v>
      </c>
      <c r="P136">
        <f t="shared" si="6"/>
        <v>39</v>
      </c>
      <c r="Q136">
        <f t="shared" si="7"/>
        <v>36</v>
      </c>
      <c r="R136">
        <f t="shared" si="8"/>
        <v>48</v>
      </c>
    </row>
    <row r="137" spans="1:18" x14ac:dyDescent="0.3">
      <c r="A137" t="s">
        <v>137</v>
      </c>
      <c r="B137" s="2" t="s">
        <v>138</v>
      </c>
      <c r="C137" s="2" t="s">
        <v>96</v>
      </c>
      <c r="D137" s="4">
        <v>13</v>
      </c>
      <c r="E137" s="3">
        <v>75</v>
      </c>
      <c r="F137" s="8">
        <v>13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3" t="s">
        <v>97</v>
      </c>
      <c r="N137">
        <v>99</v>
      </c>
      <c r="O137" cm="1">
        <f t="array" ref="O137">_xlfn.XLOOKUP(C137,Table1[[#All],[Colour]],Table1[[#All],[Cost]],0)</f>
        <v>3</v>
      </c>
      <c r="P137">
        <f t="shared" si="6"/>
        <v>39</v>
      </c>
      <c r="Q137">
        <f t="shared" si="7"/>
        <v>36</v>
      </c>
      <c r="R137">
        <f t="shared" si="8"/>
        <v>48</v>
      </c>
    </row>
    <row r="138" spans="1:18" x14ac:dyDescent="0.3">
      <c r="A138" t="s">
        <v>15</v>
      </c>
      <c r="B138" t="s">
        <v>16</v>
      </c>
      <c r="C138" t="s">
        <v>17</v>
      </c>
      <c r="D138" s="3">
        <v>6</v>
      </c>
      <c r="E138" s="3">
        <v>55</v>
      </c>
      <c r="F138" s="8">
        <v>530</v>
      </c>
      <c r="G138" s="8">
        <v>135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3" t="s">
        <v>10</v>
      </c>
      <c r="N138">
        <v>90</v>
      </c>
      <c r="O138" cm="1">
        <f t="array" ref="O138">_xlfn.XLOOKUP(C138,Table1[[#All],[Colour]],Table1[[#All],[Cost]],0)</f>
        <v>3.2</v>
      </c>
      <c r="P138">
        <f t="shared" si="6"/>
        <v>19.200000000000003</v>
      </c>
      <c r="Q138">
        <f t="shared" si="7"/>
        <v>35.799999999999997</v>
      </c>
      <c r="R138">
        <f t="shared" si="8"/>
        <v>65.090909090909093</v>
      </c>
    </row>
    <row r="139" spans="1:18" hidden="1" x14ac:dyDescent="0.3">
      <c r="A139" t="s">
        <v>36</v>
      </c>
      <c r="B139" t="s">
        <v>37</v>
      </c>
      <c r="C139" s="2" t="s">
        <v>12</v>
      </c>
      <c r="D139" s="3">
        <v>5</v>
      </c>
      <c r="E139" s="3">
        <v>50</v>
      </c>
      <c r="F139" s="8">
        <v>860</v>
      </c>
      <c r="G139" s="8">
        <v>744</v>
      </c>
      <c r="H139" s="8">
        <v>343</v>
      </c>
      <c r="I139" s="8">
        <v>320</v>
      </c>
      <c r="J139" s="8">
        <v>287</v>
      </c>
      <c r="K139" s="8">
        <v>680</v>
      </c>
      <c r="L139" s="8">
        <v>623</v>
      </c>
      <c r="M139" s="3" t="s">
        <v>10</v>
      </c>
      <c r="N139">
        <v>96</v>
      </c>
      <c r="O139" cm="1">
        <f t="array" ref="O139">_xlfn.XLOOKUP(C139,Table1[[#All],[Colour]],Table1[[#All],[Cost]],0)</f>
        <v>3</v>
      </c>
      <c r="P139">
        <f t="shared" si="6"/>
        <v>15</v>
      </c>
      <c r="Q139">
        <f t="shared" si="7"/>
        <v>35</v>
      </c>
      <c r="R139">
        <f t="shared" si="8"/>
        <v>70</v>
      </c>
    </row>
    <row r="140" spans="1:18" x14ac:dyDescent="0.3">
      <c r="A140" t="s">
        <v>69</v>
      </c>
      <c r="B140" t="s">
        <v>55</v>
      </c>
      <c r="C140" s="2" t="s">
        <v>12</v>
      </c>
      <c r="D140" s="3">
        <v>3.5</v>
      </c>
      <c r="E140" s="3">
        <v>45</v>
      </c>
      <c r="F140" s="8">
        <v>24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3" t="s">
        <v>10</v>
      </c>
      <c r="N140">
        <v>91</v>
      </c>
      <c r="O140" cm="1">
        <f t="array" ref="O140">_xlfn.XLOOKUP(C140,Table1[[#All],[Colour]],Table1[[#All],[Cost]],0)</f>
        <v>3</v>
      </c>
      <c r="P140">
        <f t="shared" si="6"/>
        <v>10.5</v>
      </c>
      <c r="Q140">
        <f t="shared" si="7"/>
        <v>34.5</v>
      </c>
      <c r="R140">
        <f t="shared" si="8"/>
        <v>76.666666666666671</v>
      </c>
    </row>
    <row r="141" spans="1:18" hidden="1" x14ac:dyDescent="0.3">
      <c r="A141" t="s">
        <v>74</v>
      </c>
      <c r="B141" s="2" t="s">
        <v>75</v>
      </c>
      <c r="C141" s="2" t="s">
        <v>12</v>
      </c>
      <c r="D141" s="3">
        <v>5</v>
      </c>
      <c r="E141" s="3">
        <v>49</v>
      </c>
      <c r="F141" s="8">
        <v>68</v>
      </c>
      <c r="G141" s="8">
        <v>55</v>
      </c>
      <c r="H141" s="8">
        <v>20</v>
      </c>
      <c r="I141" s="8">
        <v>25</v>
      </c>
      <c r="J141" s="8">
        <v>30</v>
      </c>
      <c r="K141" s="8">
        <v>44</v>
      </c>
      <c r="L141" s="8">
        <v>10</v>
      </c>
      <c r="M141" s="3" t="s">
        <v>10</v>
      </c>
      <c r="N141">
        <v>93</v>
      </c>
      <c r="O141" cm="1">
        <f t="array" ref="O141">_xlfn.XLOOKUP(C141,Table1[[#All],[Colour]],Table1[[#All],[Cost]],0)</f>
        <v>3</v>
      </c>
      <c r="P141">
        <f t="shared" si="6"/>
        <v>15</v>
      </c>
      <c r="Q141">
        <f t="shared" si="7"/>
        <v>34</v>
      </c>
      <c r="R141">
        <f t="shared" si="8"/>
        <v>69.387755102040813</v>
      </c>
    </row>
    <row r="142" spans="1:18" x14ac:dyDescent="0.3">
      <c r="A142" t="s">
        <v>74</v>
      </c>
      <c r="B142" s="2" t="s">
        <v>75</v>
      </c>
      <c r="C142" s="2" t="s">
        <v>43</v>
      </c>
      <c r="D142" s="3">
        <v>5</v>
      </c>
      <c r="E142" s="3">
        <v>49</v>
      </c>
      <c r="F142" s="8">
        <v>1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3" t="s">
        <v>10</v>
      </c>
      <c r="N142">
        <v>100</v>
      </c>
      <c r="O142" cm="1">
        <f t="array" ref="O142">_xlfn.XLOOKUP(C142,Table1[[#All],[Colour]],Table1[[#All],[Cost]],0)</f>
        <v>3</v>
      </c>
      <c r="P142">
        <f t="shared" si="6"/>
        <v>15</v>
      </c>
      <c r="Q142">
        <f t="shared" si="7"/>
        <v>34</v>
      </c>
      <c r="R142">
        <f t="shared" si="8"/>
        <v>69.387755102040813</v>
      </c>
    </row>
    <row r="143" spans="1:18" x14ac:dyDescent="0.3">
      <c r="A143" t="s">
        <v>74</v>
      </c>
      <c r="B143" s="2" t="s">
        <v>75</v>
      </c>
      <c r="C143" s="2" t="s">
        <v>14</v>
      </c>
      <c r="D143" s="3">
        <v>5</v>
      </c>
      <c r="E143" s="3">
        <v>49</v>
      </c>
      <c r="F143" s="8">
        <v>1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3" t="s">
        <v>10</v>
      </c>
      <c r="N143">
        <v>95</v>
      </c>
      <c r="O143" cm="1">
        <f t="array" ref="O143">_xlfn.XLOOKUP(C143,Table1[[#All],[Colour]],Table1[[#All],[Cost]],0)</f>
        <v>3</v>
      </c>
      <c r="P143">
        <f t="shared" si="6"/>
        <v>15</v>
      </c>
      <c r="Q143">
        <f t="shared" si="7"/>
        <v>34</v>
      </c>
      <c r="R143">
        <f t="shared" si="8"/>
        <v>69.387755102040813</v>
      </c>
    </row>
    <row r="144" spans="1:18" hidden="1" x14ac:dyDescent="0.3">
      <c r="A144" t="s">
        <v>23</v>
      </c>
      <c r="B144" t="s">
        <v>24</v>
      </c>
      <c r="C144" t="s">
        <v>12</v>
      </c>
      <c r="D144" s="3">
        <v>7</v>
      </c>
      <c r="E144" s="3">
        <v>55</v>
      </c>
      <c r="F144" s="8">
        <v>1578</v>
      </c>
      <c r="G144" s="8">
        <v>1450</v>
      </c>
      <c r="H144" s="8">
        <v>1135</v>
      </c>
      <c r="I144" s="8">
        <v>957</v>
      </c>
      <c r="J144" s="8">
        <v>2300</v>
      </c>
      <c r="K144" s="8">
        <v>2780</v>
      </c>
      <c r="L144" s="8">
        <v>2800</v>
      </c>
      <c r="M144" s="3" t="s">
        <v>10</v>
      </c>
      <c r="N144">
        <v>95</v>
      </c>
      <c r="O144" cm="1">
        <f t="array" ref="O144">_xlfn.XLOOKUP(C144,Table1[[#All],[Colour]],Table1[[#All],[Cost]],0)</f>
        <v>3</v>
      </c>
      <c r="P144">
        <f t="shared" si="6"/>
        <v>21</v>
      </c>
      <c r="Q144">
        <f t="shared" si="7"/>
        <v>34</v>
      </c>
      <c r="R144">
        <f t="shared" si="8"/>
        <v>61.818181818181813</v>
      </c>
    </row>
    <row r="145" spans="1:18" x14ac:dyDescent="0.3">
      <c r="A145" t="s">
        <v>23</v>
      </c>
      <c r="B145" t="s">
        <v>24</v>
      </c>
      <c r="C145" t="s">
        <v>25</v>
      </c>
      <c r="D145" s="3">
        <v>7</v>
      </c>
      <c r="E145" s="3">
        <v>55</v>
      </c>
      <c r="F145" s="8">
        <v>23</v>
      </c>
      <c r="G145" s="8">
        <v>15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3" t="s">
        <v>10</v>
      </c>
      <c r="N145">
        <v>90</v>
      </c>
      <c r="O145" cm="1">
        <f t="array" ref="O145">_xlfn.XLOOKUP(C145,Table1[[#All],[Colour]],Table1[[#All],[Cost]],0)</f>
        <v>3</v>
      </c>
      <c r="P145">
        <f t="shared" si="6"/>
        <v>21</v>
      </c>
      <c r="Q145">
        <f t="shared" si="7"/>
        <v>34</v>
      </c>
      <c r="R145">
        <f t="shared" si="8"/>
        <v>61.818181818181813</v>
      </c>
    </row>
    <row r="146" spans="1:18" hidden="1" x14ac:dyDescent="0.3">
      <c r="A146" t="s">
        <v>42</v>
      </c>
      <c r="B146" t="s">
        <v>35</v>
      </c>
      <c r="C146" s="2" t="s">
        <v>9</v>
      </c>
      <c r="D146" s="3">
        <v>4</v>
      </c>
      <c r="E146" s="3">
        <v>45</v>
      </c>
      <c r="F146" s="8">
        <v>962</v>
      </c>
      <c r="G146" s="8">
        <v>1465</v>
      </c>
      <c r="H146" s="8">
        <v>1334</v>
      </c>
      <c r="I146" s="8">
        <v>2383</v>
      </c>
      <c r="J146" s="8">
        <v>1525</v>
      </c>
      <c r="K146" s="8">
        <v>1582</v>
      </c>
      <c r="L146" s="8">
        <v>1539</v>
      </c>
      <c r="M146" s="3" t="s">
        <v>10</v>
      </c>
      <c r="N146">
        <v>100</v>
      </c>
      <c r="O146" cm="1">
        <f t="array" ref="O146">_xlfn.XLOOKUP(C146,Table1[[#All],[Colour]],Table1[[#All],[Cost]],0)</f>
        <v>2.8</v>
      </c>
      <c r="P146">
        <f t="shared" si="6"/>
        <v>11.2</v>
      </c>
      <c r="Q146">
        <f t="shared" si="7"/>
        <v>33.799999999999997</v>
      </c>
      <c r="R146">
        <f t="shared" si="8"/>
        <v>75.1111111111111</v>
      </c>
    </row>
    <row r="147" spans="1:18" hidden="1" x14ac:dyDescent="0.3">
      <c r="A147" t="s">
        <v>15</v>
      </c>
      <c r="B147" t="s">
        <v>16</v>
      </c>
      <c r="C147" t="s">
        <v>12</v>
      </c>
      <c r="D147" s="3">
        <v>6</v>
      </c>
      <c r="E147" s="3">
        <v>50</v>
      </c>
      <c r="F147" s="8">
        <v>450</v>
      </c>
      <c r="G147" s="8">
        <v>300</v>
      </c>
      <c r="H147" s="8">
        <v>230</v>
      </c>
      <c r="I147" s="8">
        <v>200</v>
      </c>
      <c r="J147" s="8">
        <v>225</v>
      </c>
      <c r="K147" s="8">
        <v>705</v>
      </c>
      <c r="L147" s="8">
        <v>680</v>
      </c>
      <c r="M147" s="3" t="s">
        <v>10</v>
      </c>
      <c r="N147">
        <v>92</v>
      </c>
      <c r="O147" cm="1">
        <f t="array" ref="O147">_xlfn.XLOOKUP(C147,Table1[[#All],[Colour]],Table1[[#All],[Cost]],0)</f>
        <v>3</v>
      </c>
      <c r="P147">
        <f t="shared" si="6"/>
        <v>18</v>
      </c>
      <c r="Q147">
        <f t="shared" si="7"/>
        <v>32</v>
      </c>
      <c r="R147">
        <f t="shared" si="8"/>
        <v>64</v>
      </c>
    </row>
    <row r="148" spans="1:18" x14ac:dyDescent="0.3">
      <c r="A148" t="s">
        <v>115</v>
      </c>
      <c r="B148" s="2" t="s">
        <v>113</v>
      </c>
      <c r="C148" s="2" t="s">
        <v>96</v>
      </c>
      <c r="D148" s="4">
        <v>15</v>
      </c>
      <c r="E148" s="3">
        <v>77</v>
      </c>
      <c r="F148" s="8">
        <v>109</v>
      </c>
      <c r="G148" s="8">
        <v>102</v>
      </c>
      <c r="H148" s="8">
        <v>32</v>
      </c>
      <c r="I148" s="8">
        <v>0</v>
      </c>
      <c r="J148" s="8">
        <v>0</v>
      </c>
      <c r="K148" s="8">
        <v>0</v>
      </c>
      <c r="L148" s="8">
        <v>0</v>
      </c>
      <c r="M148" s="3" t="s">
        <v>97</v>
      </c>
      <c r="N148">
        <v>98</v>
      </c>
      <c r="O148" cm="1">
        <f t="array" ref="O148">_xlfn.XLOOKUP(C148,Table1[[#All],[Colour]],Table1[[#All],[Cost]],0)</f>
        <v>3</v>
      </c>
      <c r="P148">
        <f t="shared" si="6"/>
        <v>45</v>
      </c>
      <c r="Q148">
        <f t="shared" si="7"/>
        <v>32</v>
      </c>
      <c r="R148">
        <f t="shared" si="8"/>
        <v>41.558441558441558</v>
      </c>
    </row>
    <row r="149" spans="1:18" hidden="1" x14ac:dyDescent="0.3">
      <c r="A149" t="s">
        <v>36</v>
      </c>
      <c r="B149" t="s">
        <v>37</v>
      </c>
      <c r="C149" s="2" t="s">
        <v>9</v>
      </c>
      <c r="D149" s="3">
        <v>5</v>
      </c>
      <c r="E149" s="3">
        <v>45</v>
      </c>
      <c r="F149" s="8">
        <v>787</v>
      </c>
      <c r="G149" s="8">
        <v>478</v>
      </c>
      <c r="H149" s="8">
        <v>1235</v>
      </c>
      <c r="I149" s="8">
        <v>1450</v>
      </c>
      <c r="J149" s="8">
        <v>1728</v>
      </c>
      <c r="K149" s="8">
        <v>1182</v>
      </c>
      <c r="L149" s="8">
        <v>999</v>
      </c>
      <c r="M149" s="3" t="s">
        <v>10</v>
      </c>
      <c r="N149">
        <v>97</v>
      </c>
      <c r="O149" cm="1">
        <f t="array" ref="O149">_xlfn.XLOOKUP(C149,Table1[[#All],[Colour]],Table1[[#All],[Cost]],0)</f>
        <v>2.8</v>
      </c>
      <c r="P149">
        <f t="shared" si="6"/>
        <v>14</v>
      </c>
      <c r="Q149">
        <f t="shared" si="7"/>
        <v>31</v>
      </c>
      <c r="R149">
        <f t="shared" si="8"/>
        <v>68.888888888888886</v>
      </c>
    </row>
    <row r="150" spans="1:18" hidden="1" x14ac:dyDescent="0.3">
      <c r="A150" t="s">
        <v>46</v>
      </c>
      <c r="B150" t="s">
        <v>47</v>
      </c>
      <c r="C150" s="2" t="s">
        <v>12</v>
      </c>
      <c r="D150" s="3">
        <v>5</v>
      </c>
      <c r="E150" s="3">
        <v>45</v>
      </c>
      <c r="F150" s="8">
        <v>342</v>
      </c>
      <c r="G150" s="8">
        <v>280</v>
      </c>
      <c r="H150" s="8">
        <v>133</v>
      </c>
      <c r="I150" s="8">
        <v>200</v>
      </c>
      <c r="J150" s="8">
        <v>187</v>
      </c>
      <c r="K150" s="8">
        <v>850</v>
      </c>
      <c r="L150" s="8">
        <v>345</v>
      </c>
      <c r="M150" s="3" t="s">
        <v>10</v>
      </c>
      <c r="N150">
        <v>94</v>
      </c>
      <c r="O150" cm="1">
        <f t="array" ref="O150">_xlfn.XLOOKUP(C150,Table1[[#All],[Colour]],Table1[[#All],[Cost]],0)</f>
        <v>3</v>
      </c>
      <c r="P150">
        <f t="shared" si="6"/>
        <v>15</v>
      </c>
      <c r="Q150">
        <f t="shared" si="7"/>
        <v>30</v>
      </c>
      <c r="R150">
        <f t="shared" si="8"/>
        <v>66.666666666666657</v>
      </c>
    </row>
    <row r="151" spans="1:18" x14ac:dyDescent="0.3">
      <c r="A151" t="s">
        <v>46</v>
      </c>
      <c r="B151" t="s">
        <v>47</v>
      </c>
      <c r="C151" s="2" t="s">
        <v>43</v>
      </c>
      <c r="D151" s="3">
        <v>5</v>
      </c>
      <c r="E151" s="3">
        <v>45</v>
      </c>
      <c r="F151" s="8">
        <v>28</v>
      </c>
      <c r="G151" s="8">
        <v>5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3" t="s">
        <v>10</v>
      </c>
      <c r="N151">
        <v>90</v>
      </c>
      <c r="O151" cm="1">
        <f t="array" ref="O151">_xlfn.XLOOKUP(C151,Table1[[#All],[Colour]],Table1[[#All],[Cost]],0)</f>
        <v>3</v>
      </c>
      <c r="P151">
        <f t="shared" si="6"/>
        <v>15</v>
      </c>
      <c r="Q151">
        <f t="shared" si="7"/>
        <v>30</v>
      </c>
      <c r="R151">
        <f t="shared" si="8"/>
        <v>66.666666666666657</v>
      </c>
    </row>
    <row r="152" spans="1:18" x14ac:dyDescent="0.3">
      <c r="A152" t="s">
        <v>107</v>
      </c>
      <c r="B152" s="2" t="s">
        <v>108</v>
      </c>
      <c r="C152" s="2" t="s">
        <v>96</v>
      </c>
      <c r="D152" s="4">
        <v>5</v>
      </c>
      <c r="E152" s="3">
        <v>45</v>
      </c>
      <c r="F152" s="8">
        <v>122</v>
      </c>
      <c r="G152" s="8">
        <v>91</v>
      </c>
      <c r="H152" s="8">
        <v>3</v>
      </c>
      <c r="I152" s="8">
        <v>0</v>
      </c>
      <c r="J152" s="8">
        <v>0</v>
      </c>
      <c r="K152" s="8">
        <v>0</v>
      </c>
      <c r="L152" s="8">
        <v>0</v>
      </c>
      <c r="M152" s="3" t="s">
        <v>97</v>
      </c>
      <c r="N152">
        <v>97</v>
      </c>
      <c r="O152" cm="1">
        <f t="array" ref="O152">_xlfn.XLOOKUP(C152,Table1[[#All],[Colour]],Table1[[#All],[Cost]],0)</f>
        <v>3</v>
      </c>
      <c r="P152">
        <f t="shared" si="6"/>
        <v>15</v>
      </c>
      <c r="Q152">
        <f t="shared" si="7"/>
        <v>30</v>
      </c>
      <c r="R152">
        <f t="shared" si="8"/>
        <v>66.666666666666657</v>
      </c>
    </row>
    <row r="153" spans="1:18" x14ac:dyDescent="0.3">
      <c r="A153" t="s">
        <v>116</v>
      </c>
      <c r="B153" s="2" t="s">
        <v>113</v>
      </c>
      <c r="C153" s="2" t="s">
        <v>96</v>
      </c>
      <c r="D153" s="4">
        <v>5</v>
      </c>
      <c r="E153" s="3">
        <v>45</v>
      </c>
      <c r="F153" s="8">
        <v>79</v>
      </c>
      <c r="G153" s="8">
        <v>29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3" t="s">
        <v>97</v>
      </c>
      <c r="N153">
        <v>95</v>
      </c>
      <c r="O153" cm="1">
        <f t="array" ref="O153">_xlfn.XLOOKUP(C153,Table1[[#All],[Colour]],Table1[[#All],[Cost]],0)</f>
        <v>3</v>
      </c>
      <c r="P153">
        <f t="shared" si="6"/>
        <v>15</v>
      </c>
      <c r="Q153">
        <f t="shared" si="7"/>
        <v>30</v>
      </c>
      <c r="R153">
        <f t="shared" si="8"/>
        <v>66.666666666666657</v>
      </c>
    </row>
    <row r="154" spans="1:18" x14ac:dyDescent="0.3">
      <c r="A154" t="s">
        <v>114</v>
      </c>
      <c r="B154" s="2" t="s">
        <v>113</v>
      </c>
      <c r="C154" s="2" t="s">
        <v>96</v>
      </c>
      <c r="D154" s="4">
        <v>10</v>
      </c>
      <c r="E154" s="3">
        <v>60</v>
      </c>
      <c r="F154" s="8">
        <v>430</v>
      </c>
      <c r="G154" s="8">
        <v>223</v>
      </c>
      <c r="H154" s="8">
        <v>157</v>
      </c>
      <c r="I154" s="8">
        <v>0</v>
      </c>
      <c r="J154" s="8">
        <v>0</v>
      </c>
      <c r="K154" s="8">
        <v>0</v>
      </c>
      <c r="L154" s="8">
        <v>0</v>
      </c>
      <c r="M154" s="3" t="s">
        <v>97</v>
      </c>
      <c r="N154">
        <v>95</v>
      </c>
      <c r="O154" cm="1">
        <f t="array" ref="O154">_xlfn.XLOOKUP(C154,Table1[[#All],[Colour]],Table1[[#All],[Cost]],0)</f>
        <v>3</v>
      </c>
      <c r="P154">
        <f t="shared" si="6"/>
        <v>30</v>
      </c>
      <c r="Q154">
        <f t="shared" si="7"/>
        <v>30</v>
      </c>
      <c r="R154">
        <f t="shared" si="8"/>
        <v>50</v>
      </c>
    </row>
    <row r="155" spans="1:18" x14ac:dyDescent="0.3">
      <c r="A155" t="s">
        <v>26</v>
      </c>
      <c r="B155" t="s">
        <v>27</v>
      </c>
      <c r="C155" t="s">
        <v>28</v>
      </c>
      <c r="D155" s="3">
        <v>15</v>
      </c>
      <c r="E155" s="3">
        <v>75</v>
      </c>
      <c r="F155" s="8">
        <v>496</v>
      </c>
      <c r="G155" s="8">
        <v>557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3" t="s">
        <v>10</v>
      </c>
      <c r="N155">
        <v>91</v>
      </c>
      <c r="O155" cm="1">
        <f t="array" ref="O155">_xlfn.XLOOKUP(C155,Table1[[#All],[Colour]],Table1[[#All],[Cost]],0)</f>
        <v>3</v>
      </c>
      <c r="P155">
        <f t="shared" si="6"/>
        <v>45</v>
      </c>
      <c r="Q155">
        <f t="shared" si="7"/>
        <v>30</v>
      </c>
      <c r="R155">
        <f t="shared" si="8"/>
        <v>40</v>
      </c>
    </row>
    <row r="156" spans="1:18" hidden="1" x14ac:dyDescent="0.3">
      <c r="A156" t="s">
        <v>7</v>
      </c>
      <c r="B156" t="s">
        <v>8</v>
      </c>
      <c r="C156" t="s">
        <v>9</v>
      </c>
      <c r="D156" s="3">
        <v>7</v>
      </c>
      <c r="E156" s="3">
        <v>30</v>
      </c>
      <c r="F156" s="8">
        <v>2132</v>
      </c>
      <c r="G156" s="8">
        <v>2648</v>
      </c>
      <c r="H156" s="8">
        <v>2712</v>
      </c>
      <c r="I156" s="8">
        <v>1775</v>
      </c>
      <c r="J156" s="8">
        <v>2302</v>
      </c>
      <c r="K156" s="8">
        <v>2250</v>
      </c>
      <c r="L156" s="8">
        <v>2532</v>
      </c>
      <c r="M156" s="3" t="s">
        <v>10</v>
      </c>
      <c r="N156">
        <v>91</v>
      </c>
      <c r="O156" cm="1">
        <f t="array" ref="O156">_xlfn.XLOOKUP($C$2,Table1[[#All],[Colour]],Table1[[#All],[Cost]],0)</f>
        <v>0</v>
      </c>
      <c r="P156">
        <f t="shared" si="6"/>
        <v>0</v>
      </c>
      <c r="Q156">
        <f t="shared" si="7"/>
        <v>30</v>
      </c>
      <c r="R156">
        <f t="shared" si="8"/>
        <v>100</v>
      </c>
    </row>
    <row r="157" spans="1:18" x14ac:dyDescent="0.3">
      <c r="A157" t="s">
        <v>52</v>
      </c>
      <c r="B157" s="2" t="s">
        <v>53</v>
      </c>
      <c r="C157" s="2" t="s">
        <v>14</v>
      </c>
      <c r="D157" s="3">
        <v>30</v>
      </c>
      <c r="E157" s="3">
        <v>120</v>
      </c>
      <c r="F157" s="8">
        <v>5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3" t="s">
        <v>10</v>
      </c>
      <c r="N157">
        <v>96</v>
      </c>
      <c r="O157" cm="1">
        <f t="array" ref="O157">_xlfn.XLOOKUP(C157,Table1[[#All],[Colour]],Table1[[#All],[Cost]],0)</f>
        <v>3</v>
      </c>
      <c r="P157">
        <f t="shared" si="6"/>
        <v>90</v>
      </c>
      <c r="Q157">
        <f t="shared" si="7"/>
        <v>30</v>
      </c>
      <c r="R157">
        <f t="shared" si="8"/>
        <v>25</v>
      </c>
    </row>
    <row r="158" spans="1:18" x14ac:dyDescent="0.3">
      <c r="A158" t="s">
        <v>52</v>
      </c>
      <c r="B158" s="2" t="s">
        <v>53</v>
      </c>
      <c r="C158" s="2" t="s">
        <v>43</v>
      </c>
      <c r="D158" s="3">
        <v>30</v>
      </c>
      <c r="E158" s="3">
        <v>120</v>
      </c>
      <c r="F158" s="8">
        <v>8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3" t="s">
        <v>10</v>
      </c>
      <c r="N158">
        <v>97</v>
      </c>
      <c r="O158" cm="1">
        <f t="array" ref="O158">_xlfn.XLOOKUP(C158,Table1[[#All],[Colour]],Table1[[#All],[Cost]],0)</f>
        <v>3</v>
      </c>
      <c r="P158">
        <f t="shared" si="6"/>
        <v>90</v>
      </c>
      <c r="Q158">
        <f t="shared" si="7"/>
        <v>30</v>
      </c>
      <c r="R158">
        <f t="shared" si="8"/>
        <v>25</v>
      </c>
    </row>
    <row r="159" spans="1:18" x14ac:dyDescent="0.3">
      <c r="A159" t="s">
        <v>109</v>
      </c>
      <c r="B159" s="2" t="s">
        <v>108</v>
      </c>
      <c r="C159" s="2" t="s">
        <v>96</v>
      </c>
      <c r="D159" s="4">
        <v>10</v>
      </c>
      <c r="E159" s="3">
        <v>59</v>
      </c>
      <c r="F159" s="8">
        <v>194</v>
      </c>
      <c r="G159" s="8">
        <v>102</v>
      </c>
      <c r="H159" s="8">
        <v>2</v>
      </c>
      <c r="I159" s="8">
        <v>0</v>
      </c>
      <c r="J159" s="8">
        <v>0</v>
      </c>
      <c r="K159" s="8">
        <v>0</v>
      </c>
      <c r="L159" s="8">
        <v>0</v>
      </c>
      <c r="M159" s="3" t="s">
        <v>97</v>
      </c>
      <c r="N159">
        <v>96</v>
      </c>
      <c r="O159" cm="1">
        <f t="array" ref="O159">_xlfn.XLOOKUP(C159,Table1[[#All],[Colour]],Table1[[#All],[Cost]],0)</f>
        <v>3</v>
      </c>
      <c r="P159">
        <f t="shared" si="6"/>
        <v>30</v>
      </c>
      <c r="Q159">
        <f t="shared" si="7"/>
        <v>29</v>
      </c>
      <c r="R159">
        <f t="shared" si="8"/>
        <v>49.152542372881356</v>
      </c>
    </row>
    <row r="160" spans="1:18" x14ac:dyDescent="0.3">
      <c r="A160" t="s">
        <v>136</v>
      </c>
      <c r="B160" s="2" t="s">
        <v>131</v>
      </c>
      <c r="C160" s="2" t="s">
        <v>96</v>
      </c>
      <c r="D160" s="4">
        <v>12</v>
      </c>
      <c r="E160" s="3">
        <v>65</v>
      </c>
      <c r="F160" s="8">
        <v>240</v>
      </c>
      <c r="G160" s="8">
        <v>170</v>
      </c>
      <c r="H160" s="8">
        <v>15</v>
      </c>
      <c r="I160" s="8">
        <v>0</v>
      </c>
      <c r="J160" s="8">
        <v>0</v>
      </c>
      <c r="K160" s="8">
        <v>0</v>
      </c>
      <c r="L160" s="8">
        <v>0</v>
      </c>
      <c r="M160" s="3" t="s">
        <v>97</v>
      </c>
      <c r="N160">
        <v>97</v>
      </c>
      <c r="O160" cm="1">
        <f t="array" ref="O160">_xlfn.XLOOKUP(C160,Table1[[#All],[Colour]],Table1[[#All],[Cost]],0)</f>
        <v>3</v>
      </c>
      <c r="P160">
        <f t="shared" si="6"/>
        <v>36</v>
      </c>
      <c r="Q160">
        <f t="shared" si="7"/>
        <v>29</v>
      </c>
      <c r="R160">
        <f t="shared" si="8"/>
        <v>44.61538461538462</v>
      </c>
    </row>
    <row r="161" spans="1:18" hidden="1" x14ac:dyDescent="0.3">
      <c r="A161" t="s">
        <v>171</v>
      </c>
      <c r="B161" t="s">
        <v>172</v>
      </c>
      <c r="C161" s="2" t="s">
        <v>9</v>
      </c>
      <c r="D161" s="3">
        <v>25</v>
      </c>
      <c r="E161" s="3">
        <v>99</v>
      </c>
      <c r="F161" s="8">
        <v>65</v>
      </c>
      <c r="G161" s="8">
        <v>50</v>
      </c>
      <c r="H161" s="8">
        <v>95</v>
      </c>
      <c r="I161" s="8">
        <v>89</v>
      </c>
      <c r="J161" s="8">
        <v>66</v>
      </c>
      <c r="K161" s="8">
        <v>30</v>
      </c>
      <c r="L161" s="8">
        <v>0</v>
      </c>
      <c r="M161" s="3" t="s">
        <v>144</v>
      </c>
      <c r="N161">
        <v>93</v>
      </c>
      <c r="O161" cm="1">
        <f t="array" ref="O161">_xlfn.XLOOKUP(C161,Table1[[#All],[Colour]],Table1[[#All],[Cost]],0)</f>
        <v>2.8</v>
      </c>
      <c r="P161">
        <f t="shared" si="6"/>
        <v>70</v>
      </c>
      <c r="Q161">
        <f t="shared" si="7"/>
        <v>29</v>
      </c>
      <c r="R161">
        <f t="shared" si="8"/>
        <v>29.292929292929294</v>
      </c>
    </row>
    <row r="162" spans="1:18" hidden="1" x14ac:dyDescent="0.3">
      <c r="A162" t="s">
        <v>54</v>
      </c>
      <c r="B162" t="s">
        <v>55</v>
      </c>
      <c r="C162" s="2" t="s">
        <v>12</v>
      </c>
      <c r="D162" s="3">
        <v>9</v>
      </c>
      <c r="E162" s="3">
        <v>55</v>
      </c>
      <c r="F162" s="8">
        <v>230</v>
      </c>
      <c r="G162" s="8">
        <v>185</v>
      </c>
      <c r="H162" s="8">
        <v>74</v>
      </c>
      <c r="I162" s="8">
        <v>67</v>
      </c>
      <c r="J162" s="8">
        <v>55</v>
      </c>
      <c r="K162" s="8">
        <v>80</v>
      </c>
      <c r="L162" s="8">
        <v>250</v>
      </c>
      <c r="M162" s="3" t="s">
        <v>10</v>
      </c>
      <c r="N162">
        <v>90</v>
      </c>
      <c r="O162" cm="1">
        <f t="array" ref="O162">_xlfn.XLOOKUP(C162,Table1[[#All],[Colour]],Table1[[#All],[Cost]],0)</f>
        <v>3</v>
      </c>
      <c r="P162">
        <f t="shared" si="6"/>
        <v>27</v>
      </c>
      <c r="Q162">
        <f t="shared" si="7"/>
        <v>28</v>
      </c>
      <c r="R162">
        <f t="shared" si="8"/>
        <v>50.909090909090907</v>
      </c>
    </row>
    <row r="163" spans="1:18" hidden="1" x14ac:dyDescent="0.3">
      <c r="A163" t="s">
        <v>66</v>
      </c>
      <c r="B163" s="2" t="s">
        <v>55</v>
      </c>
      <c r="C163" s="2" t="s">
        <v>9</v>
      </c>
      <c r="D163" s="3">
        <v>4.5</v>
      </c>
      <c r="E163" s="3">
        <v>40</v>
      </c>
      <c r="F163" s="8">
        <v>41</v>
      </c>
      <c r="G163" s="8">
        <v>68</v>
      </c>
      <c r="H163" s="8">
        <v>183</v>
      </c>
      <c r="I163" s="8">
        <v>73</v>
      </c>
      <c r="J163" s="8">
        <v>79</v>
      </c>
      <c r="K163" s="8">
        <v>314</v>
      </c>
      <c r="L163" s="8">
        <v>156</v>
      </c>
      <c r="M163" s="3" t="s">
        <v>10</v>
      </c>
      <c r="N163">
        <v>97</v>
      </c>
      <c r="O163" cm="1">
        <f t="array" ref="O163">_xlfn.XLOOKUP(C163,Table1[[#All],[Colour]],Table1[[#All],[Cost]],0)</f>
        <v>2.8</v>
      </c>
      <c r="P163">
        <f t="shared" si="6"/>
        <v>12.6</v>
      </c>
      <c r="Q163">
        <f t="shared" si="7"/>
        <v>27.4</v>
      </c>
      <c r="R163">
        <f t="shared" si="8"/>
        <v>68.5</v>
      </c>
    </row>
    <row r="164" spans="1:18" x14ac:dyDescent="0.3">
      <c r="A164" t="s">
        <v>120</v>
      </c>
      <c r="B164" s="2" t="s">
        <v>118</v>
      </c>
      <c r="C164" s="2" t="s">
        <v>96</v>
      </c>
      <c r="D164" s="4">
        <v>8</v>
      </c>
      <c r="E164" s="3">
        <v>51</v>
      </c>
      <c r="F164" s="8">
        <v>90</v>
      </c>
      <c r="G164" s="8">
        <v>35</v>
      </c>
      <c r="H164" s="8">
        <v>15</v>
      </c>
      <c r="I164" s="8">
        <v>0</v>
      </c>
      <c r="J164" s="8">
        <v>0</v>
      </c>
      <c r="K164" s="8">
        <v>0</v>
      </c>
      <c r="L164" s="8">
        <v>0</v>
      </c>
      <c r="M164" s="3" t="s">
        <v>97</v>
      </c>
      <c r="N164">
        <v>100</v>
      </c>
      <c r="O164" cm="1">
        <f t="array" ref="O164">_xlfn.XLOOKUP(C164,Table1[[#All],[Colour]],Table1[[#All],[Cost]],0)</f>
        <v>3</v>
      </c>
      <c r="P164">
        <f t="shared" si="6"/>
        <v>24</v>
      </c>
      <c r="Q164">
        <f t="shared" si="7"/>
        <v>27</v>
      </c>
      <c r="R164">
        <f t="shared" si="8"/>
        <v>52.941176470588239</v>
      </c>
    </row>
    <row r="165" spans="1:18" hidden="1" x14ac:dyDescent="0.3">
      <c r="A165" t="s">
        <v>147</v>
      </c>
      <c r="B165" t="s">
        <v>148</v>
      </c>
      <c r="C165" s="2" t="s">
        <v>9</v>
      </c>
      <c r="D165" s="3">
        <v>10</v>
      </c>
      <c r="E165" s="3">
        <v>55</v>
      </c>
      <c r="F165" s="8">
        <v>200</v>
      </c>
      <c r="G165" s="8">
        <v>233</v>
      </c>
      <c r="H165" s="8">
        <v>150</v>
      </c>
      <c r="I165" s="8">
        <v>200</v>
      </c>
      <c r="J165" s="8">
        <v>148</v>
      </c>
      <c r="K165" s="8">
        <v>150</v>
      </c>
      <c r="L165" s="8">
        <v>170</v>
      </c>
      <c r="M165" s="3" t="s">
        <v>144</v>
      </c>
      <c r="N165">
        <v>96</v>
      </c>
      <c r="O165" cm="1">
        <f t="array" ref="O165">_xlfn.XLOOKUP(C165,Table1[[#All],[Colour]],Table1[[#All],[Cost]],0)</f>
        <v>2.8</v>
      </c>
      <c r="P165">
        <f t="shared" si="6"/>
        <v>28</v>
      </c>
      <c r="Q165">
        <f t="shared" si="7"/>
        <v>27</v>
      </c>
      <c r="R165">
        <f t="shared" si="8"/>
        <v>49.090909090909093</v>
      </c>
    </row>
    <row r="166" spans="1:18" x14ac:dyDescent="0.3">
      <c r="A166" t="s">
        <v>121</v>
      </c>
      <c r="B166" s="2" t="s">
        <v>118</v>
      </c>
      <c r="C166" s="2" t="s">
        <v>96</v>
      </c>
      <c r="D166" s="4">
        <v>11</v>
      </c>
      <c r="E166" s="3">
        <v>60</v>
      </c>
      <c r="F166" s="8">
        <v>24</v>
      </c>
      <c r="G166" s="8">
        <v>21</v>
      </c>
      <c r="H166" s="8">
        <v>3</v>
      </c>
      <c r="I166" s="8">
        <v>0</v>
      </c>
      <c r="J166" s="8">
        <v>0</v>
      </c>
      <c r="K166" s="8">
        <v>0</v>
      </c>
      <c r="L166" s="8">
        <v>0</v>
      </c>
      <c r="M166" s="3" t="s">
        <v>97</v>
      </c>
      <c r="N166">
        <v>94</v>
      </c>
      <c r="O166" cm="1">
        <f t="array" ref="O166">_xlfn.XLOOKUP(C166,Table1[[#All],[Colour]],Table1[[#All],[Cost]],0)</f>
        <v>3</v>
      </c>
      <c r="P166">
        <f t="shared" si="6"/>
        <v>33</v>
      </c>
      <c r="Q166">
        <f t="shared" si="7"/>
        <v>27</v>
      </c>
      <c r="R166">
        <f t="shared" si="8"/>
        <v>45</v>
      </c>
    </row>
    <row r="167" spans="1:18" hidden="1" x14ac:dyDescent="0.3">
      <c r="A167" t="s">
        <v>23</v>
      </c>
      <c r="B167" t="s">
        <v>24</v>
      </c>
      <c r="C167" t="s">
        <v>9</v>
      </c>
      <c r="D167" s="3">
        <v>7</v>
      </c>
      <c r="E167" s="3">
        <v>45</v>
      </c>
      <c r="F167" s="8">
        <v>1064</v>
      </c>
      <c r="G167" s="8">
        <v>1153</v>
      </c>
      <c r="H167" s="8">
        <v>1979</v>
      </c>
      <c r="I167" s="8">
        <v>2901</v>
      </c>
      <c r="J167" s="8">
        <v>2434</v>
      </c>
      <c r="K167" s="8">
        <v>1693</v>
      </c>
      <c r="L167" s="8">
        <v>1311</v>
      </c>
      <c r="M167" s="3" t="s">
        <v>10</v>
      </c>
      <c r="N167">
        <v>94</v>
      </c>
      <c r="O167" cm="1">
        <f t="array" ref="O167">_xlfn.XLOOKUP(C167,Table1[[#All],[Colour]],Table1[[#All],[Cost]],0)</f>
        <v>2.8</v>
      </c>
      <c r="P167">
        <f t="shared" si="6"/>
        <v>19.599999999999998</v>
      </c>
      <c r="Q167">
        <f t="shared" si="7"/>
        <v>25.400000000000002</v>
      </c>
      <c r="R167">
        <f t="shared" si="8"/>
        <v>56.44444444444445</v>
      </c>
    </row>
    <row r="168" spans="1:18" hidden="1" x14ac:dyDescent="0.3">
      <c r="A168" t="s">
        <v>58</v>
      </c>
      <c r="B168" t="s">
        <v>59</v>
      </c>
      <c r="C168" s="2" t="s">
        <v>9</v>
      </c>
      <c r="D168" s="3">
        <v>3.5</v>
      </c>
      <c r="E168" s="3">
        <v>35</v>
      </c>
      <c r="F168" s="8">
        <v>62</v>
      </c>
      <c r="G168" s="8">
        <v>36</v>
      </c>
      <c r="H168" s="8">
        <v>46</v>
      </c>
      <c r="I168" s="8">
        <v>34</v>
      </c>
      <c r="J168" s="8">
        <v>1</v>
      </c>
      <c r="K168" s="8">
        <v>1</v>
      </c>
      <c r="L168" s="8">
        <v>4</v>
      </c>
      <c r="M168" s="3" t="s">
        <v>10</v>
      </c>
      <c r="N168">
        <v>100</v>
      </c>
      <c r="O168" cm="1">
        <f t="array" ref="O168">_xlfn.XLOOKUP(C168,Table1[[#All],[Colour]],Table1[[#All],[Cost]],0)</f>
        <v>2.8</v>
      </c>
      <c r="P168">
        <f t="shared" si="6"/>
        <v>9.7999999999999989</v>
      </c>
      <c r="Q168">
        <f t="shared" si="7"/>
        <v>25.200000000000003</v>
      </c>
      <c r="R168">
        <f t="shared" si="8"/>
        <v>72.000000000000014</v>
      </c>
    </row>
    <row r="169" spans="1:18" hidden="1" x14ac:dyDescent="0.3">
      <c r="A169" t="s">
        <v>69</v>
      </c>
      <c r="B169" t="s">
        <v>55</v>
      </c>
      <c r="C169" s="2" t="s">
        <v>9</v>
      </c>
      <c r="D169" s="3">
        <v>3.5</v>
      </c>
      <c r="E169" s="3">
        <v>35</v>
      </c>
      <c r="F169" s="8">
        <v>124</v>
      </c>
      <c r="G169" s="8">
        <v>4</v>
      </c>
      <c r="H169" s="8">
        <v>127</v>
      </c>
      <c r="I169" s="8">
        <v>35</v>
      </c>
      <c r="J169" s="8">
        <v>38</v>
      </c>
      <c r="K169" s="8">
        <v>12</v>
      </c>
      <c r="L169" s="8">
        <v>0</v>
      </c>
      <c r="M169" s="3" t="s">
        <v>10</v>
      </c>
      <c r="N169">
        <v>97</v>
      </c>
      <c r="O169" cm="1">
        <f t="array" ref="O169">_xlfn.XLOOKUP(C169,Table1[[#All],[Colour]],Table1[[#All],[Cost]],0)</f>
        <v>2.8</v>
      </c>
      <c r="P169">
        <f t="shared" si="6"/>
        <v>9.7999999999999989</v>
      </c>
      <c r="Q169">
        <f t="shared" si="7"/>
        <v>25.200000000000003</v>
      </c>
      <c r="R169">
        <f t="shared" si="8"/>
        <v>72.000000000000014</v>
      </c>
    </row>
    <row r="170" spans="1:18" hidden="1" x14ac:dyDescent="0.3">
      <c r="A170" t="s">
        <v>74</v>
      </c>
      <c r="B170" s="2" t="s">
        <v>75</v>
      </c>
      <c r="C170" s="2" t="s">
        <v>9</v>
      </c>
      <c r="D170" s="3">
        <v>5</v>
      </c>
      <c r="E170" s="3">
        <v>39</v>
      </c>
      <c r="F170" s="8">
        <v>36</v>
      </c>
      <c r="G170" s="8">
        <v>49</v>
      </c>
      <c r="H170" s="8">
        <v>38</v>
      </c>
      <c r="I170" s="8">
        <v>69</v>
      </c>
      <c r="J170" s="8">
        <v>39</v>
      </c>
      <c r="K170" s="8">
        <v>46</v>
      </c>
      <c r="L170" s="8">
        <v>8</v>
      </c>
      <c r="M170" s="3" t="s">
        <v>10</v>
      </c>
      <c r="N170">
        <v>94</v>
      </c>
      <c r="O170" cm="1">
        <f t="array" ref="O170">_xlfn.XLOOKUP(C170,Table1[[#All],[Colour]],Table1[[#All],[Cost]],0)</f>
        <v>2.8</v>
      </c>
      <c r="P170">
        <f t="shared" si="6"/>
        <v>14</v>
      </c>
      <c r="Q170">
        <f t="shared" si="7"/>
        <v>25</v>
      </c>
      <c r="R170">
        <f t="shared" si="8"/>
        <v>64.102564102564102</v>
      </c>
    </row>
    <row r="171" spans="1:18" x14ac:dyDescent="0.3">
      <c r="A171" t="s">
        <v>106</v>
      </c>
      <c r="B171" s="2" t="s">
        <v>104</v>
      </c>
      <c r="C171" s="2" t="s">
        <v>96</v>
      </c>
      <c r="D171" s="4">
        <v>20</v>
      </c>
      <c r="E171" s="3">
        <v>85</v>
      </c>
      <c r="F171" s="8">
        <v>208</v>
      </c>
      <c r="G171" s="8">
        <v>83</v>
      </c>
      <c r="H171" s="8">
        <v>20</v>
      </c>
      <c r="I171" s="8">
        <v>0</v>
      </c>
      <c r="J171" s="8">
        <v>0</v>
      </c>
      <c r="K171" s="8">
        <v>0</v>
      </c>
      <c r="L171" s="8">
        <v>0</v>
      </c>
      <c r="M171" s="3" t="s">
        <v>97</v>
      </c>
      <c r="N171">
        <v>94</v>
      </c>
      <c r="O171" cm="1">
        <f t="array" ref="O171">_xlfn.XLOOKUP(C171,Table1[[#All],[Colour]],Table1[[#All],[Cost]],0)</f>
        <v>3</v>
      </c>
      <c r="P171">
        <f t="shared" si="6"/>
        <v>60</v>
      </c>
      <c r="Q171">
        <f t="shared" si="7"/>
        <v>25</v>
      </c>
      <c r="R171">
        <f t="shared" si="8"/>
        <v>29.411764705882355</v>
      </c>
    </row>
    <row r="172" spans="1:18" hidden="1" x14ac:dyDescent="0.3">
      <c r="A172" t="s">
        <v>44</v>
      </c>
      <c r="B172" t="s">
        <v>45</v>
      </c>
      <c r="C172" s="2" t="s">
        <v>12</v>
      </c>
      <c r="D172" s="3">
        <v>3.5</v>
      </c>
      <c r="E172" s="3">
        <v>35</v>
      </c>
      <c r="F172" s="8">
        <v>1350</v>
      </c>
      <c r="G172" s="8">
        <v>1200</v>
      </c>
      <c r="H172" s="8">
        <v>567</v>
      </c>
      <c r="I172" s="8">
        <v>200</v>
      </c>
      <c r="J172" s="8">
        <v>540</v>
      </c>
      <c r="K172" s="8">
        <v>1250</v>
      </c>
      <c r="L172" s="8">
        <v>890</v>
      </c>
      <c r="M172" s="3" t="s">
        <v>10</v>
      </c>
      <c r="N172">
        <v>91</v>
      </c>
      <c r="O172" cm="1">
        <f t="array" ref="O172">_xlfn.XLOOKUP(C172,Table1[[#All],[Colour]],Table1[[#All],[Cost]],0)</f>
        <v>3</v>
      </c>
      <c r="P172">
        <f t="shared" si="6"/>
        <v>10.5</v>
      </c>
      <c r="Q172">
        <f t="shared" si="7"/>
        <v>24.5</v>
      </c>
      <c r="R172">
        <f t="shared" si="8"/>
        <v>70</v>
      </c>
    </row>
    <row r="173" spans="1:18" hidden="1" x14ac:dyDescent="0.3">
      <c r="A173" t="s">
        <v>61</v>
      </c>
      <c r="B173" t="s">
        <v>62</v>
      </c>
      <c r="C173" s="2" t="s">
        <v>12</v>
      </c>
      <c r="D173" s="3">
        <v>3.5</v>
      </c>
      <c r="E173" s="3">
        <v>35</v>
      </c>
      <c r="F173" s="8">
        <v>433</v>
      </c>
      <c r="G173" s="8">
        <v>350</v>
      </c>
      <c r="H173" s="8">
        <v>235</v>
      </c>
      <c r="I173" s="8">
        <v>170</v>
      </c>
      <c r="J173" s="8">
        <v>55</v>
      </c>
      <c r="K173" s="8">
        <v>135</v>
      </c>
      <c r="L173" s="8">
        <v>120</v>
      </c>
      <c r="M173" s="3" t="s">
        <v>10</v>
      </c>
      <c r="N173">
        <v>99</v>
      </c>
      <c r="O173" cm="1">
        <f t="array" ref="O173">_xlfn.XLOOKUP(C173,Table1[[#All],[Colour]],Table1[[#All],[Cost]],0)</f>
        <v>3</v>
      </c>
      <c r="P173">
        <f t="shared" si="6"/>
        <v>10.5</v>
      </c>
      <c r="Q173">
        <f t="shared" si="7"/>
        <v>24.5</v>
      </c>
      <c r="R173">
        <f t="shared" si="8"/>
        <v>70</v>
      </c>
    </row>
    <row r="174" spans="1:18" x14ac:dyDescent="0.3">
      <c r="A174" t="s">
        <v>61</v>
      </c>
      <c r="B174" t="s">
        <v>62</v>
      </c>
      <c r="C174" s="2" t="s">
        <v>43</v>
      </c>
      <c r="D174" s="3">
        <v>3.5</v>
      </c>
      <c r="E174" s="3">
        <v>35</v>
      </c>
      <c r="F174" s="8">
        <v>0</v>
      </c>
      <c r="G174" s="8">
        <v>13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3" t="s">
        <v>10</v>
      </c>
      <c r="N174">
        <v>100</v>
      </c>
      <c r="O174" cm="1">
        <f t="array" ref="O174">_xlfn.XLOOKUP(C174,Table1[[#All],[Colour]],Table1[[#All],[Cost]],0)</f>
        <v>3</v>
      </c>
      <c r="P174">
        <f t="shared" si="6"/>
        <v>10.5</v>
      </c>
      <c r="Q174">
        <f t="shared" si="7"/>
        <v>24.5</v>
      </c>
      <c r="R174">
        <f t="shared" si="8"/>
        <v>70</v>
      </c>
    </row>
    <row r="175" spans="1:18" hidden="1" x14ac:dyDescent="0.3">
      <c r="A175" t="s">
        <v>64</v>
      </c>
      <c r="B175" t="s">
        <v>62</v>
      </c>
      <c r="C175" s="2" t="s">
        <v>12</v>
      </c>
      <c r="D175" s="3">
        <v>3.5</v>
      </c>
      <c r="E175" s="3">
        <v>35</v>
      </c>
      <c r="F175" s="8">
        <v>530</v>
      </c>
      <c r="G175" s="8">
        <v>480</v>
      </c>
      <c r="H175" s="8">
        <v>257</v>
      </c>
      <c r="I175" s="8">
        <v>200</v>
      </c>
      <c r="J175" s="8">
        <v>230</v>
      </c>
      <c r="K175" s="8">
        <v>580</v>
      </c>
      <c r="L175" s="8">
        <v>578</v>
      </c>
      <c r="M175" s="3" t="s">
        <v>10</v>
      </c>
      <c r="N175">
        <v>95</v>
      </c>
      <c r="O175" cm="1">
        <f t="array" ref="O175">_xlfn.XLOOKUP(C175,Table1[[#All],[Colour]],Table1[[#All],[Cost]],0)</f>
        <v>3</v>
      </c>
      <c r="P175">
        <f t="shared" si="6"/>
        <v>10.5</v>
      </c>
      <c r="Q175">
        <f t="shared" si="7"/>
        <v>24.5</v>
      </c>
      <c r="R175">
        <f t="shared" si="8"/>
        <v>70</v>
      </c>
    </row>
    <row r="176" spans="1:18" x14ac:dyDescent="0.3">
      <c r="A176" t="s">
        <v>119</v>
      </c>
      <c r="B176" s="2" t="s">
        <v>118</v>
      </c>
      <c r="C176" s="2" t="s">
        <v>96</v>
      </c>
      <c r="D176" s="4">
        <v>7</v>
      </c>
      <c r="E176" s="3">
        <v>45</v>
      </c>
      <c r="F176" s="8">
        <v>153</v>
      </c>
      <c r="G176" s="8">
        <v>93</v>
      </c>
      <c r="H176" s="8">
        <v>50</v>
      </c>
      <c r="I176" s="8">
        <v>0</v>
      </c>
      <c r="J176" s="8">
        <v>0</v>
      </c>
      <c r="K176" s="8">
        <v>0</v>
      </c>
      <c r="L176" s="8">
        <v>0</v>
      </c>
      <c r="M176" s="3" t="s">
        <v>97</v>
      </c>
      <c r="N176">
        <v>93</v>
      </c>
      <c r="O176" cm="1">
        <f t="array" ref="O176">_xlfn.XLOOKUP(C176,Table1[[#All],[Colour]],Table1[[#All],[Cost]],0)</f>
        <v>3</v>
      </c>
      <c r="P176">
        <f t="shared" si="6"/>
        <v>21</v>
      </c>
      <c r="Q176">
        <f t="shared" si="7"/>
        <v>24</v>
      </c>
      <c r="R176">
        <f t="shared" si="8"/>
        <v>53.333333333333336</v>
      </c>
    </row>
    <row r="177" spans="1:18" hidden="1" x14ac:dyDescent="0.3">
      <c r="A177" t="s">
        <v>52</v>
      </c>
      <c r="B177" s="2" t="s">
        <v>53</v>
      </c>
      <c r="C177" s="2" t="s">
        <v>17</v>
      </c>
      <c r="D177" s="3">
        <v>30</v>
      </c>
      <c r="E177" s="3">
        <v>120</v>
      </c>
      <c r="F177" s="8">
        <v>42</v>
      </c>
      <c r="G177" s="8">
        <v>47</v>
      </c>
      <c r="H177" s="8">
        <v>12</v>
      </c>
      <c r="I177" s="8">
        <v>7</v>
      </c>
      <c r="J177" s="8">
        <v>71</v>
      </c>
      <c r="K177" s="8">
        <v>29</v>
      </c>
      <c r="L177" s="8">
        <v>31</v>
      </c>
      <c r="M177" s="3" t="s">
        <v>10</v>
      </c>
      <c r="N177">
        <v>96</v>
      </c>
      <c r="O177" cm="1">
        <f t="array" ref="O177">_xlfn.XLOOKUP(C177,Table1[[#All],[Colour]],Table1[[#All],[Cost]],0)</f>
        <v>3.2</v>
      </c>
      <c r="P177">
        <f t="shared" si="6"/>
        <v>96</v>
      </c>
      <c r="Q177">
        <f t="shared" si="7"/>
        <v>24</v>
      </c>
      <c r="R177">
        <f t="shared" si="8"/>
        <v>20</v>
      </c>
    </row>
    <row r="178" spans="1:18" x14ac:dyDescent="0.3">
      <c r="A178" t="s">
        <v>135</v>
      </c>
      <c r="B178" s="2" t="s">
        <v>131</v>
      </c>
      <c r="C178" s="2" t="s">
        <v>96</v>
      </c>
      <c r="D178" s="4">
        <v>10.5</v>
      </c>
      <c r="E178" s="3">
        <v>55</v>
      </c>
      <c r="F178" s="8">
        <v>289</v>
      </c>
      <c r="G178" s="8">
        <v>193</v>
      </c>
      <c r="H178" s="8">
        <v>205</v>
      </c>
      <c r="I178" s="8">
        <v>0</v>
      </c>
      <c r="J178" s="8">
        <v>0</v>
      </c>
      <c r="K178" s="8">
        <v>0</v>
      </c>
      <c r="L178" s="8">
        <v>0</v>
      </c>
      <c r="M178" s="3" t="s">
        <v>97</v>
      </c>
      <c r="N178">
        <v>91</v>
      </c>
      <c r="O178" cm="1">
        <f t="array" ref="O178">_xlfn.XLOOKUP(C178,Table1[[#All],[Colour]],Table1[[#All],[Cost]],0)</f>
        <v>3</v>
      </c>
      <c r="P178">
        <f t="shared" si="6"/>
        <v>31.5</v>
      </c>
      <c r="Q178">
        <f t="shared" si="7"/>
        <v>23.5</v>
      </c>
      <c r="R178">
        <f t="shared" si="8"/>
        <v>42.727272727272727</v>
      </c>
    </row>
    <row r="179" spans="1:18" hidden="1" x14ac:dyDescent="0.3">
      <c r="A179" t="s">
        <v>15</v>
      </c>
      <c r="B179" t="s">
        <v>16</v>
      </c>
      <c r="C179" t="s">
        <v>9</v>
      </c>
      <c r="D179" s="3">
        <v>6</v>
      </c>
      <c r="E179" s="3">
        <v>40</v>
      </c>
      <c r="F179" s="8">
        <v>405</v>
      </c>
      <c r="G179" s="8">
        <v>534</v>
      </c>
      <c r="H179" s="8">
        <v>987</v>
      </c>
      <c r="I179" s="8">
        <v>1917</v>
      </c>
      <c r="J179" s="8">
        <v>1047</v>
      </c>
      <c r="K179" s="8">
        <v>326</v>
      </c>
      <c r="L179" s="8">
        <v>857</v>
      </c>
      <c r="M179" s="3" t="s">
        <v>10</v>
      </c>
      <c r="N179">
        <v>92</v>
      </c>
      <c r="O179" cm="1">
        <f t="array" ref="O179">_xlfn.XLOOKUP(C179,Table1[[#All],[Colour]],Table1[[#All],[Cost]],0)</f>
        <v>2.8</v>
      </c>
      <c r="P179">
        <f t="shared" si="6"/>
        <v>16.799999999999997</v>
      </c>
      <c r="Q179">
        <f t="shared" si="7"/>
        <v>23.200000000000003</v>
      </c>
      <c r="R179">
        <f t="shared" si="8"/>
        <v>58.000000000000007</v>
      </c>
    </row>
    <row r="180" spans="1:18" hidden="1" x14ac:dyDescent="0.3">
      <c r="A180" t="s">
        <v>46</v>
      </c>
      <c r="B180" t="s">
        <v>47</v>
      </c>
      <c r="C180" s="2" t="s">
        <v>9</v>
      </c>
      <c r="D180" s="3">
        <v>5</v>
      </c>
      <c r="E180" s="3">
        <v>35</v>
      </c>
      <c r="F180" s="8">
        <v>527</v>
      </c>
      <c r="G180" s="8">
        <v>203</v>
      </c>
      <c r="H180" s="8">
        <v>395</v>
      </c>
      <c r="I180" s="8">
        <v>499</v>
      </c>
      <c r="J180" s="8">
        <v>915</v>
      </c>
      <c r="K180" s="8">
        <v>230</v>
      </c>
      <c r="L180" s="8">
        <v>532</v>
      </c>
      <c r="M180" s="3" t="s">
        <v>10</v>
      </c>
      <c r="N180">
        <v>91</v>
      </c>
      <c r="O180" cm="1">
        <f t="array" ref="O180">_xlfn.XLOOKUP(C180,Table1[[#All],[Colour]],Table1[[#All],[Cost]],0)</f>
        <v>2.8</v>
      </c>
      <c r="P180">
        <f t="shared" si="6"/>
        <v>14</v>
      </c>
      <c r="Q180">
        <f t="shared" si="7"/>
        <v>21</v>
      </c>
      <c r="R180">
        <f t="shared" si="8"/>
        <v>60</v>
      </c>
    </row>
    <row r="181" spans="1:18" x14ac:dyDescent="0.3">
      <c r="A181" t="s">
        <v>112</v>
      </c>
      <c r="B181" s="2" t="s">
        <v>113</v>
      </c>
      <c r="C181" s="2" t="s">
        <v>96</v>
      </c>
      <c r="D181" s="4">
        <v>8</v>
      </c>
      <c r="E181" s="3">
        <v>45</v>
      </c>
      <c r="F181" s="8">
        <v>173</v>
      </c>
      <c r="G181" s="8">
        <v>91</v>
      </c>
      <c r="H181" s="8">
        <v>75</v>
      </c>
      <c r="I181" s="8">
        <v>0</v>
      </c>
      <c r="J181" s="8">
        <v>0</v>
      </c>
      <c r="K181" s="8">
        <v>0</v>
      </c>
      <c r="L181" s="8">
        <v>0</v>
      </c>
      <c r="M181" s="3" t="s">
        <v>97</v>
      </c>
      <c r="N181">
        <v>91</v>
      </c>
      <c r="O181" cm="1">
        <f t="array" ref="O181">_xlfn.XLOOKUP(C181,Table1[[#All],[Colour]],Table1[[#All],[Cost]],0)</f>
        <v>3</v>
      </c>
      <c r="P181">
        <f t="shared" si="6"/>
        <v>24</v>
      </c>
      <c r="Q181">
        <f t="shared" si="7"/>
        <v>21</v>
      </c>
      <c r="R181">
        <f t="shared" si="8"/>
        <v>46.666666666666664</v>
      </c>
    </row>
    <row r="182" spans="1:18" hidden="1" x14ac:dyDescent="0.3">
      <c r="A182" t="s">
        <v>54</v>
      </c>
      <c r="B182" t="s">
        <v>55</v>
      </c>
      <c r="C182" s="2" t="s">
        <v>9</v>
      </c>
      <c r="D182" s="3">
        <v>9</v>
      </c>
      <c r="E182" s="3">
        <v>45</v>
      </c>
      <c r="F182" s="8">
        <v>80</v>
      </c>
      <c r="G182" s="8">
        <v>71</v>
      </c>
      <c r="H182" s="8">
        <v>200</v>
      </c>
      <c r="I182" s="8">
        <v>114</v>
      </c>
      <c r="J182" s="8">
        <v>210</v>
      </c>
      <c r="K182" s="8">
        <v>116</v>
      </c>
      <c r="L182" s="8">
        <v>408</v>
      </c>
      <c r="M182" s="3" t="s">
        <v>10</v>
      </c>
      <c r="N182">
        <v>97</v>
      </c>
      <c r="O182" cm="1">
        <f t="array" ref="O182">_xlfn.XLOOKUP(C182,Table1[[#All],[Colour]],Table1[[#All],[Cost]],0)</f>
        <v>2.8</v>
      </c>
      <c r="P182">
        <f t="shared" si="6"/>
        <v>25.2</v>
      </c>
      <c r="Q182">
        <f t="shared" si="7"/>
        <v>19.8</v>
      </c>
      <c r="R182">
        <f t="shared" si="8"/>
        <v>44</v>
      </c>
    </row>
    <row r="183" spans="1:18" hidden="1" x14ac:dyDescent="0.3">
      <c r="A183" t="s">
        <v>7</v>
      </c>
      <c r="B183" t="s">
        <v>11</v>
      </c>
      <c r="C183" t="s">
        <v>12</v>
      </c>
      <c r="D183" s="3">
        <v>7</v>
      </c>
      <c r="E183" s="3">
        <v>40</v>
      </c>
      <c r="F183" s="8">
        <v>1300</v>
      </c>
      <c r="G183" s="8">
        <v>1250</v>
      </c>
      <c r="H183" s="8">
        <v>800</v>
      </c>
      <c r="I183" s="8">
        <v>750</v>
      </c>
      <c r="J183" s="8">
        <v>1200</v>
      </c>
      <c r="K183" s="8">
        <v>2050</v>
      </c>
      <c r="L183" s="8">
        <v>1980</v>
      </c>
      <c r="M183" s="3" t="s">
        <v>10</v>
      </c>
      <c r="N183">
        <v>97</v>
      </c>
      <c r="O183" cm="1">
        <f t="array" ref="O183">_xlfn.XLOOKUP(C183,Table1[[#All],[Colour]],Table1[[#All],[Cost]],0)</f>
        <v>3</v>
      </c>
      <c r="P183">
        <f t="shared" si="6"/>
        <v>21</v>
      </c>
      <c r="Q183">
        <f t="shared" si="7"/>
        <v>19</v>
      </c>
      <c r="R183">
        <f t="shared" si="8"/>
        <v>47.5</v>
      </c>
    </row>
    <row r="184" spans="1:18" x14ac:dyDescent="0.3">
      <c r="A184" t="s">
        <v>7</v>
      </c>
      <c r="B184" t="s">
        <v>8</v>
      </c>
      <c r="C184" t="s">
        <v>13</v>
      </c>
      <c r="D184" s="3">
        <v>7</v>
      </c>
      <c r="E184" s="3">
        <v>40</v>
      </c>
      <c r="F184" s="8">
        <v>6</v>
      </c>
      <c r="G184" s="8">
        <v>15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3" t="s">
        <v>10</v>
      </c>
      <c r="N184">
        <v>94</v>
      </c>
      <c r="O184" cm="1">
        <f t="array" ref="O184">_xlfn.XLOOKUP(C184,Table1[[#All],[Colour]],Table1[[#All],[Cost]],0)</f>
        <v>3</v>
      </c>
      <c r="P184">
        <f t="shared" si="6"/>
        <v>21</v>
      </c>
      <c r="Q184">
        <f t="shared" si="7"/>
        <v>19</v>
      </c>
      <c r="R184">
        <f t="shared" si="8"/>
        <v>47.5</v>
      </c>
    </row>
    <row r="185" spans="1:18" x14ac:dyDescent="0.3">
      <c r="A185" t="s">
        <v>7</v>
      </c>
      <c r="B185" t="s">
        <v>8</v>
      </c>
      <c r="C185" t="s">
        <v>14</v>
      </c>
      <c r="D185" s="3">
        <v>7</v>
      </c>
      <c r="E185" s="3">
        <v>40</v>
      </c>
      <c r="F185" s="8">
        <v>135</v>
      </c>
      <c r="G185" s="8">
        <v>46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3" t="s">
        <v>10</v>
      </c>
      <c r="N185">
        <v>95</v>
      </c>
      <c r="O185" cm="1">
        <f t="array" ref="O185">_xlfn.XLOOKUP(C185,Table1[[#All],[Colour]],Table1[[#All],[Cost]],0)</f>
        <v>3</v>
      </c>
      <c r="P185">
        <f t="shared" si="6"/>
        <v>21</v>
      </c>
      <c r="Q185">
        <f t="shared" si="7"/>
        <v>19</v>
      </c>
      <c r="R185">
        <f t="shared" si="8"/>
        <v>47.5</v>
      </c>
    </row>
    <row r="186" spans="1:18" hidden="1" x14ac:dyDescent="0.3">
      <c r="A186" t="s">
        <v>61</v>
      </c>
      <c r="B186" t="s">
        <v>62</v>
      </c>
      <c r="C186" s="2" t="s">
        <v>9</v>
      </c>
      <c r="D186" s="3">
        <v>3.5</v>
      </c>
      <c r="E186" s="3">
        <v>28</v>
      </c>
      <c r="F186" s="8">
        <v>299</v>
      </c>
      <c r="G186" s="8">
        <v>83</v>
      </c>
      <c r="H186" s="8">
        <v>176</v>
      </c>
      <c r="I186" s="8">
        <v>400</v>
      </c>
      <c r="J186" s="8">
        <v>427</v>
      </c>
      <c r="K186" s="8">
        <v>459</v>
      </c>
      <c r="L186" s="8">
        <v>369</v>
      </c>
      <c r="M186" s="3" t="s">
        <v>10</v>
      </c>
      <c r="N186">
        <v>99</v>
      </c>
      <c r="O186" cm="1">
        <f t="array" ref="O186">_xlfn.XLOOKUP(C186,Table1[[#All],[Colour]],Table1[[#All],[Cost]],0)</f>
        <v>2.8</v>
      </c>
      <c r="P186">
        <f t="shared" si="6"/>
        <v>9.7999999999999989</v>
      </c>
      <c r="Q186">
        <f t="shared" si="7"/>
        <v>18.200000000000003</v>
      </c>
      <c r="R186">
        <f t="shared" si="8"/>
        <v>65.000000000000014</v>
      </c>
    </row>
    <row r="187" spans="1:18" x14ac:dyDescent="0.3">
      <c r="A187" t="s">
        <v>134</v>
      </c>
      <c r="B187" s="2" t="s">
        <v>131</v>
      </c>
      <c r="C187" s="2" t="s">
        <v>96</v>
      </c>
      <c r="D187" s="4">
        <v>9</v>
      </c>
      <c r="E187" s="3">
        <v>45</v>
      </c>
      <c r="F187" s="8">
        <v>312</v>
      </c>
      <c r="G187" s="8">
        <v>108</v>
      </c>
      <c r="H187" s="8">
        <v>30</v>
      </c>
      <c r="I187" s="8">
        <v>0</v>
      </c>
      <c r="J187" s="8">
        <v>0</v>
      </c>
      <c r="K187" s="8">
        <v>0</v>
      </c>
      <c r="L187" s="8">
        <v>0</v>
      </c>
      <c r="M187" s="3" t="s">
        <v>97</v>
      </c>
      <c r="N187">
        <v>99</v>
      </c>
      <c r="O187" cm="1">
        <f t="array" ref="O187">_xlfn.XLOOKUP(C187,Table1[[#All],[Colour]],Table1[[#All],[Cost]],0)</f>
        <v>3</v>
      </c>
      <c r="P187">
        <f t="shared" si="6"/>
        <v>27</v>
      </c>
      <c r="Q187">
        <f t="shared" si="7"/>
        <v>18</v>
      </c>
      <c r="R187">
        <f t="shared" si="8"/>
        <v>40</v>
      </c>
    </row>
    <row r="188" spans="1:18" x14ac:dyDescent="0.3">
      <c r="A188" t="s">
        <v>117</v>
      </c>
      <c r="B188" s="2" t="s">
        <v>118</v>
      </c>
      <c r="C188" s="2" t="s">
        <v>96</v>
      </c>
      <c r="D188" s="4">
        <v>5</v>
      </c>
      <c r="E188" s="3">
        <v>32</v>
      </c>
      <c r="F188" s="8">
        <v>82</v>
      </c>
      <c r="G188" s="8">
        <v>33</v>
      </c>
      <c r="H188" s="8">
        <v>20</v>
      </c>
      <c r="I188" s="8">
        <v>0</v>
      </c>
      <c r="J188" s="8">
        <v>0</v>
      </c>
      <c r="K188" s="8">
        <v>0</v>
      </c>
      <c r="L188" s="8">
        <v>0</v>
      </c>
      <c r="M188" s="3" t="s">
        <v>97</v>
      </c>
      <c r="N188">
        <v>92</v>
      </c>
      <c r="O188" cm="1">
        <f t="array" ref="O188">_xlfn.XLOOKUP(C188,Table1[[#All],[Colour]],Table1[[#All],[Cost]],0)</f>
        <v>3</v>
      </c>
      <c r="P188">
        <f t="shared" si="6"/>
        <v>15</v>
      </c>
      <c r="Q188">
        <f t="shared" si="7"/>
        <v>17</v>
      </c>
      <c r="R188">
        <f t="shared" si="8"/>
        <v>53.125</v>
      </c>
    </row>
    <row r="189" spans="1:18" hidden="1" x14ac:dyDescent="0.3">
      <c r="A189" t="s">
        <v>44</v>
      </c>
      <c r="B189" t="s">
        <v>45</v>
      </c>
      <c r="C189" s="2" t="s">
        <v>9</v>
      </c>
      <c r="D189" s="3">
        <v>3.5</v>
      </c>
      <c r="E189" s="3">
        <v>25</v>
      </c>
      <c r="F189" s="8">
        <v>604</v>
      </c>
      <c r="G189" s="8">
        <v>339</v>
      </c>
      <c r="H189" s="8">
        <v>853</v>
      </c>
      <c r="I189" s="8">
        <v>2331</v>
      </c>
      <c r="J189" s="8">
        <v>1049</v>
      </c>
      <c r="K189" s="8">
        <v>326</v>
      </c>
      <c r="L189" s="8">
        <v>708</v>
      </c>
      <c r="M189" s="3" t="s">
        <v>10</v>
      </c>
      <c r="N189">
        <v>99</v>
      </c>
      <c r="O189" cm="1">
        <f t="array" ref="O189">_xlfn.XLOOKUP(C189,Table1[[#All],[Colour]],Table1[[#All],[Cost]],0)</f>
        <v>2.8</v>
      </c>
      <c r="P189">
        <f t="shared" si="6"/>
        <v>9.7999999999999989</v>
      </c>
      <c r="Q189">
        <f t="shared" si="7"/>
        <v>15.200000000000001</v>
      </c>
      <c r="R189">
        <f t="shared" si="8"/>
        <v>60.800000000000011</v>
      </c>
    </row>
    <row r="190" spans="1:18" hidden="1" x14ac:dyDescent="0.3">
      <c r="A190" t="s">
        <v>64</v>
      </c>
      <c r="B190" t="s">
        <v>62</v>
      </c>
      <c r="C190" s="2" t="s">
        <v>9</v>
      </c>
      <c r="D190" s="3">
        <v>3.5</v>
      </c>
      <c r="E190" s="3">
        <v>25</v>
      </c>
      <c r="F190" s="8">
        <v>382</v>
      </c>
      <c r="G190" s="8">
        <v>425</v>
      </c>
      <c r="H190" s="8">
        <v>323</v>
      </c>
      <c r="I190" s="8">
        <v>238</v>
      </c>
      <c r="J190" s="8">
        <v>484</v>
      </c>
      <c r="K190" s="8">
        <v>394</v>
      </c>
      <c r="L190" s="8">
        <v>213</v>
      </c>
      <c r="M190" s="3" t="s">
        <v>10</v>
      </c>
      <c r="N190">
        <v>97</v>
      </c>
      <c r="O190" cm="1">
        <f t="array" ref="O190">_xlfn.XLOOKUP(C190,Table1[[#All],[Colour]],Table1[[#All],[Cost]],0)</f>
        <v>2.8</v>
      </c>
      <c r="P190">
        <f t="shared" si="6"/>
        <v>9.7999999999999989</v>
      </c>
      <c r="Q190">
        <f t="shared" si="7"/>
        <v>15.200000000000001</v>
      </c>
      <c r="R190">
        <f t="shared" si="8"/>
        <v>60.800000000000011</v>
      </c>
    </row>
    <row r="191" spans="1:18" x14ac:dyDescent="0.3">
      <c r="A191" t="s">
        <v>132</v>
      </c>
      <c r="B191" s="2" t="s">
        <v>131</v>
      </c>
      <c r="C191" s="2" t="s">
        <v>96</v>
      </c>
      <c r="D191" s="4">
        <v>5</v>
      </c>
      <c r="E191" s="3">
        <v>30</v>
      </c>
      <c r="F191" s="8">
        <v>235</v>
      </c>
      <c r="G191" s="8">
        <v>160</v>
      </c>
      <c r="H191" s="8">
        <v>23</v>
      </c>
      <c r="I191" s="8">
        <v>0</v>
      </c>
      <c r="J191" s="8">
        <v>0</v>
      </c>
      <c r="K191" s="8">
        <v>0</v>
      </c>
      <c r="L191" s="8">
        <v>0</v>
      </c>
      <c r="M191" s="3" t="s">
        <v>97</v>
      </c>
      <c r="N191">
        <v>99</v>
      </c>
      <c r="O191" cm="1">
        <f t="array" ref="O191">_xlfn.XLOOKUP(C191,Table1[[#All],[Colour]],Table1[[#All],[Cost]],0)</f>
        <v>3</v>
      </c>
      <c r="P191">
        <f t="shared" si="6"/>
        <v>15</v>
      </c>
      <c r="Q191">
        <f t="shared" si="7"/>
        <v>15</v>
      </c>
      <c r="R191">
        <f t="shared" si="8"/>
        <v>50</v>
      </c>
    </row>
    <row r="192" spans="1:18" x14ac:dyDescent="0.3">
      <c r="A192" t="s">
        <v>105</v>
      </c>
      <c r="B192" s="2" t="s">
        <v>104</v>
      </c>
      <c r="C192" s="2" t="s">
        <v>96</v>
      </c>
      <c r="D192" s="4">
        <v>15</v>
      </c>
      <c r="E192" s="3">
        <v>60</v>
      </c>
      <c r="F192" s="8">
        <v>135</v>
      </c>
      <c r="G192" s="8">
        <v>65</v>
      </c>
      <c r="H192" s="8">
        <v>7</v>
      </c>
      <c r="I192" s="8">
        <v>0</v>
      </c>
      <c r="J192" s="8">
        <v>0</v>
      </c>
      <c r="K192" s="8">
        <v>0</v>
      </c>
      <c r="L192" s="8">
        <v>0</v>
      </c>
      <c r="M192" s="3" t="s">
        <v>97</v>
      </c>
      <c r="N192">
        <v>91</v>
      </c>
      <c r="O192" cm="1">
        <f t="array" ref="O192">_xlfn.XLOOKUP(C192,Table1[[#All],[Colour]],Table1[[#All],[Cost]],0)</f>
        <v>3</v>
      </c>
      <c r="P192">
        <f t="shared" si="6"/>
        <v>45</v>
      </c>
      <c r="Q192">
        <f t="shared" si="7"/>
        <v>15</v>
      </c>
      <c r="R192">
        <f t="shared" si="8"/>
        <v>25</v>
      </c>
    </row>
    <row r="193" spans="1:18" x14ac:dyDescent="0.3">
      <c r="A193" t="s">
        <v>133</v>
      </c>
      <c r="B193" s="2" t="s">
        <v>131</v>
      </c>
      <c r="C193" s="2" t="s">
        <v>96</v>
      </c>
      <c r="D193" s="4">
        <v>7</v>
      </c>
      <c r="E193" s="3">
        <v>35</v>
      </c>
      <c r="F193" s="8">
        <v>210</v>
      </c>
      <c r="G193" s="8">
        <v>172</v>
      </c>
      <c r="H193" s="8">
        <v>25</v>
      </c>
      <c r="I193" s="8">
        <v>0</v>
      </c>
      <c r="J193" s="8">
        <v>0</v>
      </c>
      <c r="K193" s="8">
        <v>0</v>
      </c>
      <c r="L193" s="8">
        <v>0</v>
      </c>
      <c r="M193" s="3" t="s">
        <v>97</v>
      </c>
      <c r="N193">
        <v>94</v>
      </c>
      <c r="O193" cm="1">
        <f t="array" ref="O193">_xlfn.XLOOKUP(C193,Table1[[#All],[Colour]],Table1[[#All],[Cost]],0)</f>
        <v>3</v>
      </c>
      <c r="P193">
        <f t="shared" si="6"/>
        <v>21</v>
      </c>
      <c r="Q193">
        <f t="shared" si="7"/>
        <v>14</v>
      </c>
      <c r="R193">
        <f t="shared" si="8"/>
        <v>40</v>
      </c>
    </row>
    <row r="194" spans="1:18" x14ac:dyDescent="0.3">
      <c r="A194" t="s">
        <v>125</v>
      </c>
      <c r="B194" s="2" t="s">
        <v>123</v>
      </c>
      <c r="C194" s="2" t="s">
        <v>96</v>
      </c>
      <c r="D194" s="4">
        <v>15</v>
      </c>
      <c r="E194" s="3">
        <v>50</v>
      </c>
      <c r="F194" s="8">
        <v>35</v>
      </c>
      <c r="G194" s="8">
        <v>85</v>
      </c>
      <c r="H194" s="8">
        <v>5</v>
      </c>
      <c r="I194" s="8">
        <v>0</v>
      </c>
      <c r="J194" s="8">
        <v>0</v>
      </c>
      <c r="K194" s="8">
        <v>0</v>
      </c>
      <c r="L194" s="8">
        <v>0</v>
      </c>
      <c r="M194" s="3" t="s">
        <v>97</v>
      </c>
      <c r="N194">
        <v>93</v>
      </c>
      <c r="O194" cm="1">
        <f t="array" ref="O194">_xlfn.XLOOKUP(C194,Table1[[#All],[Colour]],Table1[[#All],[Cost]],0)</f>
        <v>3</v>
      </c>
      <c r="P194">
        <f t="shared" ref="P194:P203" si="9">O194*D194</f>
        <v>45</v>
      </c>
      <c r="Q194">
        <f t="shared" ref="Q194:Q203" si="10">E194-P194</f>
        <v>5</v>
      </c>
      <c r="R194">
        <f t="shared" ref="R194:R257" si="11">Q194/E194*100</f>
        <v>10</v>
      </c>
    </row>
    <row r="195" spans="1:18" x14ac:dyDescent="0.3">
      <c r="A195" t="s">
        <v>126</v>
      </c>
      <c r="B195" s="2" t="s">
        <v>123</v>
      </c>
      <c r="C195" s="2" t="s">
        <v>96</v>
      </c>
      <c r="D195" s="4">
        <v>15</v>
      </c>
      <c r="E195" s="3">
        <v>50</v>
      </c>
      <c r="F195" s="8">
        <v>235</v>
      </c>
      <c r="G195" s="8">
        <v>55</v>
      </c>
      <c r="H195" s="8">
        <v>39</v>
      </c>
      <c r="I195" s="8">
        <v>0</v>
      </c>
      <c r="J195" s="8">
        <v>0</v>
      </c>
      <c r="K195" s="8">
        <v>0</v>
      </c>
      <c r="L195" s="8">
        <v>0</v>
      </c>
      <c r="M195" s="3" t="s">
        <v>97</v>
      </c>
      <c r="N195">
        <v>90</v>
      </c>
      <c r="O195" cm="1">
        <f t="array" ref="O195">_xlfn.XLOOKUP(C195,Table1[[#All],[Colour]],Table1[[#All],[Cost]],0)</f>
        <v>3</v>
      </c>
      <c r="P195">
        <f t="shared" si="9"/>
        <v>45</v>
      </c>
      <c r="Q195">
        <f t="shared" si="10"/>
        <v>5</v>
      </c>
      <c r="R195">
        <f t="shared" si="11"/>
        <v>10</v>
      </c>
    </row>
    <row r="196" spans="1:18" x14ac:dyDescent="0.3">
      <c r="A196" t="s">
        <v>124</v>
      </c>
      <c r="B196" s="2" t="s">
        <v>123</v>
      </c>
      <c r="C196" s="2" t="s">
        <v>96</v>
      </c>
      <c r="D196" s="4">
        <v>15</v>
      </c>
      <c r="E196" s="3">
        <v>48</v>
      </c>
      <c r="F196" s="8">
        <v>54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3" t="s">
        <v>97</v>
      </c>
      <c r="N196">
        <v>100</v>
      </c>
      <c r="O196" cm="1">
        <f t="array" ref="O196">_xlfn.XLOOKUP(C196,Table1[[#All],[Colour]],Table1[[#All],[Cost]],0)</f>
        <v>3</v>
      </c>
      <c r="P196">
        <f t="shared" si="9"/>
        <v>45</v>
      </c>
      <c r="Q196">
        <f t="shared" si="10"/>
        <v>3</v>
      </c>
      <c r="R196">
        <f t="shared" si="11"/>
        <v>6.25</v>
      </c>
    </row>
    <row r="197" spans="1:18" x14ac:dyDescent="0.3">
      <c r="A197" t="s">
        <v>102</v>
      </c>
      <c r="B197" s="2" t="s">
        <v>95</v>
      </c>
      <c r="C197" s="2" t="s">
        <v>96</v>
      </c>
      <c r="D197" s="4">
        <v>20</v>
      </c>
      <c r="E197" s="3">
        <v>60</v>
      </c>
      <c r="F197" s="8">
        <v>55</v>
      </c>
      <c r="G197" s="8">
        <v>35</v>
      </c>
      <c r="H197" s="8">
        <v>7</v>
      </c>
      <c r="I197" s="8">
        <v>0</v>
      </c>
      <c r="J197" s="8">
        <v>0</v>
      </c>
      <c r="K197" s="8">
        <v>0</v>
      </c>
      <c r="L197" s="8">
        <v>0</v>
      </c>
      <c r="M197" s="3" t="s">
        <v>97</v>
      </c>
      <c r="N197">
        <v>100</v>
      </c>
      <c r="O197" cm="1">
        <f t="array" ref="O197">_xlfn.XLOOKUP(C197,Table1[[#All],[Colour]],Table1[[#All],[Cost]],0)</f>
        <v>3</v>
      </c>
      <c r="P197">
        <f t="shared" si="9"/>
        <v>60</v>
      </c>
      <c r="Q197">
        <f t="shared" si="10"/>
        <v>0</v>
      </c>
      <c r="R197">
        <f t="shared" si="11"/>
        <v>0</v>
      </c>
    </row>
    <row r="198" spans="1:18" x14ac:dyDescent="0.3">
      <c r="A198" t="s">
        <v>122</v>
      </c>
      <c r="B198" s="2" t="s">
        <v>123</v>
      </c>
      <c r="C198" s="2" t="s">
        <v>96</v>
      </c>
      <c r="D198" s="4">
        <v>15</v>
      </c>
      <c r="E198" s="3">
        <v>45</v>
      </c>
      <c r="F198" s="8">
        <v>103</v>
      </c>
      <c r="G198" s="8">
        <v>77</v>
      </c>
      <c r="H198" s="8">
        <v>4</v>
      </c>
      <c r="I198" s="8">
        <v>0</v>
      </c>
      <c r="J198" s="8">
        <v>0</v>
      </c>
      <c r="K198" s="8">
        <v>0</v>
      </c>
      <c r="L198" s="8">
        <v>0</v>
      </c>
      <c r="M198" s="3" t="s">
        <v>97</v>
      </c>
      <c r="N198">
        <v>94</v>
      </c>
      <c r="O198" cm="1">
        <f t="array" ref="O198">_xlfn.XLOOKUP(C198,Table1[[#All],[Colour]],Table1[[#All],[Cost]],0)</f>
        <v>3</v>
      </c>
      <c r="P198">
        <f t="shared" si="9"/>
        <v>45</v>
      </c>
      <c r="Q198">
        <f t="shared" si="10"/>
        <v>0</v>
      </c>
      <c r="R198">
        <f t="shared" si="11"/>
        <v>0</v>
      </c>
    </row>
    <row r="199" spans="1:18" x14ac:dyDescent="0.3">
      <c r="A199" t="s">
        <v>94</v>
      </c>
      <c r="B199" s="2" t="s">
        <v>95</v>
      </c>
      <c r="C199" s="2" t="s">
        <v>96</v>
      </c>
      <c r="D199" s="4">
        <v>14</v>
      </c>
      <c r="E199" s="3">
        <v>35</v>
      </c>
      <c r="F199" s="8">
        <v>134</v>
      </c>
      <c r="G199" s="8">
        <v>1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3" t="s">
        <v>97</v>
      </c>
      <c r="N199">
        <v>96</v>
      </c>
      <c r="O199" cm="1">
        <f t="array" ref="O199">_xlfn.XLOOKUP(C199,Table1[[#All],[Colour]],Table1[[#All],[Cost]],0)</f>
        <v>3</v>
      </c>
      <c r="P199">
        <f t="shared" si="9"/>
        <v>42</v>
      </c>
      <c r="Q199">
        <f t="shared" si="10"/>
        <v>-7</v>
      </c>
      <c r="R199">
        <f t="shared" si="11"/>
        <v>-20</v>
      </c>
    </row>
    <row r="200" spans="1:18" x14ac:dyDescent="0.3">
      <c r="A200" t="s">
        <v>98</v>
      </c>
      <c r="B200" s="2" t="s">
        <v>95</v>
      </c>
      <c r="C200" s="2" t="s">
        <v>9</v>
      </c>
      <c r="D200" s="4">
        <v>14</v>
      </c>
      <c r="E200" s="3">
        <v>30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3" t="s">
        <v>97</v>
      </c>
      <c r="N200">
        <v>93</v>
      </c>
      <c r="O200" cm="1">
        <f t="array" ref="O200">_xlfn.XLOOKUP(C200,Table1[[#All],[Colour]],Table1[[#All],[Cost]],0)</f>
        <v>2.8</v>
      </c>
      <c r="P200">
        <f t="shared" si="9"/>
        <v>39.199999999999996</v>
      </c>
      <c r="Q200">
        <f t="shared" si="10"/>
        <v>-9.1999999999999957</v>
      </c>
      <c r="R200">
        <f t="shared" si="11"/>
        <v>-30.666666666666654</v>
      </c>
    </row>
    <row r="201" spans="1:18" x14ac:dyDescent="0.3">
      <c r="A201" t="s">
        <v>101</v>
      </c>
      <c r="B201" s="2" t="s">
        <v>95</v>
      </c>
      <c r="C201" s="2" t="s">
        <v>38</v>
      </c>
      <c r="D201" s="4">
        <v>17</v>
      </c>
      <c r="E201" s="3">
        <v>45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3" t="s">
        <v>97</v>
      </c>
      <c r="N201">
        <v>97</v>
      </c>
      <c r="O201" cm="1">
        <f t="array" ref="O201">_xlfn.XLOOKUP(C201,Table1[[#All],[Colour]],Table1[[#All],[Cost]],0)</f>
        <v>3.2</v>
      </c>
      <c r="P201">
        <f t="shared" si="9"/>
        <v>54.400000000000006</v>
      </c>
      <c r="Q201">
        <f t="shared" si="10"/>
        <v>-9.4000000000000057</v>
      </c>
      <c r="R201">
        <f t="shared" si="11"/>
        <v>-20.8888888888889</v>
      </c>
    </row>
    <row r="202" spans="1:18" x14ac:dyDescent="0.3">
      <c r="A202" t="s">
        <v>100</v>
      </c>
      <c r="B202" s="2" t="s">
        <v>95</v>
      </c>
      <c r="C202" s="2" t="s">
        <v>9</v>
      </c>
      <c r="D202" s="4">
        <v>17</v>
      </c>
      <c r="E202" s="3">
        <v>38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3" t="s">
        <v>97</v>
      </c>
      <c r="N202">
        <v>99</v>
      </c>
      <c r="O202" cm="1">
        <f t="array" ref="O202">_xlfn.XLOOKUP(C202,Table1[[#All],[Colour]],Table1[[#All],[Cost]],0)</f>
        <v>2.8</v>
      </c>
      <c r="P202">
        <f t="shared" si="9"/>
        <v>47.599999999999994</v>
      </c>
      <c r="Q202">
        <f t="shared" si="10"/>
        <v>-9.5999999999999943</v>
      </c>
      <c r="R202">
        <f t="shared" si="11"/>
        <v>-25.263157894736825</v>
      </c>
    </row>
    <row r="203" spans="1:18" x14ac:dyDescent="0.3">
      <c r="A203" t="s">
        <v>99</v>
      </c>
      <c r="B203" s="2" t="s">
        <v>95</v>
      </c>
      <c r="C203" s="2" t="s">
        <v>96</v>
      </c>
      <c r="D203" s="4">
        <v>17</v>
      </c>
      <c r="E203" s="3">
        <v>40</v>
      </c>
      <c r="F203" s="8">
        <v>60</v>
      </c>
      <c r="G203" s="8">
        <v>5</v>
      </c>
      <c r="H203" s="8">
        <v>1</v>
      </c>
      <c r="I203" s="8">
        <v>0</v>
      </c>
      <c r="J203" s="8">
        <v>0</v>
      </c>
      <c r="K203" s="8">
        <v>0</v>
      </c>
      <c r="L203" s="8">
        <v>0</v>
      </c>
      <c r="M203" s="3" t="s">
        <v>97</v>
      </c>
      <c r="N203">
        <v>99</v>
      </c>
      <c r="O203" cm="1">
        <f t="array" ref="O203">_xlfn.XLOOKUP(C203,Table1[[#All],[Colour]],Table1[[#All],[Cost]],0)</f>
        <v>3</v>
      </c>
      <c r="P203">
        <f t="shared" si="9"/>
        <v>51</v>
      </c>
      <c r="Q203">
        <f t="shared" si="10"/>
        <v>-11</v>
      </c>
      <c r="R203">
        <f t="shared" si="11"/>
        <v>-27.500000000000004</v>
      </c>
    </row>
  </sheetData>
  <sortState xmlns:xlrd2="http://schemas.microsoft.com/office/spreadsheetml/2017/richdata2" ref="A2:R203">
    <sortCondition descending="1" ref="R2:R203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C4BD-0670-4423-8A63-4922D3EDC3A6}">
  <dimension ref="A1:H23"/>
  <sheetViews>
    <sheetView topLeftCell="A28" workbookViewId="0">
      <selection activeCell="I26" sqref="I26"/>
    </sheetView>
  </sheetViews>
  <sheetFormatPr defaultRowHeight="14.4" x14ac:dyDescent="0.3"/>
  <cols>
    <col min="1" max="1" width="14.44140625" bestFit="1" customWidth="1"/>
    <col min="2" max="2" width="12.5546875" bestFit="1" customWidth="1"/>
    <col min="3" max="3" width="11.109375" bestFit="1" customWidth="1"/>
    <col min="4" max="4" width="18.6640625" bestFit="1" customWidth="1"/>
    <col min="5" max="5" width="11.109375" bestFit="1" customWidth="1"/>
    <col min="6" max="6" width="19.109375" bestFit="1" customWidth="1"/>
    <col min="7" max="7" width="12.44140625" bestFit="1" customWidth="1"/>
    <col min="8" max="8" width="19.109375" bestFit="1" customWidth="1"/>
    <col min="9" max="9" width="15.88671875" bestFit="1" customWidth="1"/>
    <col min="10" max="10" width="13.109375" bestFit="1" customWidth="1"/>
    <col min="11" max="17" width="18.33203125" bestFit="1" customWidth="1"/>
  </cols>
  <sheetData>
    <row r="1" spans="1:8" x14ac:dyDescent="0.3">
      <c r="A1" s="13" t="s">
        <v>2</v>
      </c>
      <c r="B1" t="s">
        <v>223</v>
      </c>
    </row>
    <row r="3" spans="1:8" x14ac:dyDescent="0.3">
      <c r="A3" s="13" t="s">
        <v>224</v>
      </c>
      <c r="B3" t="s">
        <v>225</v>
      </c>
      <c r="C3" t="s">
        <v>226</v>
      </c>
      <c r="D3" t="s">
        <v>227</v>
      </c>
      <c r="G3" s="13" t="s">
        <v>224</v>
      </c>
      <c r="H3" t="s">
        <v>227</v>
      </c>
    </row>
    <row r="4" spans="1:8" x14ac:dyDescent="0.3">
      <c r="A4" s="11" t="s">
        <v>144</v>
      </c>
      <c r="B4">
        <v>1265.5999999999999</v>
      </c>
      <c r="C4">
        <v>2678.4</v>
      </c>
      <c r="D4">
        <v>55.999999999999979</v>
      </c>
      <c r="G4" s="11" t="s">
        <v>144</v>
      </c>
      <c r="H4">
        <v>55.999999999999979</v>
      </c>
    </row>
    <row r="5" spans="1:8" x14ac:dyDescent="0.3">
      <c r="A5" s="11" t="s">
        <v>97</v>
      </c>
      <c r="B5">
        <v>1341.9</v>
      </c>
      <c r="C5">
        <v>782.1</v>
      </c>
      <c r="D5">
        <v>111</v>
      </c>
      <c r="G5" s="11" t="s">
        <v>97</v>
      </c>
      <c r="H5">
        <v>111</v>
      </c>
    </row>
    <row r="6" spans="1:8" x14ac:dyDescent="0.3">
      <c r="A6" s="11" t="s">
        <v>10</v>
      </c>
      <c r="B6">
        <v>8787.1</v>
      </c>
      <c r="C6">
        <v>19327.900000000001</v>
      </c>
      <c r="D6">
        <v>410.4</v>
      </c>
      <c r="G6" s="11" t="s">
        <v>10</v>
      </c>
      <c r="H6">
        <v>410.4</v>
      </c>
    </row>
    <row r="7" spans="1:8" x14ac:dyDescent="0.3">
      <c r="A7" s="11" t="s">
        <v>228</v>
      </c>
      <c r="B7">
        <v>11394.6</v>
      </c>
      <c r="C7">
        <v>22788.400000000001</v>
      </c>
      <c r="D7">
        <v>577.4</v>
      </c>
      <c r="G7" s="11" t="s">
        <v>228</v>
      </c>
      <c r="H7">
        <v>577.4</v>
      </c>
    </row>
    <row r="12" spans="1:8" x14ac:dyDescent="0.3">
      <c r="B12" s="13" t="s">
        <v>0</v>
      </c>
      <c r="C12" t="s">
        <v>223</v>
      </c>
    </row>
    <row r="14" spans="1:8" x14ac:dyDescent="0.3">
      <c r="B14" s="13" t="s">
        <v>224</v>
      </c>
      <c r="C14" t="s">
        <v>225</v>
      </c>
      <c r="D14" t="s">
        <v>226</v>
      </c>
      <c r="F14" s="14" t="s">
        <v>229</v>
      </c>
      <c r="G14" s="14" t="s">
        <v>225</v>
      </c>
      <c r="H14" s="14" t="s">
        <v>230</v>
      </c>
    </row>
    <row r="15" spans="1:8" x14ac:dyDescent="0.3">
      <c r="B15" s="11" t="s">
        <v>144</v>
      </c>
      <c r="C15">
        <v>1265.5999999999999</v>
      </c>
      <c r="D15">
        <v>2678.4</v>
      </c>
      <c r="F15" s="11" t="s">
        <v>144</v>
      </c>
      <c r="G15">
        <v>1265.5999999999999</v>
      </c>
      <c r="H15">
        <v>3944</v>
      </c>
    </row>
    <row r="16" spans="1:8" x14ac:dyDescent="0.3">
      <c r="B16" s="11" t="s">
        <v>97</v>
      </c>
      <c r="C16">
        <v>1341.9</v>
      </c>
      <c r="D16">
        <v>782.1</v>
      </c>
      <c r="F16" s="11" t="s">
        <v>97</v>
      </c>
      <c r="G16">
        <v>1341.9</v>
      </c>
      <c r="H16">
        <v>2124</v>
      </c>
    </row>
    <row r="17" spans="2:8" x14ac:dyDescent="0.3">
      <c r="B17" s="11" t="s">
        <v>10</v>
      </c>
      <c r="C17">
        <v>8787.1</v>
      </c>
      <c r="D17">
        <v>19327.900000000001</v>
      </c>
      <c r="F17" s="11" t="s">
        <v>10</v>
      </c>
      <c r="G17">
        <v>8787.1</v>
      </c>
      <c r="H17">
        <v>28115</v>
      </c>
    </row>
    <row r="18" spans="2:8" x14ac:dyDescent="0.3">
      <c r="B18" s="11" t="s">
        <v>228</v>
      </c>
      <c r="C18">
        <v>11394.6</v>
      </c>
      <c r="D18">
        <v>22788.400000000001</v>
      </c>
    </row>
    <row r="19" spans="2:8" x14ac:dyDescent="0.3">
      <c r="F19" s="14" t="s">
        <v>5</v>
      </c>
      <c r="G19" s="14" t="s">
        <v>225</v>
      </c>
      <c r="H19" s="14" t="s">
        <v>226</v>
      </c>
    </row>
    <row r="20" spans="2:8" x14ac:dyDescent="0.3">
      <c r="F20" s="11" t="s">
        <v>144</v>
      </c>
      <c r="G20">
        <v>1265.5999999999999</v>
      </c>
      <c r="H20">
        <v>2678.4</v>
      </c>
    </row>
    <row r="21" spans="2:8" x14ac:dyDescent="0.3">
      <c r="F21" s="11" t="s">
        <v>97</v>
      </c>
      <c r="G21">
        <v>1341.9</v>
      </c>
      <c r="H21">
        <v>782.1</v>
      </c>
    </row>
    <row r="22" spans="2:8" x14ac:dyDescent="0.3">
      <c r="F22" s="11" t="s">
        <v>10</v>
      </c>
      <c r="G22">
        <v>8787.1</v>
      </c>
      <c r="H22">
        <v>19327.900000000001</v>
      </c>
    </row>
    <row r="23" spans="2:8" x14ac:dyDescent="0.3">
      <c r="F23" s="21" t="s">
        <v>228</v>
      </c>
      <c r="G23" s="22">
        <v>11394.6</v>
      </c>
      <c r="H23" s="22">
        <v>22788.400000000001</v>
      </c>
    </row>
  </sheetData>
  <pageMargins left="0.7" right="0.7" top="0.75" bottom="0.75" header="0.3" footer="0.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3CE0-AC87-41C6-93B2-68658B1DF16E}">
  <dimension ref="A2:AB32"/>
  <sheetViews>
    <sheetView workbookViewId="0">
      <selection activeCell="G25" sqref="G25"/>
    </sheetView>
  </sheetViews>
  <sheetFormatPr defaultRowHeight="14.4" x14ac:dyDescent="0.3"/>
  <cols>
    <col min="1" max="1" width="17.77734375" bestFit="1" customWidth="1"/>
    <col min="2" max="2" width="11.109375" bestFit="1" customWidth="1"/>
    <col min="17" max="17" width="12.109375" customWidth="1"/>
  </cols>
  <sheetData>
    <row r="2" spans="1:28" x14ac:dyDescent="0.3">
      <c r="A2" s="13" t="s">
        <v>2</v>
      </c>
      <c r="B2" t="s">
        <v>225</v>
      </c>
    </row>
    <row r="3" spans="1:28" x14ac:dyDescent="0.3">
      <c r="A3" t="s">
        <v>38</v>
      </c>
      <c r="B3" s="80">
        <v>3.2</v>
      </c>
      <c r="Q3" t="s">
        <v>182</v>
      </c>
      <c r="R3" s="136"/>
      <c r="S3" s="136"/>
      <c r="T3" s="136"/>
      <c r="U3" s="136"/>
      <c r="V3" s="136"/>
      <c r="W3" s="136"/>
    </row>
    <row r="4" spans="1:28" x14ac:dyDescent="0.3">
      <c r="A4" t="s">
        <v>17</v>
      </c>
      <c r="B4" s="80">
        <v>3.2</v>
      </c>
      <c r="Q4">
        <v>3.2</v>
      </c>
      <c r="R4" t="s">
        <v>38</v>
      </c>
      <c r="S4" t="s">
        <v>17</v>
      </c>
      <c r="T4" t="s">
        <v>22</v>
      </c>
      <c r="U4" t="s">
        <v>210</v>
      </c>
      <c r="V4" t="s">
        <v>41</v>
      </c>
      <c r="W4" t="s">
        <v>211</v>
      </c>
      <c r="X4" t="s">
        <v>33</v>
      </c>
    </row>
    <row r="5" spans="1:28" x14ac:dyDescent="0.3">
      <c r="A5" t="s">
        <v>22</v>
      </c>
      <c r="B5" s="80">
        <v>3.2</v>
      </c>
      <c r="Q5">
        <v>3</v>
      </c>
      <c r="R5" t="s">
        <v>96</v>
      </c>
      <c r="S5" t="s">
        <v>14</v>
      </c>
      <c r="T5" t="s">
        <v>193</v>
      </c>
      <c r="U5" t="s">
        <v>196</v>
      </c>
      <c r="V5" t="s">
        <v>12</v>
      </c>
      <c r="W5" t="s">
        <v>202</v>
      </c>
      <c r="X5" t="s">
        <v>208</v>
      </c>
      <c r="Y5" t="s">
        <v>13</v>
      </c>
      <c r="Z5" t="s">
        <v>25</v>
      </c>
      <c r="AA5" t="s">
        <v>43</v>
      </c>
      <c r="AB5" t="s">
        <v>28</v>
      </c>
    </row>
    <row r="6" spans="1:28" x14ac:dyDescent="0.3">
      <c r="A6" t="s">
        <v>210</v>
      </c>
      <c r="B6" s="80">
        <v>3.2</v>
      </c>
      <c r="Q6">
        <v>2.8</v>
      </c>
      <c r="R6" t="s">
        <v>9</v>
      </c>
    </row>
    <row r="7" spans="1:28" x14ac:dyDescent="0.3">
      <c r="A7" t="s">
        <v>41</v>
      </c>
      <c r="B7" s="80">
        <v>3.2</v>
      </c>
    </row>
    <row r="8" spans="1:28" x14ac:dyDescent="0.3">
      <c r="A8" t="s">
        <v>211</v>
      </c>
      <c r="B8" s="80">
        <v>3.2</v>
      </c>
    </row>
    <row r="9" spans="1:28" x14ac:dyDescent="0.3">
      <c r="A9" t="s">
        <v>33</v>
      </c>
      <c r="B9" s="80">
        <v>3.2</v>
      </c>
    </row>
    <row r="10" spans="1:28" x14ac:dyDescent="0.3">
      <c r="A10" t="s">
        <v>96</v>
      </c>
      <c r="B10" s="80">
        <v>3</v>
      </c>
    </row>
    <row r="11" spans="1:28" x14ac:dyDescent="0.3">
      <c r="A11" t="s">
        <v>14</v>
      </c>
      <c r="B11" s="80">
        <v>3</v>
      </c>
    </row>
    <row r="12" spans="1:28" x14ac:dyDescent="0.3">
      <c r="A12" t="s">
        <v>193</v>
      </c>
      <c r="B12" s="80">
        <v>3</v>
      </c>
    </row>
    <row r="13" spans="1:28" x14ac:dyDescent="0.3">
      <c r="A13" t="s">
        <v>196</v>
      </c>
      <c r="B13" s="80">
        <v>3</v>
      </c>
      <c r="O13" t="s">
        <v>387</v>
      </c>
      <c r="P13" t="s">
        <v>183</v>
      </c>
    </row>
    <row r="14" spans="1:28" x14ac:dyDescent="0.3">
      <c r="A14" t="s">
        <v>12</v>
      </c>
      <c r="B14" s="80">
        <v>3</v>
      </c>
      <c r="O14" t="s">
        <v>38</v>
      </c>
      <c r="P14">
        <v>3.2</v>
      </c>
    </row>
    <row r="15" spans="1:28" x14ac:dyDescent="0.3">
      <c r="A15" t="s">
        <v>202</v>
      </c>
      <c r="B15" s="80">
        <v>3</v>
      </c>
      <c r="O15" t="s">
        <v>17</v>
      </c>
      <c r="P15">
        <v>3.2</v>
      </c>
    </row>
    <row r="16" spans="1:28" x14ac:dyDescent="0.3">
      <c r="A16" t="s">
        <v>208</v>
      </c>
      <c r="B16" s="80">
        <v>3</v>
      </c>
      <c r="O16" t="s">
        <v>22</v>
      </c>
      <c r="P16">
        <v>3.2</v>
      </c>
    </row>
    <row r="17" spans="1:16" x14ac:dyDescent="0.3">
      <c r="A17" t="s">
        <v>13</v>
      </c>
      <c r="B17" s="80">
        <v>3</v>
      </c>
      <c r="O17" t="s">
        <v>210</v>
      </c>
      <c r="P17">
        <v>3.2</v>
      </c>
    </row>
    <row r="18" spans="1:16" x14ac:dyDescent="0.3">
      <c r="A18" t="s">
        <v>25</v>
      </c>
      <c r="B18" s="80">
        <v>3</v>
      </c>
      <c r="O18" t="s">
        <v>41</v>
      </c>
      <c r="P18">
        <v>3.2</v>
      </c>
    </row>
    <row r="19" spans="1:16" x14ac:dyDescent="0.3">
      <c r="A19" t="s">
        <v>43</v>
      </c>
      <c r="B19" s="80">
        <v>3</v>
      </c>
      <c r="O19" t="s">
        <v>211</v>
      </c>
      <c r="P19">
        <v>3.2</v>
      </c>
    </row>
    <row r="20" spans="1:16" x14ac:dyDescent="0.3">
      <c r="A20" t="s">
        <v>28</v>
      </c>
      <c r="B20" s="80">
        <v>3</v>
      </c>
      <c r="O20" t="s">
        <v>33</v>
      </c>
      <c r="P20">
        <v>3.2</v>
      </c>
    </row>
    <row r="21" spans="1:16" x14ac:dyDescent="0.3">
      <c r="A21" t="s">
        <v>9</v>
      </c>
      <c r="B21" s="80">
        <v>2.8</v>
      </c>
      <c r="O21" t="s">
        <v>96</v>
      </c>
      <c r="P21">
        <v>3</v>
      </c>
    </row>
    <row r="22" spans="1:16" x14ac:dyDescent="0.3">
      <c r="A22" t="s">
        <v>228</v>
      </c>
      <c r="B22" s="80">
        <v>58.2</v>
      </c>
      <c r="O22" t="s">
        <v>14</v>
      </c>
      <c r="P22">
        <v>3</v>
      </c>
    </row>
    <row r="23" spans="1:16" x14ac:dyDescent="0.3">
      <c r="O23" t="s">
        <v>193</v>
      </c>
      <c r="P23">
        <v>3</v>
      </c>
    </row>
    <row r="24" spans="1:16" x14ac:dyDescent="0.3">
      <c r="O24" t="s">
        <v>196</v>
      </c>
      <c r="P24">
        <v>3</v>
      </c>
    </row>
    <row r="25" spans="1:16" x14ac:dyDescent="0.3">
      <c r="O25" t="s">
        <v>12</v>
      </c>
      <c r="P25">
        <v>3</v>
      </c>
    </row>
    <row r="26" spans="1:16" x14ac:dyDescent="0.3">
      <c r="O26" t="s">
        <v>202</v>
      </c>
      <c r="P26">
        <v>3</v>
      </c>
    </row>
    <row r="27" spans="1:16" x14ac:dyDescent="0.3">
      <c r="O27" t="s">
        <v>208</v>
      </c>
      <c r="P27">
        <v>3</v>
      </c>
    </row>
    <row r="28" spans="1:16" x14ac:dyDescent="0.3">
      <c r="O28" t="s">
        <v>13</v>
      </c>
      <c r="P28">
        <v>3</v>
      </c>
    </row>
    <row r="29" spans="1:16" x14ac:dyDescent="0.3">
      <c r="O29" t="s">
        <v>25</v>
      </c>
      <c r="P29">
        <v>3</v>
      </c>
    </row>
    <row r="30" spans="1:16" x14ac:dyDescent="0.3">
      <c r="O30" t="s">
        <v>43</v>
      </c>
      <c r="P30">
        <v>3</v>
      </c>
    </row>
    <row r="31" spans="1:16" x14ac:dyDescent="0.3">
      <c r="O31" t="s">
        <v>28</v>
      </c>
      <c r="P31">
        <v>3</v>
      </c>
    </row>
    <row r="32" spans="1:16" x14ac:dyDescent="0.3">
      <c r="O32" t="s">
        <v>9</v>
      </c>
      <c r="P32">
        <v>2.8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9C8B-4A95-4685-938E-9CD8649A260A}">
  <dimension ref="A1:O15"/>
  <sheetViews>
    <sheetView workbookViewId="0">
      <selection activeCell="G22" sqref="G22"/>
    </sheetView>
  </sheetViews>
  <sheetFormatPr defaultRowHeight="14.4" x14ac:dyDescent="0.3"/>
  <cols>
    <col min="1" max="1" width="10.77734375" bestFit="1" customWidth="1"/>
    <col min="2" max="2" width="20.88671875" bestFit="1" customWidth="1"/>
    <col min="3" max="3" width="24.33203125" bestFit="1" customWidth="1"/>
    <col min="6" max="6" width="11.44140625" customWidth="1"/>
    <col min="7" max="7" width="25.33203125" customWidth="1"/>
    <col min="8" max="8" width="25.88671875" customWidth="1"/>
    <col min="11" max="11" width="0.5546875" customWidth="1"/>
    <col min="13" max="13" width="17.33203125" customWidth="1"/>
    <col min="15" max="15" width="17.5546875" customWidth="1"/>
  </cols>
  <sheetData>
    <row r="1" spans="1:15" x14ac:dyDescent="0.3">
      <c r="A1" s="51" t="s">
        <v>192</v>
      </c>
      <c r="B1" s="51"/>
      <c r="C1" s="51"/>
    </row>
    <row r="2" spans="1:15" x14ac:dyDescent="0.3">
      <c r="A2" s="43" t="s">
        <v>239</v>
      </c>
      <c r="B2" s="125" t="s">
        <v>240</v>
      </c>
      <c r="C2" s="126" t="s">
        <v>241</v>
      </c>
    </row>
    <row r="3" spans="1:15" x14ac:dyDescent="0.3">
      <c r="A3" s="127" t="s">
        <v>194</v>
      </c>
      <c r="B3" s="128">
        <v>3</v>
      </c>
      <c r="C3" s="129">
        <v>10</v>
      </c>
      <c r="F3" s="34"/>
      <c r="G3" s="34"/>
      <c r="H3" s="34"/>
      <c r="L3" s="30"/>
      <c r="M3" s="31"/>
      <c r="N3" s="30"/>
      <c r="O3" s="31"/>
    </row>
    <row r="4" spans="1:15" x14ac:dyDescent="0.3">
      <c r="A4" s="130" t="s">
        <v>195</v>
      </c>
      <c r="B4" s="131">
        <v>8</v>
      </c>
      <c r="C4" s="132">
        <v>11</v>
      </c>
      <c r="L4" s="24"/>
      <c r="M4" s="32"/>
      <c r="N4" s="24"/>
      <c r="O4" s="32"/>
    </row>
    <row r="5" spans="1:15" x14ac:dyDescent="0.3">
      <c r="A5" s="127" t="s">
        <v>197</v>
      </c>
      <c r="B5" s="128">
        <v>13</v>
      </c>
      <c r="C5" s="129">
        <v>8</v>
      </c>
      <c r="L5" s="25"/>
      <c r="M5" s="33"/>
      <c r="N5" s="25"/>
      <c r="O5" s="33"/>
    </row>
    <row r="6" spans="1:15" x14ac:dyDescent="0.3">
      <c r="A6" s="130" t="s">
        <v>198</v>
      </c>
      <c r="B6" s="131">
        <v>18</v>
      </c>
      <c r="C6" s="132">
        <v>4</v>
      </c>
      <c r="L6" s="24"/>
      <c r="M6" s="32"/>
      <c r="N6" s="24"/>
      <c r="O6" s="32"/>
    </row>
    <row r="7" spans="1:15" x14ac:dyDescent="0.3">
      <c r="A7" s="127" t="s">
        <v>199</v>
      </c>
      <c r="B7" s="128">
        <v>18</v>
      </c>
      <c r="C7" s="129">
        <v>2</v>
      </c>
      <c r="L7" s="25"/>
      <c r="M7" s="33"/>
      <c r="N7" s="25"/>
      <c r="O7" s="33"/>
    </row>
    <row r="8" spans="1:15" x14ac:dyDescent="0.3">
      <c r="A8" s="130" t="s">
        <v>200</v>
      </c>
      <c r="B8" s="131">
        <v>15</v>
      </c>
      <c r="C8" s="132">
        <v>3</v>
      </c>
      <c r="L8" s="24"/>
      <c r="M8" s="32"/>
      <c r="N8" s="24"/>
      <c r="O8" s="32"/>
    </row>
    <row r="9" spans="1:15" x14ac:dyDescent="0.3">
      <c r="A9" s="127" t="s">
        <v>201</v>
      </c>
      <c r="B9" s="128">
        <v>10</v>
      </c>
      <c r="C9" s="129">
        <v>7</v>
      </c>
      <c r="L9" s="25"/>
      <c r="M9" s="33"/>
      <c r="N9" s="25"/>
      <c r="O9" s="33"/>
    </row>
    <row r="10" spans="1:15" x14ac:dyDescent="0.3">
      <c r="A10" s="130" t="s">
        <v>203</v>
      </c>
      <c r="B10" s="131">
        <v>8</v>
      </c>
      <c r="C10" s="132">
        <v>7</v>
      </c>
      <c r="L10" s="24"/>
      <c r="M10" s="32"/>
      <c r="N10" s="24"/>
      <c r="O10" s="32"/>
    </row>
    <row r="11" spans="1:15" x14ac:dyDescent="0.3">
      <c r="A11" s="127" t="s">
        <v>204</v>
      </c>
      <c r="B11" s="128">
        <v>3</v>
      </c>
      <c r="C11" s="129">
        <v>8</v>
      </c>
      <c r="L11" s="25"/>
      <c r="M11" s="33"/>
      <c r="N11" s="25"/>
      <c r="O11" s="33"/>
    </row>
    <row r="12" spans="1:15" x14ac:dyDescent="0.3">
      <c r="A12" s="130" t="s">
        <v>205</v>
      </c>
      <c r="B12" s="131">
        <v>2</v>
      </c>
      <c r="C12" s="132">
        <v>13</v>
      </c>
      <c r="L12" s="24"/>
      <c r="M12" s="32"/>
      <c r="N12" s="24"/>
      <c r="O12" s="32"/>
    </row>
    <row r="13" spans="1:15" x14ac:dyDescent="0.3">
      <c r="A13" s="127" t="s">
        <v>206</v>
      </c>
      <c r="B13" s="128">
        <v>1</v>
      </c>
      <c r="C13" s="129">
        <v>15</v>
      </c>
      <c r="L13" s="25"/>
      <c r="M13" s="33"/>
      <c r="N13" s="25"/>
      <c r="O13" s="33"/>
    </row>
    <row r="14" spans="1:15" x14ac:dyDescent="0.3">
      <c r="A14" s="133" t="s">
        <v>207</v>
      </c>
      <c r="B14" s="134">
        <v>1</v>
      </c>
      <c r="C14" s="135">
        <v>12</v>
      </c>
      <c r="L14" s="24"/>
      <c r="M14" s="32"/>
      <c r="N14" s="24"/>
      <c r="O14" s="32"/>
    </row>
    <row r="15" spans="1:15" x14ac:dyDescent="0.3">
      <c r="A15" s="35" t="s">
        <v>244</v>
      </c>
      <c r="B15" s="6">
        <f>SUM(B3:B14)</f>
        <v>100</v>
      </c>
      <c r="C15" s="6">
        <f>SUM(C3:C14)</f>
        <v>100</v>
      </c>
      <c r="I15" s="25"/>
      <c r="J15" s="33"/>
      <c r="K15" s="25"/>
      <c r="L15" s="33"/>
    </row>
  </sheetData>
  <mergeCells count="1">
    <mergeCell ref="A1:C1"/>
  </mergeCells>
  <conditionalFormatting sqref="B3:C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:H14 D15:E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{75B561D5-7F89-43D9-BA79-1400B95CA3E9}</x14:id>
        </ext>
      </extLst>
    </cfRule>
  </conditionalFormatting>
  <conditionalFormatting sqref="M4:M14 J15 O4:O14 L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{B8E643AA-99C1-453C-A2CC-6493BE594683}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B561D5-7F89-43D9-BA79-1400B95CA3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G4:H14 D15:E15</xm:sqref>
        </x14:conditionalFormatting>
        <x14:conditionalFormatting xmlns:xm="http://schemas.microsoft.com/office/excel/2006/main">
          <x14:cfRule type="dataBar" id="{B8E643AA-99C1-453C-A2CC-6493BE5946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M4:M14 J15 O4:O14 L15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7FD3-BA2D-49F2-8000-FEF5115DC325}">
  <dimension ref="A2:H62"/>
  <sheetViews>
    <sheetView workbookViewId="0">
      <selection activeCell="A2" sqref="A2"/>
    </sheetView>
  </sheetViews>
  <sheetFormatPr defaultRowHeight="14.4" x14ac:dyDescent="0.3"/>
  <cols>
    <col min="1" max="1" width="26.6640625" bestFit="1" customWidth="1"/>
    <col min="2" max="8" width="18.88671875" bestFit="1" customWidth="1"/>
    <col min="9" max="413" width="27.77734375" bestFit="1" customWidth="1"/>
    <col min="414" max="420" width="23.6640625" bestFit="1" customWidth="1"/>
  </cols>
  <sheetData>
    <row r="2" spans="1:8" x14ac:dyDescent="0.3">
      <c r="A2" s="13" t="s">
        <v>1</v>
      </c>
      <c r="B2" t="s">
        <v>253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</row>
    <row r="3" spans="1:8" x14ac:dyDescent="0.3">
      <c r="A3" t="s">
        <v>35</v>
      </c>
      <c r="B3">
        <v>170513.6</v>
      </c>
      <c r="C3">
        <v>188741.2</v>
      </c>
      <c r="D3">
        <v>196483.6</v>
      </c>
      <c r="E3">
        <v>177795</v>
      </c>
      <c r="F3">
        <v>199409.4</v>
      </c>
      <c r="G3">
        <v>146967.20000000001</v>
      </c>
      <c r="H3">
        <v>228391</v>
      </c>
    </row>
    <row r="4" spans="1:8" x14ac:dyDescent="0.3">
      <c r="A4" t="s">
        <v>143</v>
      </c>
      <c r="B4">
        <v>147956</v>
      </c>
      <c r="C4">
        <v>0</v>
      </c>
      <c r="D4">
        <v>0</v>
      </c>
      <c r="E4">
        <v>0</v>
      </c>
      <c r="F4">
        <v>8450</v>
      </c>
      <c r="G4">
        <v>322452</v>
      </c>
      <c r="H4">
        <v>168750</v>
      </c>
    </row>
    <row r="5" spans="1:8" x14ac:dyDescent="0.3">
      <c r="A5" t="s">
        <v>32</v>
      </c>
      <c r="B5">
        <v>89361</v>
      </c>
      <c r="C5">
        <v>0</v>
      </c>
      <c r="D5">
        <v>0</v>
      </c>
      <c r="E5">
        <v>0</v>
      </c>
      <c r="F5">
        <v>0</v>
      </c>
      <c r="G5">
        <v>191336</v>
      </c>
      <c r="H5">
        <v>-621554</v>
      </c>
    </row>
    <row r="6" spans="1:8" x14ac:dyDescent="0.3">
      <c r="A6" t="s">
        <v>24</v>
      </c>
      <c r="B6">
        <v>77984.600000000006</v>
      </c>
      <c r="C6">
        <v>128499.4</v>
      </c>
      <c r="D6">
        <v>137522.20000000001</v>
      </c>
      <c r="E6">
        <v>140023.6</v>
      </c>
      <c r="F6">
        <v>106223.40000000001</v>
      </c>
      <c r="G6">
        <v>88856.6</v>
      </c>
      <c r="H6">
        <v>132743</v>
      </c>
    </row>
    <row r="7" spans="1:8" x14ac:dyDescent="0.3">
      <c r="A7" t="s">
        <v>30</v>
      </c>
      <c r="B7">
        <v>54661</v>
      </c>
      <c r="C7">
        <v>43639</v>
      </c>
      <c r="D7">
        <v>44310</v>
      </c>
      <c r="E7">
        <v>22251</v>
      </c>
      <c r="F7">
        <v>12541</v>
      </c>
      <c r="G7">
        <v>19884</v>
      </c>
      <c r="H7">
        <v>-268065</v>
      </c>
    </row>
    <row r="8" spans="1:8" x14ac:dyDescent="0.3">
      <c r="A8" t="s">
        <v>51</v>
      </c>
      <c r="B8">
        <v>40537</v>
      </c>
      <c r="C8">
        <v>5187</v>
      </c>
      <c r="D8">
        <v>17784</v>
      </c>
      <c r="E8">
        <v>62985</v>
      </c>
      <c r="F8">
        <v>53105</v>
      </c>
      <c r="G8">
        <v>20007</v>
      </c>
      <c r="H8">
        <v>-93718</v>
      </c>
    </row>
    <row r="9" spans="1:8" x14ac:dyDescent="0.3">
      <c r="A9" t="s">
        <v>19</v>
      </c>
      <c r="B9">
        <v>40030</v>
      </c>
      <c r="C9">
        <v>31436</v>
      </c>
      <c r="D9">
        <v>41731</v>
      </c>
      <c r="E9">
        <v>22997</v>
      </c>
      <c r="F9">
        <v>33060</v>
      </c>
      <c r="G9">
        <v>27579</v>
      </c>
      <c r="H9">
        <v>-15160</v>
      </c>
    </row>
    <row r="10" spans="1:8" x14ac:dyDescent="0.3">
      <c r="A10" t="s">
        <v>8</v>
      </c>
      <c r="B10">
        <v>37131.800000000003</v>
      </c>
      <c r="C10">
        <v>26332.800000000003</v>
      </c>
      <c r="D10">
        <v>23400.000000000007</v>
      </c>
      <c r="E10">
        <v>23940.800000000003</v>
      </c>
      <c r="F10">
        <v>18460.000000000007</v>
      </c>
      <c r="G10">
        <v>28204.800000000003</v>
      </c>
      <c r="H10">
        <v>67332</v>
      </c>
    </row>
    <row r="11" spans="1:8" x14ac:dyDescent="0.3">
      <c r="A11" t="s">
        <v>37</v>
      </c>
      <c r="B11">
        <v>36524</v>
      </c>
      <c r="C11">
        <v>52774</v>
      </c>
      <c r="D11">
        <v>60442</v>
      </c>
      <c r="E11">
        <v>63613</v>
      </c>
      <c r="F11">
        <v>56150</v>
      </c>
      <c r="G11">
        <v>50290</v>
      </c>
      <c r="H11">
        <v>77455</v>
      </c>
    </row>
    <row r="12" spans="1:8" x14ac:dyDescent="0.3">
      <c r="A12" t="s">
        <v>45</v>
      </c>
      <c r="B12">
        <v>30380.800000000003</v>
      </c>
      <c r="C12">
        <v>32566.6</v>
      </c>
      <c r="D12">
        <v>35580.199999999997</v>
      </c>
      <c r="E12">
        <v>29174.800000000003</v>
      </c>
      <c r="F12">
        <v>40331.199999999997</v>
      </c>
      <c r="G12">
        <v>26857.1</v>
      </c>
      <c r="H12">
        <v>61737.5</v>
      </c>
    </row>
    <row r="13" spans="1:8" x14ac:dyDescent="0.3">
      <c r="A13" t="s">
        <v>40</v>
      </c>
      <c r="B13">
        <v>25672</v>
      </c>
      <c r="C13">
        <v>1998</v>
      </c>
      <c r="D13">
        <v>6734</v>
      </c>
      <c r="E13">
        <v>7659</v>
      </c>
      <c r="F13">
        <v>9287</v>
      </c>
      <c r="G13">
        <v>11803</v>
      </c>
      <c r="H13">
        <v>-56250</v>
      </c>
    </row>
    <row r="14" spans="1:8" x14ac:dyDescent="0.3">
      <c r="A14" t="s">
        <v>62</v>
      </c>
      <c r="B14">
        <v>25668.7</v>
      </c>
      <c r="C14">
        <v>27054.400000000001</v>
      </c>
      <c r="D14">
        <v>31860.1</v>
      </c>
      <c r="E14">
        <v>22110.7</v>
      </c>
      <c r="F14">
        <v>19962.599999999999</v>
      </c>
      <c r="G14">
        <v>20166.800000000003</v>
      </c>
      <c r="H14">
        <v>50005.1</v>
      </c>
    </row>
    <row r="15" spans="1:8" x14ac:dyDescent="0.3">
      <c r="A15" t="s">
        <v>150</v>
      </c>
      <c r="B15">
        <v>24441</v>
      </c>
      <c r="C15">
        <v>6417.0000000000009</v>
      </c>
      <c r="D15">
        <v>14158.800000000001</v>
      </c>
      <c r="E15">
        <v>21569.4</v>
      </c>
      <c r="F15">
        <v>18340.200000000004</v>
      </c>
      <c r="G15">
        <v>24012.000000000004</v>
      </c>
      <c r="H15">
        <v>21105</v>
      </c>
    </row>
    <row r="16" spans="1:8" x14ac:dyDescent="0.3">
      <c r="A16" t="s">
        <v>11</v>
      </c>
      <c r="B16">
        <v>22700</v>
      </c>
      <c r="C16">
        <v>37620</v>
      </c>
      <c r="D16">
        <v>38950</v>
      </c>
      <c r="E16">
        <v>22800</v>
      </c>
      <c r="F16">
        <v>14250</v>
      </c>
      <c r="G16">
        <v>15200</v>
      </c>
      <c r="H16">
        <v>51160</v>
      </c>
    </row>
    <row r="17" spans="1:8" x14ac:dyDescent="0.3">
      <c r="A17" t="s">
        <v>49</v>
      </c>
      <c r="B17">
        <v>20555</v>
      </c>
      <c r="C17">
        <v>41989</v>
      </c>
      <c r="D17">
        <v>47858</v>
      </c>
      <c r="E17">
        <v>42701</v>
      </c>
      <c r="F17">
        <v>36331</v>
      </c>
      <c r="G17">
        <v>15350</v>
      </c>
      <c r="H17">
        <v>-235910</v>
      </c>
    </row>
    <row r="18" spans="1:8" x14ac:dyDescent="0.3">
      <c r="A18" t="s">
        <v>27</v>
      </c>
      <c r="B18">
        <v>19455</v>
      </c>
      <c r="C18">
        <v>0</v>
      </c>
      <c r="D18">
        <v>0</v>
      </c>
      <c r="E18">
        <v>0</v>
      </c>
      <c r="F18">
        <v>0</v>
      </c>
      <c r="G18">
        <v>0</v>
      </c>
      <c r="H18">
        <v>33825</v>
      </c>
    </row>
    <row r="19" spans="1:8" x14ac:dyDescent="0.3">
      <c r="A19" t="s">
        <v>146</v>
      </c>
      <c r="B19">
        <v>19370</v>
      </c>
      <c r="C19">
        <v>4700</v>
      </c>
      <c r="D19">
        <v>3760</v>
      </c>
      <c r="E19">
        <v>7520</v>
      </c>
      <c r="F19">
        <v>1880</v>
      </c>
      <c r="G19">
        <v>14100</v>
      </c>
      <c r="H19">
        <v>26100</v>
      </c>
    </row>
    <row r="20" spans="1:8" x14ac:dyDescent="0.3">
      <c r="A20" t="s">
        <v>16</v>
      </c>
      <c r="B20">
        <v>18705</v>
      </c>
      <c r="C20">
        <v>41642.400000000001</v>
      </c>
      <c r="D20">
        <v>30123.200000000001</v>
      </c>
      <c r="E20">
        <v>31490.400000000001</v>
      </c>
      <c r="F20">
        <v>50874.400000000009</v>
      </c>
      <c r="G20">
        <v>30258.400000000001</v>
      </c>
      <c r="H20">
        <v>65222</v>
      </c>
    </row>
    <row r="21" spans="1:8" x14ac:dyDescent="0.3">
      <c r="A21" t="s">
        <v>55</v>
      </c>
      <c r="B21">
        <v>16436.599999999999</v>
      </c>
      <c r="C21">
        <v>36705.599999999999</v>
      </c>
      <c r="D21">
        <v>31446.300000000003</v>
      </c>
      <c r="E21">
        <v>17897.900000000001</v>
      </c>
      <c r="F21">
        <v>10896</v>
      </c>
      <c r="G21">
        <v>33745.1</v>
      </c>
      <c r="H21">
        <v>17206.5</v>
      </c>
    </row>
    <row r="22" spans="1:8" x14ac:dyDescent="0.3">
      <c r="A22" t="s">
        <v>68</v>
      </c>
      <c r="B22">
        <v>15053</v>
      </c>
      <c r="C22">
        <v>21371</v>
      </c>
      <c r="D22">
        <v>29110</v>
      </c>
      <c r="E22">
        <v>57936</v>
      </c>
      <c r="F22">
        <v>25560</v>
      </c>
      <c r="G22">
        <v>12638</v>
      </c>
      <c r="H22">
        <v>35615</v>
      </c>
    </row>
    <row r="23" spans="1:8" x14ac:dyDescent="0.3">
      <c r="A23" t="s">
        <v>57</v>
      </c>
      <c r="B23">
        <v>14967.5</v>
      </c>
      <c r="C23">
        <v>0</v>
      </c>
      <c r="D23">
        <v>0</v>
      </c>
      <c r="E23">
        <v>845</v>
      </c>
      <c r="F23">
        <v>6844</v>
      </c>
      <c r="G23">
        <v>10905.5</v>
      </c>
      <c r="H23">
        <v>26634</v>
      </c>
    </row>
    <row r="24" spans="1:8" x14ac:dyDescent="0.3">
      <c r="A24" t="s">
        <v>47</v>
      </c>
      <c r="B24">
        <v>14880</v>
      </c>
      <c r="C24">
        <v>25881</v>
      </c>
      <c r="D24">
        <v>49713</v>
      </c>
      <c r="E24">
        <v>29979</v>
      </c>
      <c r="F24">
        <v>23718</v>
      </c>
      <c r="G24">
        <v>16053</v>
      </c>
      <c r="H24">
        <v>38725</v>
      </c>
    </row>
    <row r="25" spans="1:8" x14ac:dyDescent="0.3">
      <c r="A25" t="s">
        <v>178</v>
      </c>
      <c r="B25">
        <v>12460</v>
      </c>
      <c r="C25">
        <v>61740</v>
      </c>
      <c r="D25">
        <v>11172</v>
      </c>
      <c r="E25">
        <v>12152</v>
      </c>
      <c r="F25">
        <v>1960</v>
      </c>
      <c r="G25">
        <v>392</v>
      </c>
      <c r="H25">
        <v>-13720</v>
      </c>
    </row>
    <row r="26" spans="1:8" x14ac:dyDescent="0.3">
      <c r="A26" t="s">
        <v>158</v>
      </c>
      <c r="B26">
        <v>10438</v>
      </c>
      <c r="C26">
        <v>5050</v>
      </c>
      <c r="D26">
        <v>4444</v>
      </c>
      <c r="E26">
        <v>14140</v>
      </c>
      <c r="F26">
        <v>4646</v>
      </c>
      <c r="G26">
        <v>8080</v>
      </c>
      <c r="H26">
        <v>-23700</v>
      </c>
    </row>
    <row r="27" spans="1:8" x14ac:dyDescent="0.3">
      <c r="A27" t="s">
        <v>156</v>
      </c>
      <c r="B27">
        <v>10281.6</v>
      </c>
      <c r="C27">
        <v>6130.4</v>
      </c>
      <c r="D27">
        <v>9467.2000000000007</v>
      </c>
      <c r="E27">
        <v>9894</v>
      </c>
      <c r="F27">
        <v>10864</v>
      </c>
      <c r="G27">
        <v>11989.2</v>
      </c>
      <c r="H27">
        <v>16040</v>
      </c>
    </row>
    <row r="28" spans="1:8" x14ac:dyDescent="0.3">
      <c r="A28" t="s">
        <v>85</v>
      </c>
      <c r="B28">
        <v>10239.799999999999</v>
      </c>
      <c r="C28">
        <v>0</v>
      </c>
      <c r="D28">
        <v>0</v>
      </c>
      <c r="E28">
        <v>0</v>
      </c>
      <c r="F28">
        <v>416.8</v>
      </c>
      <c r="G28">
        <v>7502.4000000000005</v>
      </c>
      <c r="H28">
        <v>-264874</v>
      </c>
    </row>
    <row r="29" spans="1:8" x14ac:dyDescent="0.3">
      <c r="A29" t="s">
        <v>81</v>
      </c>
      <c r="B29">
        <v>9648</v>
      </c>
      <c r="C29">
        <v>0</v>
      </c>
      <c r="D29">
        <v>18900</v>
      </c>
      <c r="E29">
        <v>20706</v>
      </c>
      <c r="F29">
        <v>9324</v>
      </c>
      <c r="G29">
        <v>7560</v>
      </c>
      <c r="H29">
        <v>25560</v>
      </c>
    </row>
    <row r="30" spans="1:8" x14ac:dyDescent="0.3">
      <c r="A30" t="s">
        <v>59</v>
      </c>
      <c r="B30">
        <v>9383.2000000000007</v>
      </c>
      <c r="C30">
        <v>38413.199999999997</v>
      </c>
      <c r="D30">
        <v>42595.6</v>
      </c>
      <c r="E30">
        <v>16461.800000000003</v>
      </c>
      <c r="F30">
        <v>14391.199999999999</v>
      </c>
      <c r="G30">
        <v>16193.9</v>
      </c>
      <c r="H30">
        <v>48805</v>
      </c>
    </row>
    <row r="31" spans="1:8" x14ac:dyDescent="0.3">
      <c r="A31" t="s">
        <v>152</v>
      </c>
      <c r="B31">
        <v>7870</v>
      </c>
      <c r="C31">
        <v>38180</v>
      </c>
      <c r="D31">
        <v>35358</v>
      </c>
      <c r="E31">
        <v>27888</v>
      </c>
      <c r="F31">
        <v>9130</v>
      </c>
      <c r="G31">
        <v>4980</v>
      </c>
      <c r="H31">
        <v>-3500</v>
      </c>
    </row>
    <row r="32" spans="1:8" x14ac:dyDescent="0.3">
      <c r="A32" t="s">
        <v>148</v>
      </c>
      <c r="B32">
        <v>7215</v>
      </c>
      <c r="C32">
        <v>4590</v>
      </c>
      <c r="D32">
        <v>4050</v>
      </c>
      <c r="E32">
        <v>3996</v>
      </c>
      <c r="F32">
        <v>5400</v>
      </c>
      <c r="G32">
        <v>4050</v>
      </c>
      <c r="H32">
        <v>9460</v>
      </c>
    </row>
    <row r="33" spans="1:8" x14ac:dyDescent="0.3">
      <c r="A33" t="s">
        <v>176</v>
      </c>
      <c r="B33">
        <v>6900</v>
      </c>
      <c r="C33">
        <v>2160</v>
      </c>
      <c r="D33">
        <v>11880</v>
      </c>
      <c r="E33">
        <v>9288</v>
      </c>
      <c r="F33">
        <v>4320</v>
      </c>
      <c r="G33">
        <v>2160</v>
      </c>
      <c r="H33">
        <v>-17700</v>
      </c>
    </row>
    <row r="34" spans="1:8" x14ac:dyDescent="0.3">
      <c r="A34" t="s">
        <v>108</v>
      </c>
      <c r="B34">
        <v>6567</v>
      </c>
      <c r="C34">
        <v>0</v>
      </c>
      <c r="D34">
        <v>0</v>
      </c>
      <c r="E34">
        <v>0</v>
      </c>
      <c r="F34">
        <v>0</v>
      </c>
      <c r="G34">
        <v>1072</v>
      </c>
      <c r="H34">
        <v>29971</v>
      </c>
    </row>
    <row r="35" spans="1:8" x14ac:dyDescent="0.3">
      <c r="A35" t="s">
        <v>83</v>
      </c>
      <c r="B35">
        <v>5600</v>
      </c>
      <c r="C35">
        <v>0</v>
      </c>
      <c r="D35">
        <v>0</v>
      </c>
      <c r="E35">
        <v>4104</v>
      </c>
      <c r="F35">
        <v>108</v>
      </c>
      <c r="G35">
        <v>0</v>
      </c>
      <c r="H35">
        <v>-191190</v>
      </c>
    </row>
    <row r="36" spans="1:8" x14ac:dyDescent="0.3">
      <c r="A36" t="s">
        <v>162</v>
      </c>
      <c r="B36">
        <v>5242</v>
      </c>
      <c r="C36">
        <v>7079.4</v>
      </c>
      <c r="D36">
        <v>10567.8</v>
      </c>
      <c r="E36">
        <v>12312</v>
      </c>
      <c r="F36">
        <v>5130</v>
      </c>
      <c r="G36">
        <v>8208</v>
      </c>
      <c r="H36">
        <v>2825</v>
      </c>
    </row>
    <row r="37" spans="1:8" x14ac:dyDescent="0.3">
      <c r="A37" t="s">
        <v>73</v>
      </c>
      <c r="B37">
        <v>5169.8</v>
      </c>
      <c r="C37">
        <v>6064.6</v>
      </c>
      <c r="D37">
        <v>9882.6</v>
      </c>
      <c r="E37">
        <v>5421</v>
      </c>
      <c r="F37">
        <v>5749.6</v>
      </c>
      <c r="G37">
        <v>5425.6</v>
      </c>
      <c r="H37">
        <v>3014.6</v>
      </c>
    </row>
    <row r="38" spans="1:8" x14ac:dyDescent="0.3">
      <c r="A38" t="s">
        <v>170</v>
      </c>
      <c r="B38">
        <v>3622</v>
      </c>
      <c r="C38">
        <v>0</v>
      </c>
      <c r="D38">
        <v>0</v>
      </c>
      <c r="E38">
        <v>0</v>
      </c>
      <c r="F38">
        <v>1820</v>
      </c>
      <c r="G38">
        <v>3993.6000000000004</v>
      </c>
      <c r="H38">
        <v>7966</v>
      </c>
    </row>
    <row r="39" spans="1:8" x14ac:dyDescent="0.3">
      <c r="A39" t="s">
        <v>113</v>
      </c>
      <c r="B39">
        <v>3492</v>
      </c>
      <c r="C39">
        <v>0</v>
      </c>
      <c r="D39">
        <v>0</v>
      </c>
      <c r="E39">
        <v>0</v>
      </c>
      <c r="F39">
        <v>0</v>
      </c>
      <c r="G39">
        <v>7309</v>
      </c>
      <c r="H39">
        <v>38513</v>
      </c>
    </row>
    <row r="40" spans="1:8" x14ac:dyDescent="0.3">
      <c r="A40" t="s">
        <v>164</v>
      </c>
      <c r="B40">
        <v>3320</v>
      </c>
      <c r="C40">
        <v>0</v>
      </c>
      <c r="D40">
        <v>15080</v>
      </c>
      <c r="E40">
        <v>6380</v>
      </c>
      <c r="F40">
        <v>5220</v>
      </c>
      <c r="G40">
        <v>6960</v>
      </c>
      <c r="H40">
        <v>-12800</v>
      </c>
    </row>
    <row r="41" spans="1:8" x14ac:dyDescent="0.3">
      <c r="A41" t="s">
        <v>168</v>
      </c>
      <c r="B41">
        <v>3102.0000000000005</v>
      </c>
      <c r="C41">
        <v>2610</v>
      </c>
      <c r="D41">
        <v>3480.0000000000005</v>
      </c>
      <c r="E41">
        <v>2262</v>
      </c>
      <c r="F41">
        <v>1740.0000000000002</v>
      </c>
      <c r="G41">
        <v>2610</v>
      </c>
      <c r="H41">
        <v>-30899.999999999993</v>
      </c>
    </row>
    <row r="42" spans="1:8" x14ac:dyDescent="0.3">
      <c r="A42" t="s">
        <v>174</v>
      </c>
      <c r="B42">
        <v>2990</v>
      </c>
      <c r="C42">
        <v>2490</v>
      </c>
      <c r="D42">
        <v>3984</v>
      </c>
      <c r="E42">
        <v>5810</v>
      </c>
      <c r="F42">
        <v>3320</v>
      </c>
      <c r="G42">
        <v>2490</v>
      </c>
      <c r="H42">
        <v>-17250</v>
      </c>
    </row>
    <row r="43" spans="1:8" x14ac:dyDescent="0.3">
      <c r="A43" t="s">
        <v>154</v>
      </c>
      <c r="B43">
        <v>2600</v>
      </c>
      <c r="C43">
        <v>0</v>
      </c>
      <c r="D43">
        <v>0</v>
      </c>
      <c r="E43">
        <v>0</v>
      </c>
      <c r="F43">
        <v>0</v>
      </c>
      <c r="G43">
        <v>0</v>
      </c>
      <c r="H43">
        <v>-5400</v>
      </c>
    </row>
    <row r="44" spans="1:8" x14ac:dyDescent="0.3">
      <c r="A44" t="s">
        <v>166</v>
      </c>
      <c r="B44">
        <v>2352</v>
      </c>
      <c r="C44">
        <v>2940</v>
      </c>
      <c r="D44">
        <v>2548</v>
      </c>
      <c r="E44">
        <v>2548</v>
      </c>
      <c r="F44">
        <v>1960</v>
      </c>
      <c r="G44">
        <v>1764</v>
      </c>
      <c r="H44">
        <v>-20160</v>
      </c>
    </row>
    <row r="45" spans="1:8" x14ac:dyDescent="0.3">
      <c r="A45" t="s">
        <v>53</v>
      </c>
      <c r="B45">
        <v>1692</v>
      </c>
      <c r="C45">
        <v>744</v>
      </c>
      <c r="D45">
        <v>696</v>
      </c>
      <c r="E45">
        <v>1704</v>
      </c>
      <c r="F45">
        <v>168</v>
      </c>
      <c r="G45">
        <v>288</v>
      </c>
      <c r="H45">
        <v>-37020</v>
      </c>
    </row>
    <row r="46" spans="1:8" x14ac:dyDescent="0.3">
      <c r="A46" t="s">
        <v>79</v>
      </c>
      <c r="B46">
        <v>1457.2</v>
      </c>
      <c r="C46">
        <v>10549.2</v>
      </c>
      <c r="D46">
        <v>715.2</v>
      </c>
      <c r="E46">
        <v>1609.2</v>
      </c>
      <c r="F46">
        <v>476.8</v>
      </c>
      <c r="G46">
        <v>417.20000000000005</v>
      </c>
      <c r="H46">
        <v>-2473.4</v>
      </c>
    </row>
    <row r="47" spans="1:8" x14ac:dyDescent="0.3">
      <c r="A47" t="s">
        <v>141</v>
      </c>
      <c r="B47">
        <v>1411</v>
      </c>
      <c r="C47">
        <v>0</v>
      </c>
      <c r="D47">
        <v>0</v>
      </c>
      <c r="E47">
        <v>0</v>
      </c>
      <c r="F47">
        <v>0</v>
      </c>
      <c r="G47">
        <v>925</v>
      </c>
      <c r="H47">
        <v>-1280</v>
      </c>
    </row>
    <row r="48" spans="1:8" x14ac:dyDescent="0.3">
      <c r="A48" t="s">
        <v>160</v>
      </c>
      <c r="B48">
        <v>1240</v>
      </c>
      <c r="C48">
        <v>498</v>
      </c>
      <c r="D48">
        <v>1660</v>
      </c>
      <c r="E48">
        <v>4150</v>
      </c>
      <c r="F48">
        <v>1660</v>
      </c>
      <c r="G48">
        <v>1328</v>
      </c>
      <c r="H48">
        <v>-17250</v>
      </c>
    </row>
    <row r="49" spans="1:8" x14ac:dyDescent="0.3">
      <c r="A49" t="s">
        <v>118</v>
      </c>
      <c r="B49">
        <v>891</v>
      </c>
      <c r="C49">
        <v>0</v>
      </c>
      <c r="D49">
        <v>0</v>
      </c>
      <c r="E49">
        <v>0</v>
      </c>
      <c r="F49">
        <v>0</v>
      </c>
      <c r="G49">
        <v>2026</v>
      </c>
      <c r="H49">
        <v>10910</v>
      </c>
    </row>
    <row r="50" spans="1:8" x14ac:dyDescent="0.3">
      <c r="A50" t="s">
        <v>131</v>
      </c>
      <c r="B50">
        <v>742.5</v>
      </c>
      <c r="C50">
        <v>0</v>
      </c>
      <c r="D50">
        <v>0</v>
      </c>
      <c r="E50">
        <v>0</v>
      </c>
      <c r="F50">
        <v>0</v>
      </c>
      <c r="G50">
        <v>6647.5</v>
      </c>
      <c r="H50">
        <v>62387.5</v>
      </c>
    </row>
    <row r="51" spans="1:8" x14ac:dyDescent="0.3">
      <c r="A51" t="s">
        <v>172</v>
      </c>
      <c r="B51">
        <v>400</v>
      </c>
      <c r="C51">
        <v>0</v>
      </c>
      <c r="D51">
        <v>870</v>
      </c>
      <c r="E51">
        <v>1914</v>
      </c>
      <c r="F51">
        <v>2581</v>
      </c>
      <c r="G51">
        <v>2755</v>
      </c>
      <c r="H51">
        <v>-495</v>
      </c>
    </row>
    <row r="52" spans="1:8" x14ac:dyDescent="0.3">
      <c r="A52" t="s">
        <v>91</v>
      </c>
      <c r="B52">
        <v>78.599999999999994</v>
      </c>
      <c r="C52">
        <v>0</v>
      </c>
      <c r="D52">
        <v>0</v>
      </c>
      <c r="E52">
        <v>0</v>
      </c>
      <c r="F52">
        <v>183.4</v>
      </c>
      <c r="G52">
        <v>0</v>
      </c>
      <c r="H52">
        <v>-199980</v>
      </c>
    </row>
    <row r="53" spans="1:8" x14ac:dyDescent="0.3">
      <c r="A53" t="s">
        <v>128</v>
      </c>
      <c r="B53">
        <v>-84</v>
      </c>
      <c r="C53">
        <v>0</v>
      </c>
      <c r="D53">
        <v>0</v>
      </c>
      <c r="E53">
        <v>0</v>
      </c>
      <c r="F53">
        <v>0</v>
      </c>
      <c r="G53">
        <v>215</v>
      </c>
      <c r="H53">
        <v>2841</v>
      </c>
    </row>
    <row r="54" spans="1:8" x14ac:dyDescent="0.3">
      <c r="A54" t="s">
        <v>93</v>
      </c>
      <c r="B54">
        <v>-184</v>
      </c>
      <c r="C54">
        <v>0</v>
      </c>
      <c r="D54">
        <v>0</v>
      </c>
      <c r="E54">
        <v>2368</v>
      </c>
      <c r="F54">
        <v>296</v>
      </c>
      <c r="G54">
        <v>888</v>
      </c>
      <c r="H54">
        <v>-318260</v>
      </c>
    </row>
    <row r="55" spans="1:8" x14ac:dyDescent="0.3">
      <c r="A55" t="s">
        <v>180</v>
      </c>
      <c r="B55">
        <v>-195.99999999999997</v>
      </c>
      <c r="C55">
        <v>0</v>
      </c>
      <c r="D55">
        <v>0</v>
      </c>
      <c r="E55">
        <v>0</v>
      </c>
      <c r="F55">
        <v>0</v>
      </c>
      <c r="G55">
        <v>0</v>
      </c>
      <c r="H55">
        <v>-1151.9999999999995</v>
      </c>
    </row>
    <row r="56" spans="1:8" x14ac:dyDescent="0.3">
      <c r="A56" t="s">
        <v>138</v>
      </c>
      <c r="B56">
        <v>-1317</v>
      </c>
      <c r="C56">
        <v>0</v>
      </c>
      <c r="D56">
        <v>0</v>
      </c>
      <c r="E56">
        <v>0</v>
      </c>
      <c r="F56">
        <v>0</v>
      </c>
      <c r="G56">
        <v>0</v>
      </c>
      <c r="H56">
        <v>-4326</v>
      </c>
    </row>
    <row r="57" spans="1:8" x14ac:dyDescent="0.3">
      <c r="A57" t="s">
        <v>89</v>
      </c>
      <c r="B57">
        <v>-1670</v>
      </c>
      <c r="C57">
        <v>0</v>
      </c>
      <c r="D57">
        <v>0</v>
      </c>
      <c r="E57">
        <v>7176</v>
      </c>
      <c r="F57">
        <v>276</v>
      </c>
      <c r="G57">
        <v>0</v>
      </c>
      <c r="H57">
        <v>-166150</v>
      </c>
    </row>
    <row r="58" spans="1:8" x14ac:dyDescent="0.3">
      <c r="A58" t="s">
        <v>87</v>
      </c>
      <c r="B58">
        <v>-3336</v>
      </c>
      <c r="C58">
        <v>0</v>
      </c>
      <c r="D58">
        <v>0</v>
      </c>
      <c r="E58">
        <v>4932</v>
      </c>
      <c r="F58">
        <v>0</v>
      </c>
      <c r="G58">
        <v>0</v>
      </c>
      <c r="H58">
        <v>-441802</v>
      </c>
    </row>
    <row r="59" spans="1:8" x14ac:dyDescent="0.3">
      <c r="A59" t="s">
        <v>104</v>
      </c>
      <c r="B59">
        <v>-6115</v>
      </c>
      <c r="C59">
        <v>0</v>
      </c>
      <c r="D59">
        <v>0</v>
      </c>
      <c r="E59">
        <v>0</v>
      </c>
      <c r="F59">
        <v>0</v>
      </c>
      <c r="G59">
        <v>1109</v>
      </c>
      <c r="H59">
        <v>22263</v>
      </c>
    </row>
    <row r="60" spans="1:8" x14ac:dyDescent="0.3">
      <c r="A60" t="s">
        <v>123</v>
      </c>
      <c r="B60">
        <v>-8750</v>
      </c>
      <c r="C60">
        <v>0</v>
      </c>
      <c r="D60">
        <v>0</v>
      </c>
      <c r="E60">
        <v>0</v>
      </c>
      <c r="F60">
        <v>0</v>
      </c>
      <c r="G60">
        <v>220</v>
      </c>
      <c r="H60">
        <v>12042</v>
      </c>
    </row>
    <row r="61" spans="1:8" x14ac:dyDescent="0.3">
      <c r="A61" t="s">
        <v>95</v>
      </c>
      <c r="B61">
        <v>-9653</v>
      </c>
      <c r="C61">
        <v>0</v>
      </c>
      <c r="D61">
        <v>0</v>
      </c>
      <c r="E61">
        <v>0</v>
      </c>
      <c r="F61">
        <v>0</v>
      </c>
      <c r="G61">
        <v>-11</v>
      </c>
      <c r="H61">
        <v>-2152.7999999999993</v>
      </c>
    </row>
    <row r="62" spans="1:8" x14ac:dyDescent="0.3">
      <c r="A62" t="s">
        <v>228</v>
      </c>
      <c r="B62">
        <v>1068083.3</v>
      </c>
      <c r="C62">
        <v>943793.2</v>
      </c>
      <c r="D62">
        <v>1028316.7999999999</v>
      </c>
      <c r="E62">
        <v>982504.6</v>
      </c>
      <c r="F62">
        <v>836813.99999999988</v>
      </c>
      <c r="G62">
        <v>1246212.9000000001</v>
      </c>
      <c r="H62">
        <v>-1689588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24E0-B080-48D5-9C0F-4C5AEAAAA251}">
  <dimension ref="A1:N203"/>
  <sheetViews>
    <sheetView topLeftCell="B1" workbookViewId="0">
      <selection activeCell="N9" sqref="M2:N9"/>
    </sheetView>
  </sheetViews>
  <sheetFormatPr defaultRowHeight="14.4" x14ac:dyDescent="0.3"/>
  <cols>
    <col min="4" max="10" width="13.44140625" customWidth="1"/>
    <col min="13" max="13" width="13.6640625" customWidth="1"/>
    <col min="14" max="14" width="2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 spans="1:14" x14ac:dyDescent="0.3">
      <c r="A2" t="s">
        <v>82</v>
      </c>
      <c r="B2" t="s">
        <v>83</v>
      </c>
      <c r="C2" t="s">
        <v>9</v>
      </c>
      <c r="D2">
        <v>0</v>
      </c>
      <c r="E2">
        <v>1</v>
      </c>
      <c r="F2">
        <v>0</v>
      </c>
      <c r="G2">
        <v>1</v>
      </c>
      <c r="H2">
        <v>38</v>
      </c>
      <c r="I2">
        <v>0</v>
      </c>
      <c r="J2">
        <v>0</v>
      </c>
      <c r="M2" s="3" t="s">
        <v>267</v>
      </c>
      <c r="N2" s="8" t="s">
        <v>278</v>
      </c>
    </row>
    <row r="3" spans="1:14" x14ac:dyDescent="0.3">
      <c r="A3" t="s">
        <v>86</v>
      </c>
      <c r="B3" t="s">
        <v>87</v>
      </c>
      <c r="C3" t="s">
        <v>9</v>
      </c>
      <c r="D3">
        <v>0</v>
      </c>
      <c r="E3">
        <v>0</v>
      </c>
      <c r="F3">
        <v>0</v>
      </c>
      <c r="G3">
        <v>0</v>
      </c>
      <c r="H3">
        <v>12</v>
      </c>
      <c r="I3">
        <v>0</v>
      </c>
      <c r="J3">
        <v>0</v>
      </c>
      <c r="M3" s="3">
        <v>2006</v>
      </c>
      <c r="N3" s="39">
        <v>24122</v>
      </c>
    </row>
    <row r="4" spans="1:14" x14ac:dyDescent="0.3">
      <c r="A4" t="s">
        <v>90</v>
      </c>
      <c r="B4" t="s">
        <v>91</v>
      </c>
      <c r="C4" t="s">
        <v>9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M4" s="3">
        <f t="shared" ref="M4:M9" si="0">M3+1</f>
        <v>2007</v>
      </c>
      <c r="N4" s="39">
        <v>25891</v>
      </c>
    </row>
    <row r="5" spans="1:14" x14ac:dyDescent="0.3">
      <c r="A5" t="s">
        <v>98</v>
      </c>
      <c r="B5" t="s">
        <v>95</v>
      </c>
      <c r="C5" t="s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M5" s="3">
        <f t="shared" si="0"/>
        <v>2008</v>
      </c>
      <c r="N5" s="39">
        <v>24809</v>
      </c>
    </row>
    <row r="6" spans="1:14" x14ac:dyDescent="0.3">
      <c r="A6" t="s">
        <v>100</v>
      </c>
      <c r="B6" t="s">
        <v>95</v>
      </c>
      <c r="C6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M6" s="3">
        <f t="shared" si="0"/>
        <v>2009</v>
      </c>
      <c r="N6" s="39">
        <v>23226</v>
      </c>
    </row>
    <row r="7" spans="1:14" x14ac:dyDescent="0.3">
      <c r="A7" t="s">
        <v>42</v>
      </c>
      <c r="B7" t="s">
        <v>35</v>
      </c>
      <c r="C7" t="s">
        <v>43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M7" s="3">
        <f t="shared" si="0"/>
        <v>2010</v>
      </c>
      <c r="N7" s="39">
        <v>22470</v>
      </c>
    </row>
    <row r="8" spans="1:14" x14ac:dyDescent="0.3">
      <c r="A8" t="s">
        <v>61</v>
      </c>
      <c r="B8" t="s">
        <v>62</v>
      </c>
      <c r="C8" t="s">
        <v>43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M8" s="3">
        <f t="shared" si="0"/>
        <v>2011</v>
      </c>
      <c r="N8" s="39">
        <v>24843</v>
      </c>
    </row>
    <row r="9" spans="1:14" x14ac:dyDescent="0.3">
      <c r="A9" t="s">
        <v>70</v>
      </c>
      <c r="B9" t="s">
        <v>47</v>
      </c>
      <c r="C9" t="s">
        <v>43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M9" s="3">
        <f t="shared" si="0"/>
        <v>2012</v>
      </c>
      <c r="N9" s="39">
        <v>29941</v>
      </c>
    </row>
    <row r="10" spans="1:14" x14ac:dyDescent="0.3">
      <c r="A10" t="s">
        <v>72</v>
      </c>
      <c r="B10" t="s">
        <v>73</v>
      </c>
      <c r="C10" t="s">
        <v>43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4" x14ac:dyDescent="0.3">
      <c r="A11" t="s">
        <v>76</v>
      </c>
      <c r="B11" t="s">
        <v>59</v>
      </c>
      <c r="C11" t="s">
        <v>43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4" x14ac:dyDescent="0.3">
      <c r="A12" t="s">
        <v>82</v>
      </c>
      <c r="B12" t="s">
        <v>83</v>
      </c>
      <c r="C12" t="s">
        <v>43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4" x14ac:dyDescent="0.3">
      <c r="A13" t="s">
        <v>88</v>
      </c>
      <c r="B13" t="s">
        <v>89</v>
      </c>
      <c r="C13" t="s">
        <v>21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4" x14ac:dyDescent="0.3">
      <c r="A14" t="s">
        <v>82</v>
      </c>
      <c r="B14" t="s">
        <v>83</v>
      </c>
      <c r="C14" t="s">
        <v>38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M14" t="s">
        <v>267</v>
      </c>
      <c r="N14" t="s">
        <v>282</v>
      </c>
    </row>
    <row r="15" spans="1:14" x14ac:dyDescent="0.3">
      <c r="A15" t="s">
        <v>84</v>
      </c>
      <c r="B15" t="s">
        <v>85</v>
      </c>
      <c r="C15" t="s">
        <v>38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M15">
        <v>2006</v>
      </c>
      <c r="N15" s="37">
        <v>943783</v>
      </c>
    </row>
    <row r="16" spans="1:14" x14ac:dyDescent="0.3">
      <c r="A16" t="s">
        <v>90</v>
      </c>
      <c r="B16" t="s">
        <v>91</v>
      </c>
      <c r="C16" t="s">
        <v>38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M16">
        <f t="shared" ref="M16:M21" si="1">M15+1</f>
        <v>2007</v>
      </c>
      <c r="N16" s="37">
        <v>1028317</v>
      </c>
    </row>
    <row r="17" spans="1:14" x14ac:dyDescent="0.3">
      <c r="A17" t="s">
        <v>92</v>
      </c>
      <c r="B17" t="s">
        <v>93</v>
      </c>
      <c r="C17" t="s">
        <v>38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M17">
        <f t="shared" si="1"/>
        <v>2008</v>
      </c>
      <c r="N17" s="37">
        <v>982505</v>
      </c>
    </row>
    <row r="18" spans="1:14" x14ac:dyDescent="0.3">
      <c r="A18" t="s">
        <v>101</v>
      </c>
      <c r="B18" t="s">
        <v>95</v>
      </c>
      <c r="C18" t="s">
        <v>38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M18">
        <f t="shared" si="1"/>
        <v>2009</v>
      </c>
      <c r="N18" s="37">
        <v>836814</v>
      </c>
    </row>
    <row r="19" spans="1:14" x14ac:dyDescent="0.3">
      <c r="A19" t="s">
        <v>103</v>
      </c>
      <c r="B19" t="s">
        <v>104</v>
      </c>
      <c r="C19" t="s">
        <v>38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M19">
        <f t="shared" si="1"/>
        <v>2010</v>
      </c>
      <c r="N19" s="37">
        <v>1246213</v>
      </c>
    </row>
    <row r="20" spans="1:14" x14ac:dyDescent="0.3">
      <c r="A20" t="s">
        <v>31</v>
      </c>
      <c r="B20" t="s">
        <v>32</v>
      </c>
      <c r="C20" t="s">
        <v>33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M20">
        <f t="shared" si="1"/>
        <v>2011</v>
      </c>
      <c r="N20" s="37">
        <v>1068083</v>
      </c>
    </row>
    <row r="21" spans="1:14" x14ac:dyDescent="0.3">
      <c r="A21" t="s">
        <v>42</v>
      </c>
      <c r="B21" t="s">
        <v>35</v>
      </c>
      <c r="C21" t="s">
        <v>13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M21">
        <f t="shared" si="1"/>
        <v>2012</v>
      </c>
      <c r="N21" s="37">
        <v>1475767</v>
      </c>
    </row>
    <row r="22" spans="1:14" x14ac:dyDescent="0.3">
      <c r="A22" t="s">
        <v>39</v>
      </c>
      <c r="B22" t="s">
        <v>40</v>
      </c>
      <c r="C22" t="s">
        <v>17</v>
      </c>
      <c r="D22">
        <v>0</v>
      </c>
      <c r="E22">
        <v>89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4" x14ac:dyDescent="0.3">
      <c r="A23" t="s">
        <v>82</v>
      </c>
      <c r="B23" t="s">
        <v>83</v>
      </c>
      <c r="C23" t="s">
        <v>17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4" x14ac:dyDescent="0.3">
      <c r="A24" t="s">
        <v>82</v>
      </c>
      <c r="B24" t="s">
        <v>83</v>
      </c>
      <c r="C24" t="s">
        <v>14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4" x14ac:dyDescent="0.3">
      <c r="A25" t="s">
        <v>74</v>
      </c>
      <c r="B25" t="s">
        <v>75</v>
      </c>
      <c r="C25" t="s">
        <v>43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4" x14ac:dyDescent="0.3">
      <c r="A26" t="s">
        <v>70</v>
      </c>
      <c r="B26" t="s">
        <v>47</v>
      </c>
      <c r="C26" t="s">
        <v>13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4" x14ac:dyDescent="0.3">
      <c r="A27" t="s">
        <v>90</v>
      </c>
      <c r="B27" t="s">
        <v>91</v>
      </c>
      <c r="C27" t="s">
        <v>17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4" x14ac:dyDescent="0.3">
      <c r="A28" t="s">
        <v>92</v>
      </c>
      <c r="B28" t="s">
        <v>93</v>
      </c>
      <c r="C28" t="s">
        <v>17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4" x14ac:dyDescent="0.3">
      <c r="A29" t="s">
        <v>74</v>
      </c>
      <c r="B29" t="s">
        <v>75</v>
      </c>
      <c r="C29" t="s">
        <v>14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4" x14ac:dyDescent="0.3">
      <c r="A30" t="s">
        <v>88</v>
      </c>
      <c r="B30" t="s">
        <v>89</v>
      </c>
      <c r="C30" t="s">
        <v>14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4" x14ac:dyDescent="0.3">
      <c r="A31" t="s">
        <v>82</v>
      </c>
      <c r="B31" t="s">
        <v>83</v>
      </c>
      <c r="C31" t="s">
        <v>12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4" x14ac:dyDescent="0.3">
      <c r="A32" t="s">
        <v>90</v>
      </c>
      <c r="B32" t="s">
        <v>91</v>
      </c>
      <c r="C32" t="s">
        <v>12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t="s">
        <v>84</v>
      </c>
      <c r="B33" t="s">
        <v>85</v>
      </c>
      <c r="C33" t="s">
        <v>9</v>
      </c>
      <c r="D33">
        <v>2</v>
      </c>
      <c r="E33">
        <v>34</v>
      </c>
      <c r="F33">
        <v>36</v>
      </c>
      <c r="G33">
        <v>2</v>
      </c>
      <c r="H33">
        <v>0</v>
      </c>
      <c r="I33">
        <v>0</v>
      </c>
      <c r="J33">
        <v>0</v>
      </c>
    </row>
    <row r="34" spans="1:10" x14ac:dyDescent="0.3">
      <c r="A34" t="s">
        <v>77</v>
      </c>
      <c r="B34" t="s">
        <v>55</v>
      </c>
      <c r="C34" t="s">
        <v>43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t="s">
        <v>78</v>
      </c>
      <c r="B35" t="s">
        <v>79</v>
      </c>
      <c r="C35" t="s">
        <v>43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t="s">
        <v>84</v>
      </c>
      <c r="B36" t="s">
        <v>85</v>
      </c>
      <c r="C36" t="s">
        <v>43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t="s">
        <v>92</v>
      </c>
      <c r="B37" t="s">
        <v>93</v>
      </c>
      <c r="C37" t="s">
        <v>12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t="s">
        <v>31</v>
      </c>
      <c r="B38" t="s">
        <v>32</v>
      </c>
      <c r="C38" t="s">
        <v>25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t="s">
        <v>58</v>
      </c>
      <c r="B39" t="s">
        <v>59</v>
      </c>
      <c r="C39" t="s">
        <v>25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t="s">
        <v>69</v>
      </c>
      <c r="B40" t="s">
        <v>55</v>
      </c>
      <c r="C40" t="s">
        <v>17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t="s">
        <v>86</v>
      </c>
      <c r="B41" t="s">
        <v>87</v>
      </c>
      <c r="C41" t="s">
        <v>17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t="s">
        <v>76</v>
      </c>
      <c r="B42" t="s">
        <v>59</v>
      </c>
      <c r="C42" t="s">
        <v>12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t="s">
        <v>84</v>
      </c>
      <c r="B43" t="s">
        <v>85</v>
      </c>
      <c r="C43" t="s">
        <v>12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t="s">
        <v>88</v>
      </c>
      <c r="B44" t="s">
        <v>89</v>
      </c>
      <c r="C44" t="s">
        <v>9</v>
      </c>
      <c r="D44">
        <v>5</v>
      </c>
      <c r="E44">
        <v>0</v>
      </c>
      <c r="F44">
        <v>0</v>
      </c>
      <c r="G44">
        <v>2</v>
      </c>
      <c r="H44">
        <v>52</v>
      </c>
      <c r="I44">
        <v>0</v>
      </c>
      <c r="J44">
        <v>0</v>
      </c>
    </row>
    <row r="45" spans="1:10" x14ac:dyDescent="0.3">
      <c r="A45" t="s">
        <v>181</v>
      </c>
      <c r="B45" t="s">
        <v>170</v>
      </c>
      <c r="C45" t="s">
        <v>9</v>
      </c>
      <c r="D45">
        <v>5</v>
      </c>
      <c r="E45">
        <v>7</v>
      </c>
      <c r="F45">
        <v>3</v>
      </c>
      <c r="G45">
        <v>8</v>
      </c>
      <c r="H45">
        <v>0</v>
      </c>
      <c r="I45">
        <v>0</v>
      </c>
      <c r="J45">
        <v>0</v>
      </c>
    </row>
    <row r="46" spans="1:10" x14ac:dyDescent="0.3">
      <c r="A46" t="s">
        <v>56</v>
      </c>
      <c r="B46" t="s">
        <v>57</v>
      </c>
      <c r="C46" t="s">
        <v>43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t="s">
        <v>31</v>
      </c>
      <c r="B47" t="s">
        <v>32</v>
      </c>
      <c r="C47" t="s">
        <v>21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t="s">
        <v>39</v>
      </c>
      <c r="B48" t="s">
        <v>40</v>
      </c>
      <c r="C48" t="s">
        <v>38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t="s">
        <v>86</v>
      </c>
      <c r="B49" t="s">
        <v>87</v>
      </c>
      <c r="C49" t="s">
        <v>38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88</v>
      </c>
      <c r="B50" t="s">
        <v>89</v>
      </c>
      <c r="C50" t="s">
        <v>38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t="s">
        <v>66</v>
      </c>
      <c r="B51" t="s">
        <v>55</v>
      </c>
      <c r="C51" t="s">
        <v>17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t="s">
        <v>71</v>
      </c>
      <c r="B52" t="s">
        <v>55</v>
      </c>
      <c r="C52" t="s">
        <v>17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t="s">
        <v>84</v>
      </c>
      <c r="B53" t="s">
        <v>85</v>
      </c>
      <c r="C53" t="s">
        <v>17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t="s">
        <v>88</v>
      </c>
      <c r="B54" t="s">
        <v>89</v>
      </c>
      <c r="C54" t="s">
        <v>17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42</v>
      </c>
      <c r="B55" t="s">
        <v>35</v>
      </c>
      <c r="C55" t="s">
        <v>14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t="s">
        <v>52</v>
      </c>
      <c r="B56" t="s">
        <v>53</v>
      </c>
      <c r="C56" t="s">
        <v>14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t="s">
        <v>58</v>
      </c>
      <c r="B57" t="s">
        <v>59</v>
      </c>
      <c r="C57" t="s">
        <v>12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39</v>
      </c>
      <c r="B58" t="s">
        <v>40</v>
      </c>
      <c r="C58" t="s">
        <v>41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t="s">
        <v>7</v>
      </c>
      <c r="B59" t="s">
        <v>8</v>
      </c>
      <c r="C59" t="s">
        <v>13</v>
      </c>
      <c r="D59">
        <v>6</v>
      </c>
      <c r="E59">
        <v>15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92</v>
      </c>
      <c r="B60" t="s">
        <v>93</v>
      </c>
      <c r="C60" t="s">
        <v>9</v>
      </c>
      <c r="D60">
        <v>7</v>
      </c>
      <c r="E60">
        <v>2</v>
      </c>
      <c r="F60">
        <v>3</v>
      </c>
      <c r="G60">
        <v>1</v>
      </c>
      <c r="H60">
        <v>8</v>
      </c>
      <c r="I60">
        <v>0</v>
      </c>
      <c r="J60">
        <v>0</v>
      </c>
    </row>
    <row r="61" spans="1:10" x14ac:dyDescent="0.3">
      <c r="A61" t="s">
        <v>140</v>
      </c>
      <c r="B61" t="s">
        <v>141</v>
      </c>
      <c r="C61" t="s">
        <v>96</v>
      </c>
      <c r="D61">
        <v>7</v>
      </c>
      <c r="E61">
        <v>25</v>
      </c>
      <c r="F61">
        <v>25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t="s">
        <v>52</v>
      </c>
      <c r="B62" t="s">
        <v>53</v>
      </c>
      <c r="C62" t="s">
        <v>43</v>
      </c>
      <c r="D62">
        <v>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t="s">
        <v>76</v>
      </c>
      <c r="B63" t="s">
        <v>59</v>
      </c>
      <c r="C63" t="s">
        <v>9</v>
      </c>
      <c r="D63">
        <v>10</v>
      </c>
      <c r="E63">
        <v>10</v>
      </c>
      <c r="F63">
        <v>12</v>
      </c>
      <c r="G63">
        <v>13</v>
      </c>
      <c r="H63">
        <v>36</v>
      </c>
      <c r="I63">
        <v>34</v>
      </c>
      <c r="J63">
        <v>0</v>
      </c>
    </row>
    <row r="64" spans="1:10" x14ac:dyDescent="0.3">
      <c r="A64" t="s">
        <v>179</v>
      </c>
      <c r="B64" t="s">
        <v>180</v>
      </c>
      <c r="C64" t="s">
        <v>9</v>
      </c>
      <c r="D64">
        <v>10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t="s">
        <v>77</v>
      </c>
      <c r="B65" t="s">
        <v>55</v>
      </c>
      <c r="C65" t="s">
        <v>12</v>
      </c>
      <c r="D65">
        <v>10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t="s">
        <v>78</v>
      </c>
      <c r="B66" t="s">
        <v>79</v>
      </c>
      <c r="C66" t="s">
        <v>12</v>
      </c>
      <c r="D66">
        <v>10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t="s">
        <v>86</v>
      </c>
      <c r="B67" t="s">
        <v>87</v>
      </c>
      <c r="C67" t="s">
        <v>12</v>
      </c>
      <c r="D67">
        <v>10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t="s">
        <v>165</v>
      </c>
      <c r="B68" t="s">
        <v>166</v>
      </c>
      <c r="C68" t="s">
        <v>9</v>
      </c>
      <c r="D68">
        <v>12</v>
      </c>
      <c r="E68">
        <v>12</v>
      </c>
      <c r="F68">
        <v>9</v>
      </c>
      <c r="G68">
        <v>10</v>
      </c>
      <c r="H68">
        <v>13</v>
      </c>
      <c r="I68">
        <v>13</v>
      </c>
      <c r="J68">
        <v>15</v>
      </c>
    </row>
    <row r="69" spans="1:10" x14ac:dyDescent="0.3">
      <c r="A69" t="s">
        <v>77</v>
      </c>
      <c r="B69" t="s">
        <v>55</v>
      </c>
      <c r="C69" t="s">
        <v>17</v>
      </c>
      <c r="D69">
        <v>13</v>
      </c>
      <c r="E69">
        <v>10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t="s">
        <v>78</v>
      </c>
      <c r="B70" t="s">
        <v>79</v>
      </c>
      <c r="C70" t="s">
        <v>17</v>
      </c>
      <c r="D70">
        <v>13</v>
      </c>
      <c r="E70">
        <v>10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t="s">
        <v>137</v>
      </c>
      <c r="B71" t="s">
        <v>138</v>
      </c>
      <c r="C71" t="s">
        <v>96</v>
      </c>
      <c r="D71">
        <v>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t="s">
        <v>77</v>
      </c>
      <c r="B72" t="s">
        <v>55</v>
      </c>
      <c r="C72" t="s">
        <v>9</v>
      </c>
      <c r="D72">
        <v>15</v>
      </c>
      <c r="E72">
        <v>15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t="s">
        <v>78</v>
      </c>
      <c r="B73" t="s">
        <v>79</v>
      </c>
      <c r="C73" t="s">
        <v>9</v>
      </c>
      <c r="D73">
        <v>15</v>
      </c>
      <c r="E73">
        <v>15</v>
      </c>
      <c r="F73">
        <v>7</v>
      </c>
      <c r="G73">
        <v>8</v>
      </c>
      <c r="H73">
        <v>27</v>
      </c>
      <c r="I73">
        <v>12</v>
      </c>
      <c r="J73">
        <v>177</v>
      </c>
    </row>
    <row r="74" spans="1:10" x14ac:dyDescent="0.3">
      <c r="A74" t="s">
        <v>159</v>
      </c>
      <c r="B74" t="s">
        <v>160</v>
      </c>
      <c r="C74" t="s">
        <v>9</v>
      </c>
      <c r="D74">
        <v>15</v>
      </c>
      <c r="E74">
        <v>10</v>
      </c>
      <c r="F74">
        <v>8</v>
      </c>
      <c r="G74">
        <v>10</v>
      </c>
      <c r="H74">
        <v>25</v>
      </c>
      <c r="I74">
        <v>10</v>
      </c>
      <c r="J74">
        <v>3</v>
      </c>
    </row>
    <row r="75" spans="1:10" x14ac:dyDescent="0.3">
      <c r="A75" t="s">
        <v>173</v>
      </c>
      <c r="B75" t="s">
        <v>174</v>
      </c>
      <c r="C75" t="s">
        <v>9</v>
      </c>
      <c r="D75">
        <v>15</v>
      </c>
      <c r="E75">
        <v>17</v>
      </c>
      <c r="F75">
        <v>15</v>
      </c>
      <c r="G75">
        <v>20</v>
      </c>
      <c r="H75">
        <v>35</v>
      </c>
      <c r="I75">
        <v>24</v>
      </c>
      <c r="J75">
        <v>15</v>
      </c>
    </row>
    <row r="76" spans="1:10" x14ac:dyDescent="0.3">
      <c r="A76" t="s">
        <v>34</v>
      </c>
      <c r="B76" t="s">
        <v>35</v>
      </c>
      <c r="C76" t="s">
        <v>25</v>
      </c>
      <c r="D76">
        <v>15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t="s">
        <v>18</v>
      </c>
      <c r="B77" t="s">
        <v>19</v>
      </c>
      <c r="C77" t="s">
        <v>22</v>
      </c>
      <c r="D77">
        <v>15</v>
      </c>
      <c r="E77">
        <v>8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t="s">
        <v>139</v>
      </c>
      <c r="B78" t="s">
        <v>138</v>
      </c>
      <c r="C78" t="s">
        <v>96</v>
      </c>
      <c r="D78">
        <v>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t="s">
        <v>157</v>
      </c>
      <c r="B79" t="s">
        <v>158</v>
      </c>
      <c r="C79" t="s">
        <v>9</v>
      </c>
      <c r="D79">
        <v>19</v>
      </c>
      <c r="E79">
        <v>41</v>
      </c>
      <c r="F79">
        <v>40</v>
      </c>
      <c r="G79">
        <v>23</v>
      </c>
      <c r="H79">
        <v>70</v>
      </c>
      <c r="I79">
        <v>22</v>
      </c>
      <c r="J79">
        <v>25</v>
      </c>
    </row>
    <row r="80" spans="1:10" x14ac:dyDescent="0.3">
      <c r="A80" t="s">
        <v>163</v>
      </c>
      <c r="B80" t="s">
        <v>164</v>
      </c>
      <c r="C80" t="s">
        <v>9</v>
      </c>
      <c r="D80">
        <v>20</v>
      </c>
      <c r="E80">
        <v>25</v>
      </c>
      <c r="F80">
        <v>60</v>
      </c>
      <c r="G80">
        <v>45</v>
      </c>
      <c r="H80">
        <v>55</v>
      </c>
      <c r="I80">
        <v>130</v>
      </c>
      <c r="J80">
        <v>0</v>
      </c>
    </row>
    <row r="81" spans="1:10" x14ac:dyDescent="0.3">
      <c r="A81" t="s">
        <v>167</v>
      </c>
      <c r="B81" t="s">
        <v>168</v>
      </c>
      <c r="C81" t="s">
        <v>9</v>
      </c>
      <c r="D81">
        <v>23</v>
      </c>
      <c r="E81">
        <v>20</v>
      </c>
      <c r="F81">
        <v>15</v>
      </c>
      <c r="G81">
        <v>10</v>
      </c>
      <c r="H81">
        <v>13</v>
      </c>
      <c r="I81">
        <v>20</v>
      </c>
      <c r="J81">
        <v>15</v>
      </c>
    </row>
    <row r="82" spans="1:10" x14ac:dyDescent="0.3">
      <c r="A82" t="s">
        <v>23</v>
      </c>
      <c r="B82" t="s">
        <v>24</v>
      </c>
      <c r="C82" t="s">
        <v>25</v>
      </c>
      <c r="D82">
        <v>23</v>
      </c>
      <c r="E82">
        <v>15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t="s">
        <v>36</v>
      </c>
      <c r="B83" t="s">
        <v>37</v>
      </c>
      <c r="C83" t="s">
        <v>38</v>
      </c>
      <c r="D83">
        <v>23</v>
      </c>
      <c r="E83">
        <v>35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">
      <c r="A84" t="s">
        <v>34</v>
      </c>
      <c r="B84" t="s">
        <v>35</v>
      </c>
      <c r="C84" t="s">
        <v>14</v>
      </c>
      <c r="D84">
        <v>23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">
      <c r="A85" t="s">
        <v>69</v>
      </c>
      <c r="B85" t="s">
        <v>55</v>
      </c>
      <c r="C85" t="s">
        <v>12</v>
      </c>
      <c r="D85">
        <v>24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t="s">
        <v>121</v>
      </c>
      <c r="B86" t="s">
        <v>118</v>
      </c>
      <c r="C86" t="s">
        <v>96</v>
      </c>
      <c r="D86">
        <v>24</v>
      </c>
      <c r="E86">
        <v>21</v>
      </c>
      <c r="F86">
        <v>3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t="s">
        <v>175</v>
      </c>
      <c r="B87" t="s">
        <v>176</v>
      </c>
      <c r="C87" t="s">
        <v>9</v>
      </c>
      <c r="D87">
        <v>25</v>
      </c>
      <c r="E87">
        <v>30</v>
      </c>
      <c r="F87">
        <v>10</v>
      </c>
      <c r="G87">
        <v>20</v>
      </c>
      <c r="H87">
        <v>43</v>
      </c>
      <c r="I87">
        <v>55</v>
      </c>
      <c r="J87">
        <v>10</v>
      </c>
    </row>
    <row r="88" spans="1:10" x14ac:dyDescent="0.3">
      <c r="A88" t="s">
        <v>72</v>
      </c>
      <c r="B88" t="s">
        <v>73</v>
      </c>
      <c r="C88" t="s">
        <v>17</v>
      </c>
      <c r="D88">
        <v>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t="s">
        <v>48</v>
      </c>
      <c r="B89" t="s">
        <v>49</v>
      </c>
      <c r="C89" t="s">
        <v>12</v>
      </c>
      <c r="D89">
        <v>25</v>
      </c>
      <c r="E89">
        <v>30</v>
      </c>
      <c r="F89">
        <v>23</v>
      </c>
      <c r="G89">
        <v>22</v>
      </c>
      <c r="H89">
        <v>35</v>
      </c>
      <c r="I89">
        <v>135</v>
      </c>
      <c r="J89">
        <v>142</v>
      </c>
    </row>
    <row r="90" spans="1:10" x14ac:dyDescent="0.3">
      <c r="A90" t="s">
        <v>18</v>
      </c>
      <c r="B90" t="s">
        <v>19</v>
      </c>
      <c r="C90" t="s">
        <v>20</v>
      </c>
      <c r="D90">
        <v>26</v>
      </c>
      <c r="E90">
        <v>13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t="s">
        <v>52</v>
      </c>
      <c r="B91" t="s">
        <v>53</v>
      </c>
      <c r="C91" t="s">
        <v>21</v>
      </c>
      <c r="D91">
        <v>26</v>
      </c>
      <c r="E91">
        <v>25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t="s">
        <v>46</v>
      </c>
      <c r="B92" t="s">
        <v>47</v>
      </c>
      <c r="C92" t="s">
        <v>43</v>
      </c>
      <c r="D92">
        <v>28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t="s">
        <v>50</v>
      </c>
      <c r="B93" t="s">
        <v>51</v>
      </c>
      <c r="C93" t="s">
        <v>21</v>
      </c>
      <c r="D93">
        <v>30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t="s">
        <v>72</v>
      </c>
      <c r="B94" t="s">
        <v>73</v>
      </c>
      <c r="C94" t="s">
        <v>9</v>
      </c>
      <c r="D94">
        <v>32</v>
      </c>
      <c r="E94">
        <v>20</v>
      </c>
      <c r="F94">
        <v>24</v>
      </c>
      <c r="G94">
        <v>49</v>
      </c>
      <c r="H94">
        <v>40</v>
      </c>
      <c r="I94">
        <v>69</v>
      </c>
      <c r="J94">
        <v>59</v>
      </c>
    </row>
    <row r="95" spans="1:10" x14ac:dyDescent="0.3">
      <c r="A95" t="s">
        <v>48</v>
      </c>
      <c r="B95" t="s">
        <v>49</v>
      </c>
      <c r="C95" t="s">
        <v>17</v>
      </c>
      <c r="D95">
        <v>33</v>
      </c>
      <c r="E95">
        <v>15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t="s">
        <v>177</v>
      </c>
      <c r="B96" t="s">
        <v>178</v>
      </c>
      <c r="C96" t="s">
        <v>9</v>
      </c>
      <c r="D96">
        <v>35</v>
      </c>
      <c r="E96">
        <v>55</v>
      </c>
      <c r="F96">
        <v>2</v>
      </c>
      <c r="G96">
        <v>10</v>
      </c>
      <c r="H96">
        <v>62</v>
      </c>
      <c r="I96">
        <v>57</v>
      </c>
      <c r="J96">
        <v>315</v>
      </c>
    </row>
    <row r="97" spans="1:10" x14ac:dyDescent="0.3">
      <c r="A97" t="s">
        <v>29</v>
      </c>
      <c r="B97" t="s">
        <v>30</v>
      </c>
      <c r="C97" t="s">
        <v>17</v>
      </c>
      <c r="D97">
        <v>35</v>
      </c>
      <c r="E97">
        <v>14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t="s">
        <v>58</v>
      </c>
      <c r="B98" t="s">
        <v>59</v>
      </c>
      <c r="C98" t="s">
        <v>17</v>
      </c>
      <c r="D98">
        <v>35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 t="s">
        <v>60</v>
      </c>
      <c r="B99" t="s">
        <v>59</v>
      </c>
      <c r="C99" t="s">
        <v>17</v>
      </c>
      <c r="D99">
        <v>35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t="s">
        <v>63</v>
      </c>
      <c r="B100" t="s">
        <v>59</v>
      </c>
      <c r="C100" t="s">
        <v>17</v>
      </c>
      <c r="D100">
        <v>35</v>
      </c>
      <c r="E100">
        <v>23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 t="s">
        <v>125</v>
      </c>
      <c r="B101" t="s">
        <v>123</v>
      </c>
      <c r="C101" t="s">
        <v>96</v>
      </c>
      <c r="D101">
        <v>35</v>
      </c>
      <c r="E101">
        <v>85</v>
      </c>
      <c r="F101">
        <v>5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t="s">
        <v>129</v>
      </c>
      <c r="B102" t="s">
        <v>128</v>
      </c>
      <c r="C102" t="s">
        <v>96</v>
      </c>
      <c r="D102">
        <v>35</v>
      </c>
      <c r="E102">
        <v>35</v>
      </c>
      <c r="F102">
        <v>5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t="s">
        <v>48</v>
      </c>
      <c r="B103" t="s">
        <v>49</v>
      </c>
      <c r="C103" t="s">
        <v>9</v>
      </c>
      <c r="D103">
        <v>36</v>
      </c>
      <c r="E103">
        <v>40</v>
      </c>
      <c r="F103">
        <v>45</v>
      </c>
      <c r="G103">
        <v>141</v>
      </c>
      <c r="H103">
        <v>156</v>
      </c>
      <c r="I103">
        <v>73</v>
      </c>
      <c r="J103">
        <v>39</v>
      </c>
    </row>
    <row r="104" spans="1:10" x14ac:dyDescent="0.3">
      <c r="A104" t="s">
        <v>74</v>
      </c>
      <c r="B104" t="s">
        <v>75</v>
      </c>
      <c r="C104" t="s">
        <v>9</v>
      </c>
      <c r="D104">
        <v>36</v>
      </c>
      <c r="E104">
        <v>49</v>
      </c>
      <c r="F104">
        <v>38</v>
      </c>
      <c r="G104">
        <v>69</v>
      </c>
      <c r="H104">
        <v>39</v>
      </c>
      <c r="I104">
        <v>46</v>
      </c>
      <c r="J104">
        <v>8</v>
      </c>
    </row>
    <row r="105" spans="1:10" x14ac:dyDescent="0.3">
      <c r="A105" t="s">
        <v>65</v>
      </c>
      <c r="B105" t="s">
        <v>59</v>
      </c>
      <c r="C105" t="s">
        <v>9</v>
      </c>
      <c r="D105">
        <v>38</v>
      </c>
      <c r="E105">
        <v>16</v>
      </c>
      <c r="F105">
        <v>36</v>
      </c>
      <c r="G105">
        <v>79</v>
      </c>
      <c r="H105">
        <v>23</v>
      </c>
      <c r="I105">
        <v>78</v>
      </c>
      <c r="J105">
        <v>124</v>
      </c>
    </row>
    <row r="106" spans="1:10" x14ac:dyDescent="0.3">
      <c r="A106" t="s">
        <v>153</v>
      </c>
      <c r="B106" t="s">
        <v>154</v>
      </c>
      <c r="C106" t="s">
        <v>9</v>
      </c>
      <c r="D106">
        <v>40</v>
      </c>
      <c r="E106">
        <v>30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 t="s">
        <v>66</v>
      </c>
      <c r="B107" t="s">
        <v>55</v>
      </c>
      <c r="C107" t="s">
        <v>12</v>
      </c>
      <c r="D107">
        <v>40</v>
      </c>
      <c r="E107">
        <v>33</v>
      </c>
      <c r="F107">
        <v>45</v>
      </c>
      <c r="G107">
        <v>20</v>
      </c>
      <c r="H107">
        <v>15</v>
      </c>
      <c r="I107">
        <v>55</v>
      </c>
      <c r="J107">
        <v>46</v>
      </c>
    </row>
    <row r="108" spans="1:10" x14ac:dyDescent="0.3">
      <c r="A108" t="s">
        <v>72</v>
      </c>
      <c r="B108" t="s">
        <v>73</v>
      </c>
      <c r="C108" t="s">
        <v>12</v>
      </c>
      <c r="D108">
        <v>40</v>
      </c>
      <c r="E108">
        <v>32</v>
      </c>
      <c r="F108">
        <v>45</v>
      </c>
      <c r="G108">
        <v>13</v>
      </c>
      <c r="H108">
        <v>25</v>
      </c>
      <c r="I108">
        <v>66</v>
      </c>
      <c r="J108">
        <v>45</v>
      </c>
    </row>
    <row r="109" spans="1:10" x14ac:dyDescent="0.3">
      <c r="A109" t="s">
        <v>50</v>
      </c>
      <c r="B109" t="s">
        <v>51</v>
      </c>
      <c r="C109" t="s">
        <v>9</v>
      </c>
      <c r="D109">
        <v>41</v>
      </c>
      <c r="E109">
        <v>106</v>
      </c>
      <c r="F109">
        <v>81</v>
      </c>
      <c r="G109">
        <v>215</v>
      </c>
      <c r="H109">
        <v>255</v>
      </c>
      <c r="I109">
        <v>72</v>
      </c>
      <c r="J109">
        <v>21</v>
      </c>
    </row>
    <row r="110" spans="1:10" x14ac:dyDescent="0.3">
      <c r="A110" t="s">
        <v>66</v>
      </c>
      <c r="B110" t="s">
        <v>55</v>
      </c>
      <c r="C110" t="s">
        <v>9</v>
      </c>
      <c r="D110">
        <v>41</v>
      </c>
      <c r="E110">
        <v>68</v>
      </c>
      <c r="F110">
        <v>183</v>
      </c>
      <c r="G110">
        <v>73</v>
      </c>
      <c r="H110">
        <v>79</v>
      </c>
      <c r="I110">
        <v>314</v>
      </c>
      <c r="J110">
        <v>156</v>
      </c>
    </row>
    <row r="111" spans="1:10" x14ac:dyDescent="0.3">
      <c r="A111" t="s">
        <v>52</v>
      </c>
      <c r="B111" t="s">
        <v>53</v>
      </c>
      <c r="C111" t="s">
        <v>17</v>
      </c>
      <c r="D111">
        <v>42</v>
      </c>
      <c r="E111">
        <v>47</v>
      </c>
      <c r="F111">
        <v>12</v>
      </c>
      <c r="G111">
        <v>7</v>
      </c>
      <c r="H111">
        <v>71</v>
      </c>
      <c r="I111">
        <v>29</v>
      </c>
      <c r="J111">
        <v>31</v>
      </c>
    </row>
    <row r="112" spans="1:10" x14ac:dyDescent="0.3">
      <c r="A112" t="s">
        <v>60</v>
      </c>
      <c r="B112" t="s">
        <v>59</v>
      </c>
      <c r="C112" t="s">
        <v>9</v>
      </c>
      <c r="D112">
        <v>45</v>
      </c>
      <c r="E112">
        <v>3</v>
      </c>
      <c r="F112">
        <v>10</v>
      </c>
      <c r="G112">
        <v>21</v>
      </c>
      <c r="H112">
        <v>1</v>
      </c>
      <c r="I112">
        <v>40</v>
      </c>
      <c r="J112">
        <v>41</v>
      </c>
    </row>
    <row r="113" spans="1:10" x14ac:dyDescent="0.3">
      <c r="A113" t="s">
        <v>161</v>
      </c>
      <c r="B113" t="s">
        <v>162</v>
      </c>
      <c r="C113" t="s">
        <v>9</v>
      </c>
      <c r="D113">
        <v>45</v>
      </c>
      <c r="E113">
        <v>50</v>
      </c>
      <c r="F113">
        <v>80</v>
      </c>
      <c r="G113">
        <v>50</v>
      </c>
      <c r="H113">
        <v>120</v>
      </c>
      <c r="I113">
        <v>103</v>
      </c>
      <c r="J113">
        <v>69</v>
      </c>
    </row>
    <row r="114" spans="1:10" x14ac:dyDescent="0.3">
      <c r="A114" t="s">
        <v>65</v>
      </c>
      <c r="B114" t="s">
        <v>59</v>
      </c>
      <c r="C114" t="s">
        <v>12</v>
      </c>
      <c r="D114">
        <v>45</v>
      </c>
      <c r="E114">
        <v>35</v>
      </c>
      <c r="F114">
        <v>30</v>
      </c>
      <c r="G114">
        <v>20</v>
      </c>
      <c r="H114">
        <v>15</v>
      </c>
      <c r="I114">
        <v>50</v>
      </c>
      <c r="J114">
        <v>45</v>
      </c>
    </row>
    <row r="115" spans="1:10" x14ac:dyDescent="0.3">
      <c r="A115" t="s">
        <v>31</v>
      </c>
      <c r="B115" t="s">
        <v>32</v>
      </c>
      <c r="C115" t="s">
        <v>9</v>
      </c>
      <c r="D115">
        <v>51</v>
      </c>
      <c r="E115">
        <v>78</v>
      </c>
      <c r="F115">
        <v>193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t="s">
        <v>48</v>
      </c>
      <c r="B116" t="s">
        <v>49</v>
      </c>
      <c r="C116" t="s">
        <v>21</v>
      </c>
      <c r="D116">
        <v>53</v>
      </c>
      <c r="E116">
        <v>21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 t="s">
        <v>31</v>
      </c>
      <c r="B117" t="s">
        <v>32</v>
      </c>
      <c r="C117" t="s">
        <v>17</v>
      </c>
      <c r="D117">
        <v>53</v>
      </c>
      <c r="E117">
        <v>28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 t="s">
        <v>124</v>
      </c>
      <c r="B118" t="s">
        <v>123</v>
      </c>
      <c r="C118" t="s">
        <v>96</v>
      </c>
      <c r="D118">
        <v>54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 t="s">
        <v>50</v>
      </c>
      <c r="B119" t="s">
        <v>51</v>
      </c>
      <c r="C119" t="s">
        <v>17</v>
      </c>
      <c r="D119">
        <v>55</v>
      </c>
      <c r="E119">
        <v>45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 t="s">
        <v>65</v>
      </c>
      <c r="B120" t="s">
        <v>59</v>
      </c>
      <c r="C120" t="s">
        <v>17</v>
      </c>
      <c r="D120">
        <v>55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 t="s">
        <v>102</v>
      </c>
      <c r="B121" t="s">
        <v>95</v>
      </c>
      <c r="C121" t="s">
        <v>96</v>
      </c>
      <c r="D121">
        <v>55</v>
      </c>
      <c r="E121">
        <v>35</v>
      </c>
      <c r="F121">
        <v>7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t="s">
        <v>29</v>
      </c>
      <c r="B122" t="s">
        <v>30</v>
      </c>
      <c r="C122" t="s">
        <v>21</v>
      </c>
      <c r="D122">
        <v>57</v>
      </c>
      <c r="E122">
        <v>35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t="s">
        <v>29</v>
      </c>
      <c r="B123" t="s">
        <v>30</v>
      </c>
      <c r="C123" t="s">
        <v>9</v>
      </c>
      <c r="D123">
        <v>58</v>
      </c>
      <c r="E123">
        <v>75</v>
      </c>
      <c r="F123">
        <v>39</v>
      </c>
      <c r="G123">
        <v>16</v>
      </c>
      <c r="H123">
        <v>21</v>
      </c>
      <c r="I123">
        <v>60</v>
      </c>
      <c r="J123">
        <v>64</v>
      </c>
    </row>
    <row r="124" spans="1:10" x14ac:dyDescent="0.3">
      <c r="A124" t="s">
        <v>71</v>
      </c>
      <c r="B124" t="s">
        <v>55</v>
      </c>
      <c r="C124" t="s">
        <v>9</v>
      </c>
      <c r="D124">
        <v>60</v>
      </c>
      <c r="E124">
        <v>68</v>
      </c>
      <c r="F124">
        <v>315</v>
      </c>
      <c r="G124">
        <v>56</v>
      </c>
      <c r="H124">
        <v>132</v>
      </c>
      <c r="I124">
        <v>160</v>
      </c>
      <c r="J124">
        <v>168</v>
      </c>
    </row>
    <row r="125" spans="1:10" x14ac:dyDescent="0.3">
      <c r="A125" t="s">
        <v>99</v>
      </c>
      <c r="B125" t="s">
        <v>95</v>
      </c>
      <c r="C125" t="s">
        <v>96</v>
      </c>
      <c r="D125">
        <v>60</v>
      </c>
      <c r="E125">
        <v>5</v>
      </c>
      <c r="F125">
        <v>1</v>
      </c>
      <c r="G125">
        <v>0</v>
      </c>
      <c r="H125">
        <v>0</v>
      </c>
      <c r="I125">
        <v>0</v>
      </c>
      <c r="J125">
        <v>0</v>
      </c>
    </row>
    <row r="126" spans="1:10" x14ac:dyDescent="0.3">
      <c r="A126" t="s">
        <v>70</v>
      </c>
      <c r="B126" t="s">
        <v>47</v>
      </c>
      <c r="C126" t="s">
        <v>9</v>
      </c>
      <c r="D126">
        <v>61</v>
      </c>
      <c r="E126">
        <v>97</v>
      </c>
      <c r="F126">
        <v>29</v>
      </c>
      <c r="G126">
        <v>91</v>
      </c>
      <c r="H126">
        <v>62</v>
      </c>
      <c r="I126">
        <v>419</v>
      </c>
      <c r="J126">
        <v>37</v>
      </c>
    </row>
    <row r="127" spans="1:10" x14ac:dyDescent="0.3">
      <c r="A127" t="s">
        <v>58</v>
      </c>
      <c r="B127" t="s">
        <v>59</v>
      </c>
      <c r="C127" t="s">
        <v>9</v>
      </c>
      <c r="D127">
        <v>62</v>
      </c>
      <c r="E127">
        <v>36</v>
      </c>
      <c r="F127">
        <v>46</v>
      </c>
      <c r="G127">
        <v>34</v>
      </c>
      <c r="H127">
        <v>1</v>
      </c>
      <c r="I127">
        <v>1</v>
      </c>
      <c r="J127">
        <v>4</v>
      </c>
    </row>
    <row r="128" spans="1:10" x14ac:dyDescent="0.3">
      <c r="A128" t="s">
        <v>171</v>
      </c>
      <c r="B128" t="s">
        <v>172</v>
      </c>
      <c r="C128" t="s">
        <v>9</v>
      </c>
      <c r="D128">
        <v>65</v>
      </c>
      <c r="E128">
        <v>50</v>
      </c>
      <c r="F128">
        <v>95</v>
      </c>
      <c r="G128">
        <v>89</v>
      </c>
      <c r="H128">
        <v>66</v>
      </c>
      <c r="I128">
        <v>30</v>
      </c>
      <c r="J128">
        <v>0</v>
      </c>
    </row>
    <row r="129" spans="1:10" x14ac:dyDescent="0.3">
      <c r="A129" t="s">
        <v>29</v>
      </c>
      <c r="B129" t="s">
        <v>30</v>
      </c>
      <c r="C129" t="s">
        <v>12</v>
      </c>
      <c r="D129">
        <v>66</v>
      </c>
      <c r="E129">
        <v>35</v>
      </c>
      <c r="F129">
        <v>12</v>
      </c>
      <c r="G129">
        <v>15</v>
      </c>
      <c r="H129">
        <v>33</v>
      </c>
      <c r="I129">
        <v>50</v>
      </c>
      <c r="J129">
        <v>45</v>
      </c>
    </row>
    <row r="130" spans="1:10" x14ac:dyDescent="0.3">
      <c r="A130" t="s">
        <v>74</v>
      </c>
      <c r="B130" t="s">
        <v>75</v>
      </c>
      <c r="C130" t="s">
        <v>12</v>
      </c>
      <c r="D130">
        <v>68</v>
      </c>
      <c r="E130">
        <v>55</v>
      </c>
      <c r="F130">
        <v>20</v>
      </c>
      <c r="G130">
        <v>25</v>
      </c>
      <c r="H130">
        <v>30</v>
      </c>
      <c r="I130">
        <v>44</v>
      </c>
      <c r="J130">
        <v>10</v>
      </c>
    </row>
    <row r="131" spans="1:10" x14ac:dyDescent="0.3">
      <c r="A131" t="s">
        <v>151</v>
      </c>
      <c r="B131" t="s">
        <v>152</v>
      </c>
      <c r="C131" t="s">
        <v>9</v>
      </c>
      <c r="D131">
        <v>70</v>
      </c>
      <c r="E131">
        <v>55</v>
      </c>
      <c r="F131">
        <v>30</v>
      </c>
      <c r="G131">
        <v>55</v>
      </c>
      <c r="H131">
        <v>168</v>
      </c>
      <c r="I131">
        <v>213</v>
      </c>
      <c r="J131">
        <v>230</v>
      </c>
    </row>
    <row r="132" spans="1:10" x14ac:dyDescent="0.3">
      <c r="A132" t="s">
        <v>127</v>
      </c>
      <c r="B132" t="s">
        <v>128</v>
      </c>
      <c r="C132" t="s">
        <v>96</v>
      </c>
      <c r="D132">
        <v>70</v>
      </c>
      <c r="E132">
        <v>7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 t="s">
        <v>18</v>
      </c>
      <c r="B133" t="s">
        <v>19</v>
      </c>
      <c r="C133" t="s">
        <v>17</v>
      </c>
      <c r="D133">
        <v>76</v>
      </c>
      <c r="E133">
        <v>55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 t="s">
        <v>116</v>
      </c>
      <c r="B134" t="s">
        <v>113</v>
      </c>
      <c r="C134" t="s">
        <v>96</v>
      </c>
      <c r="D134">
        <v>79</v>
      </c>
      <c r="E134">
        <v>29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 t="s">
        <v>54</v>
      </c>
      <c r="B135" t="s">
        <v>55</v>
      </c>
      <c r="C135" t="s">
        <v>9</v>
      </c>
      <c r="D135">
        <v>80</v>
      </c>
      <c r="E135">
        <v>71</v>
      </c>
      <c r="F135">
        <v>200</v>
      </c>
      <c r="G135">
        <v>114</v>
      </c>
      <c r="H135">
        <v>210</v>
      </c>
      <c r="I135">
        <v>116</v>
      </c>
      <c r="J135">
        <v>408</v>
      </c>
    </row>
    <row r="136" spans="1:10" x14ac:dyDescent="0.3">
      <c r="A136" t="s">
        <v>117</v>
      </c>
      <c r="B136" t="s">
        <v>118</v>
      </c>
      <c r="C136" t="s">
        <v>96</v>
      </c>
      <c r="D136">
        <v>82</v>
      </c>
      <c r="E136">
        <v>33</v>
      </c>
      <c r="F136">
        <v>20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t="s">
        <v>169</v>
      </c>
      <c r="B137" t="s">
        <v>170</v>
      </c>
      <c r="C137" t="s">
        <v>9</v>
      </c>
      <c r="D137">
        <v>85</v>
      </c>
      <c r="E137">
        <v>34</v>
      </c>
      <c r="F137">
        <v>33</v>
      </c>
      <c r="G137">
        <v>10</v>
      </c>
      <c r="H137">
        <v>0</v>
      </c>
      <c r="I137">
        <v>0</v>
      </c>
      <c r="J137">
        <v>0</v>
      </c>
    </row>
    <row r="138" spans="1:10" x14ac:dyDescent="0.3">
      <c r="A138" t="s">
        <v>70</v>
      </c>
      <c r="B138" t="s">
        <v>47</v>
      </c>
      <c r="C138" t="s">
        <v>12</v>
      </c>
      <c r="D138">
        <v>87</v>
      </c>
      <c r="E138">
        <v>65</v>
      </c>
      <c r="F138">
        <v>50</v>
      </c>
      <c r="G138">
        <v>67</v>
      </c>
      <c r="H138">
        <v>50</v>
      </c>
      <c r="I138">
        <v>35</v>
      </c>
      <c r="J138">
        <v>55</v>
      </c>
    </row>
    <row r="139" spans="1:10" x14ac:dyDescent="0.3">
      <c r="A139" t="s">
        <v>120</v>
      </c>
      <c r="B139" t="s">
        <v>118</v>
      </c>
      <c r="C139" t="s">
        <v>96</v>
      </c>
      <c r="D139">
        <v>90</v>
      </c>
      <c r="E139">
        <v>35</v>
      </c>
      <c r="F139">
        <v>15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t="s">
        <v>56</v>
      </c>
      <c r="B140" t="s">
        <v>57</v>
      </c>
      <c r="C140" t="s">
        <v>9</v>
      </c>
      <c r="D140">
        <v>94</v>
      </c>
      <c r="E140">
        <v>138</v>
      </c>
      <c r="F140">
        <v>124</v>
      </c>
      <c r="G140">
        <v>72</v>
      </c>
      <c r="H140">
        <v>10</v>
      </c>
      <c r="I140">
        <v>0</v>
      </c>
      <c r="J140">
        <v>0</v>
      </c>
    </row>
    <row r="141" spans="1:10" x14ac:dyDescent="0.3">
      <c r="A141" t="s">
        <v>122</v>
      </c>
      <c r="B141" t="s">
        <v>123</v>
      </c>
      <c r="C141" t="s">
        <v>96</v>
      </c>
      <c r="D141">
        <v>103</v>
      </c>
      <c r="E141">
        <v>77</v>
      </c>
      <c r="F141">
        <v>4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 t="s">
        <v>115</v>
      </c>
      <c r="B142" t="s">
        <v>113</v>
      </c>
      <c r="C142" t="s">
        <v>96</v>
      </c>
      <c r="D142">
        <v>109</v>
      </c>
      <c r="E142">
        <v>102</v>
      </c>
      <c r="F142">
        <v>32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t="s">
        <v>18</v>
      </c>
      <c r="B143" t="s">
        <v>19</v>
      </c>
      <c r="C143" t="s">
        <v>9</v>
      </c>
      <c r="D143">
        <v>112</v>
      </c>
      <c r="E143">
        <v>98</v>
      </c>
      <c r="F143">
        <v>92</v>
      </c>
      <c r="G143">
        <v>235</v>
      </c>
      <c r="H143">
        <v>176</v>
      </c>
      <c r="I143">
        <v>88</v>
      </c>
      <c r="J143">
        <v>28</v>
      </c>
    </row>
    <row r="144" spans="1:10" x14ac:dyDescent="0.3">
      <c r="A144" t="s">
        <v>39</v>
      </c>
      <c r="B144" t="s">
        <v>40</v>
      </c>
      <c r="C144" t="s">
        <v>9</v>
      </c>
      <c r="D144">
        <v>116</v>
      </c>
      <c r="E144">
        <v>164</v>
      </c>
      <c r="F144">
        <v>319</v>
      </c>
      <c r="G144">
        <v>251</v>
      </c>
      <c r="H144">
        <v>207</v>
      </c>
      <c r="I144">
        <v>182</v>
      </c>
      <c r="J144">
        <v>54</v>
      </c>
    </row>
    <row r="145" spans="1:10" x14ac:dyDescent="0.3">
      <c r="A145" t="s">
        <v>107</v>
      </c>
      <c r="B145" t="s">
        <v>108</v>
      </c>
      <c r="C145" t="s">
        <v>96</v>
      </c>
      <c r="D145">
        <v>122</v>
      </c>
      <c r="E145">
        <v>91</v>
      </c>
      <c r="F145">
        <v>3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 t="s">
        <v>69</v>
      </c>
      <c r="B146" t="s">
        <v>55</v>
      </c>
      <c r="C146" t="s">
        <v>9</v>
      </c>
      <c r="D146">
        <v>124</v>
      </c>
      <c r="E146">
        <v>4</v>
      </c>
      <c r="F146">
        <v>127</v>
      </c>
      <c r="G146">
        <v>35</v>
      </c>
      <c r="H146">
        <v>38</v>
      </c>
      <c r="I146">
        <v>12</v>
      </c>
      <c r="J146">
        <v>0</v>
      </c>
    </row>
    <row r="147" spans="1:10" x14ac:dyDescent="0.3">
      <c r="A147" t="s">
        <v>103</v>
      </c>
      <c r="B147" t="s">
        <v>104</v>
      </c>
      <c r="C147" t="s">
        <v>96</v>
      </c>
      <c r="D147">
        <v>130</v>
      </c>
      <c r="E147">
        <v>77</v>
      </c>
      <c r="F147">
        <v>12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 t="s">
        <v>111</v>
      </c>
      <c r="B148" t="s">
        <v>108</v>
      </c>
      <c r="C148" t="s">
        <v>96</v>
      </c>
      <c r="D148">
        <v>133</v>
      </c>
      <c r="E148">
        <v>93</v>
      </c>
      <c r="F148">
        <v>8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 t="s">
        <v>94</v>
      </c>
      <c r="B149" t="s">
        <v>95</v>
      </c>
      <c r="C149" t="s">
        <v>96</v>
      </c>
      <c r="D149">
        <v>134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 t="s">
        <v>18</v>
      </c>
      <c r="B150" t="s">
        <v>19</v>
      </c>
      <c r="C150" t="s">
        <v>21</v>
      </c>
      <c r="D150">
        <v>135</v>
      </c>
      <c r="E150">
        <v>78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 t="s">
        <v>7</v>
      </c>
      <c r="B151" t="s">
        <v>8</v>
      </c>
      <c r="C151" t="s">
        <v>14</v>
      </c>
      <c r="D151">
        <v>135</v>
      </c>
      <c r="E151">
        <v>46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 t="s">
        <v>71</v>
      </c>
      <c r="B152" t="s">
        <v>55</v>
      </c>
      <c r="C152" t="s">
        <v>12</v>
      </c>
      <c r="D152">
        <v>135</v>
      </c>
      <c r="E152">
        <v>100</v>
      </c>
      <c r="F152">
        <v>87</v>
      </c>
      <c r="G152">
        <v>15</v>
      </c>
      <c r="H152">
        <v>57</v>
      </c>
      <c r="I152">
        <v>180</v>
      </c>
      <c r="J152">
        <v>167</v>
      </c>
    </row>
    <row r="153" spans="1:10" x14ac:dyDescent="0.3">
      <c r="A153" t="s">
        <v>105</v>
      </c>
      <c r="B153" t="s">
        <v>104</v>
      </c>
      <c r="C153" t="s">
        <v>96</v>
      </c>
      <c r="D153">
        <v>135</v>
      </c>
      <c r="E153">
        <v>65</v>
      </c>
      <c r="F153">
        <v>7</v>
      </c>
      <c r="G153">
        <v>0</v>
      </c>
      <c r="H153">
        <v>0</v>
      </c>
      <c r="I153">
        <v>0</v>
      </c>
      <c r="J153">
        <v>0</v>
      </c>
    </row>
    <row r="154" spans="1:10" x14ac:dyDescent="0.3">
      <c r="A154" t="s">
        <v>110</v>
      </c>
      <c r="B154" t="s">
        <v>108</v>
      </c>
      <c r="C154" t="s">
        <v>96</v>
      </c>
      <c r="D154">
        <v>147</v>
      </c>
      <c r="E154">
        <v>110</v>
      </c>
      <c r="F154">
        <v>17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t="s">
        <v>130</v>
      </c>
      <c r="B155" t="s">
        <v>131</v>
      </c>
      <c r="C155" t="s">
        <v>96</v>
      </c>
      <c r="D155">
        <v>150</v>
      </c>
      <c r="E155">
        <v>50</v>
      </c>
      <c r="F155">
        <v>4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 t="s">
        <v>119</v>
      </c>
      <c r="B156" t="s">
        <v>118</v>
      </c>
      <c r="C156" t="s">
        <v>96</v>
      </c>
      <c r="D156">
        <v>153</v>
      </c>
      <c r="E156">
        <v>93</v>
      </c>
      <c r="F156">
        <v>50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t="s">
        <v>31</v>
      </c>
      <c r="B157" t="s">
        <v>32</v>
      </c>
      <c r="C157" t="s">
        <v>12</v>
      </c>
      <c r="D157">
        <v>158</v>
      </c>
      <c r="E157">
        <v>113</v>
      </c>
      <c r="F157">
        <v>250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t="s">
        <v>63</v>
      </c>
      <c r="B158" t="s">
        <v>59</v>
      </c>
      <c r="C158" t="s">
        <v>9</v>
      </c>
      <c r="D158">
        <v>163</v>
      </c>
      <c r="E158">
        <v>33</v>
      </c>
      <c r="F158">
        <v>68</v>
      </c>
      <c r="G158">
        <v>32</v>
      </c>
      <c r="H158">
        <v>138</v>
      </c>
      <c r="I158">
        <v>386</v>
      </c>
      <c r="J158">
        <v>233</v>
      </c>
    </row>
    <row r="159" spans="1:10" x14ac:dyDescent="0.3">
      <c r="A159" t="s">
        <v>112</v>
      </c>
      <c r="B159" t="s">
        <v>113</v>
      </c>
      <c r="C159" t="s">
        <v>96</v>
      </c>
      <c r="D159">
        <v>173</v>
      </c>
      <c r="E159">
        <v>91</v>
      </c>
      <c r="F159">
        <v>75</v>
      </c>
      <c r="G159">
        <v>0</v>
      </c>
      <c r="H159">
        <v>0</v>
      </c>
      <c r="I159">
        <v>0</v>
      </c>
      <c r="J159">
        <v>0</v>
      </c>
    </row>
    <row r="160" spans="1:10" x14ac:dyDescent="0.3">
      <c r="A160" t="s">
        <v>67</v>
      </c>
      <c r="B160" t="s">
        <v>68</v>
      </c>
      <c r="C160" t="s">
        <v>12</v>
      </c>
      <c r="D160">
        <v>180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t="s">
        <v>63</v>
      </c>
      <c r="B161" t="s">
        <v>59</v>
      </c>
      <c r="C161" t="s">
        <v>12</v>
      </c>
      <c r="D161">
        <v>189</v>
      </c>
      <c r="E161">
        <v>144</v>
      </c>
      <c r="F161">
        <v>64</v>
      </c>
      <c r="G161">
        <v>0</v>
      </c>
      <c r="H161">
        <v>87</v>
      </c>
      <c r="I161">
        <v>153</v>
      </c>
      <c r="J161">
        <v>145</v>
      </c>
    </row>
    <row r="162" spans="1:10" x14ac:dyDescent="0.3">
      <c r="A162" t="s">
        <v>109</v>
      </c>
      <c r="B162" t="s">
        <v>108</v>
      </c>
      <c r="C162" t="s">
        <v>96</v>
      </c>
      <c r="D162">
        <v>194</v>
      </c>
      <c r="E162">
        <v>102</v>
      </c>
      <c r="F162">
        <v>2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t="s">
        <v>147</v>
      </c>
      <c r="B163" t="s">
        <v>148</v>
      </c>
      <c r="C163" t="s">
        <v>9</v>
      </c>
      <c r="D163">
        <v>200</v>
      </c>
      <c r="E163">
        <v>233</v>
      </c>
      <c r="F163">
        <v>150</v>
      </c>
      <c r="G163">
        <v>200</v>
      </c>
      <c r="H163">
        <v>148</v>
      </c>
      <c r="I163">
        <v>150</v>
      </c>
      <c r="J163">
        <v>170</v>
      </c>
    </row>
    <row r="164" spans="1:10" x14ac:dyDescent="0.3">
      <c r="A164" t="s">
        <v>60</v>
      </c>
      <c r="B164" t="s">
        <v>59</v>
      </c>
      <c r="C164" t="s">
        <v>12</v>
      </c>
      <c r="D164">
        <v>200</v>
      </c>
      <c r="E164">
        <v>45</v>
      </c>
      <c r="F164">
        <v>5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t="s">
        <v>106</v>
      </c>
      <c r="B165" t="s">
        <v>104</v>
      </c>
      <c r="C165" t="s">
        <v>96</v>
      </c>
      <c r="D165">
        <v>208</v>
      </c>
      <c r="E165">
        <v>83</v>
      </c>
      <c r="F165">
        <v>20</v>
      </c>
      <c r="G165">
        <v>0</v>
      </c>
      <c r="H165">
        <v>0</v>
      </c>
      <c r="I165">
        <v>0</v>
      </c>
      <c r="J165">
        <v>0</v>
      </c>
    </row>
    <row r="166" spans="1:10" x14ac:dyDescent="0.3">
      <c r="A166" t="s">
        <v>133</v>
      </c>
      <c r="B166" t="s">
        <v>131</v>
      </c>
      <c r="C166" t="s">
        <v>96</v>
      </c>
      <c r="D166">
        <v>210</v>
      </c>
      <c r="E166">
        <v>172</v>
      </c>
      <c r="F166">
        <v>25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t="s">
        <v>145</v>
      </c>
      <c r="B167" t="s">
        <v>146</v>
      </c>
      <c r="C167" t="s">
        <v>9</v>
      </c>
      <c r="D167">
        <v>230</v>
      </c>
      <c r="E167">
        <v>215</v>
      </c>
      <c r="F167">
        <v>150</v>
      </c>
      <c r="G167">
        <v>20</v>
      </c>
      <c r="H167">
        <v>80</v>
      </c>
      <c r="I167">
        <v>40</v>
      </c>
      <c r="J167">
        <v>50</v>
      </c>
    </row>
    <row r="168" spans="1:10" x14ac:dyDescent="0.3">
      <c r="A168" t="s">
        <v>18</v>
      </c>
      <c r="B168" t="s">
        <v>19</v>
      </c>
      <c r="C168" t="s">
        <v>12</v>
      </c>
      <c r="D168">
        <v>230</v>
      </c>
      <c r="E168">
        <v>187</v>
      </c>
      <c r="F168">
        <v>135</v>
      </c>
      <c r="G168">
        <v>87</v>
      </c>
      <c r="H168">
        <v>53</v>
      </c>
      <c r="I168">
        <v>235</v>
      </c>
      <c r="J168">
        <v>200</v>
      </c>
    </row>
    <row r="169" spans="1:10" x14ac:dyDescent="0.3">
      <c r="A169" t="s">
        <v>54</v>
      </c>
      <c r="B169" t="s">
        <v>55</v>
      </c>
      <c r="C169" t="s">
        <v>12</v>
      </c>
      <c r="D169">
        <v>230</v>
      </c>
      <c r="E169">
        <v>185</v>
      </c>
      <c r="F169">
        <v>74</v>
      </c>
      <c r="G169">
        <v>67</v>
      </c>
      <c r="H169">
        <v>55</v>
      </c>
      <c r="I169">
        <v>80</v>
      </c>
      <c r="J169">
        <v>250</v>
      </c>
    </row>
    <row r="170" spans="1:10" x14ac:dyDescent="0.3">
      <c r="A170" t="s">
        <v>126</v>
      </c>
      <c r="B170" t="s">
        <v>123</v>
      </c>
      <c r="C170" t="s">
        <v>96</v>
      </c>
      <c r="D170">
        <v>235</v>
      </c>
      <c r="E170">
        <v>55</v>
      </c>
      <c r="F170">
        <v>39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t="s">
        <v>132</v>
      </c>
      <c r="B171" t="s">
        <v>131</v>
      </c>
      <c r="C171" t="s">
        <v>96</v>
      </c>
      <c r="D171">
        <v>235</v>
      </c>
      <c r="E171">
        <v>160</v>
      </c>
      <c r="F171">
        <v>23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t="s">
        <v>136</v>
      </c>
      <c r="B172" t="s">
        <v>131</v>
      </c>
      <c r="C172" t="s">
        <v>96</v>
      </c>
      <c r="D172">
        <v>240</v>
      </c>
      <c r="E172">
        <v>170</v>
      </c>
      <c r="F172">
        <v>15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t="s">
        <v>67</v>
      </c>
      <c r="B173" t="s">
        <v>68</v>
      </c>
      <c r="C173" t="s">
        <v>9</v>
      </c>
      <c r="D173">
        <v>268</v>
      </c>
      <c r="E173">
        <v>253</v>
      </c>
      <c r="F173">
        <v>178</v>
      </c>
      <c r="G173">
        <v>360</v>
      </c>
      <c r="H173">
        <v>816</v>
      </c>
      <c r="I173">
        <v>410</v>
      </c>
      <c r="J173">
        <v>301</v>
      </c>
    </row>
    <row r="174" spans="1:10" x14ac:dyDescent="0.3">
      <c r="A174" t="s">
        <v>135</v>
      </c>
      <c r="B174" t="s">
        <v>131</v>
      </c>
      <c r="C174" t="s">
        <v>96</v>
      </c>
      <c r="D174">
        <v>289</v>
      </c>
      <c r="E174">
        <v>193</v>
      </c>
      <c r="F174">
        <v>205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t="s">
        <v>61</v>
      </c>
      <c r="B175" t="s">
        <v>62</v>
      </c>
      <c r="C175" t="s">
        <v>9</v>
      </c>
      <c r="D175">
        <v>299</v>
      </c>
      <c r="E175">
        <v>83</v>
      </c>
      <c r="F175">
        <v>176</v>
      </c>
      <c r="G175">
        <v>400</v>
      </c>
      <c r="H175">
        <v>427</v>
      </c>
      <c r="I175">
        <v>459</v>
      </c>
      <c r="J175">
        <v>369</v>
      </c>
    </row>
    <row r="176" spans="1:10" x14ac:dyDescent="0.3">
      <c r="A176" t="s">
        <v>134</v>
      </c>
      <c r="B176" t="s">
        <v>131</v>
      </c>
      <c r="C176" t="s">
        <v>96</v>
      </c>
      <c r="D176">
        <v>312</v>
      </c>
      <c r="E176">
        <v>108</v>
      </c>
      <c r="F176">
        <v>30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t="s">
        <v>149</v>
      </c>
      <c r="B177" t="s">
        <v>150</v>
      </c>
      <c r="C177" t="s">
        <v>9</v>
      </c>
      <c r="D177">
        <v>315</v>
      </c>
      <c r="E177">
        <v>467</v>
      </c>
      <c r="F177">
        <v>580</v>
      </c>
      <c r="G177">
        <v>443</v>
      </c>
      <c r="H177">
        <v>521</v>
      </c>
      <c r="I177">
        <v>342</v>
      </c>
      <c r="J177">
        <v>155</v>
      </c>
    </row>
    <row r="178" spans="1:10" x14ac:dyDescent="0.3">
      <c r="A178" t="s">
        <v>155</v>
      </c>
      <c r="B178" t="s">
        <v>156</v>
      </c>
      <c r="C178" t="s">
        <v>9</v>
      </c>
      <c r="D178">
        <v>332</v>
      </c>
      <c r="E178">
        <v>280</v>
      </c>
      <c r="F178">
        <v>309</v>
      </c>
      <c r="G178">
        <v>280</v>
      </c>
      <c r="H178">
        <v>255</v>
      </c>
      <c r="I178">
        <v>244</v>
      </c>
      <c r="J178">
        <v>158</v>
      </c>
    </row>
    <row r="179" spans="1:10" x14ac:dyDescent="0.3">
      <c r="A179" t="s">
        <v>46</v>
      </c>
      <c r="B179" t="s">
        <v>47</v>
      </c>
      <c r="C179" t="s">
        <v>12</v>
      </c>
      <c r="D179">
        <v>342</v>
      </c>
      <c r="E179">
        <v>280</v>
      </c>
      <c r="F179">
        <v>133</v>
      </c>
      <c r="G179">
        <v>200</v>
      </c>
      <c r="H179">
        <v>187</v>
      </c>
      <c r="I179">
        <v>850</v>
      </c>
      <c r="J179">
        <v>345</v>
      </c>
    </row>
    <row r="180" spans="1:10" x14ac:dyDescent="0.3">
      <c r="A180" t="s">
        <v>56</v>
      </c>
      <c r="B180" t="s">
        <v>57</v>
      </c>
      <c r="C180" t="s">
        <v>12</v>
      </c>
      <c r="D180">
        <v>360</v>
      </c>
      <c r="E180">
        <v>245</v>
      </c>
      <c r="F180">
        <v>133</v>
      </c>
      <c r="G180">
        <v>88</v>
      </c>
      <c r="H180">
        <v>10</v>
      </c>
      <c r="I180">
        <v>0</v>
      </c>
      <c r="J180">
        <v>0</v>
      </c>
    </row>
    <row r="181" spans="1:10" x14ac:dyDescent="0.3">
      <c r="A181" t="s">
        <v>64</v>
      </c>
      <c r="B181" t="s">
        <v>62</v>
      </c>
      <c r="C181" t="s">
        <v>9</v>
      </c>
      <c r="D181">
        <v>382</v>
      </c>
      <c r="E181">
        <v>425</v>
      </c>
      <c r="F181">
        <v>323</v>
      </c>
      <c r="G181">
        <v>238</v>
      </c>
      <c r="H181">
        <v>484</v>
      </c>
      <c r="I181">
        <v>394</v>
      </c>
      <c r="J181">
        <v>213</v>
      </c>
    </row>
    <row r="182" spans="1:10" x14ac:dyDescent="0.3">
      <c r="A182" t="s">
        <v>15</v>
      </c>
      <c r="B182" t="s">
        <v>16</v>
      </c>
      <c r="C182" t="s">
        <v>9</v>
      </c>
      <c r="D182">
        <v>405</v>
      </c>
      <c r="E182">
        <v>534</v>
      </c>
      <c r="F182">
        <v>987</v>
      </c>
      <c r="G182">
        <v>1917</v>
      </c>
      <c r="H182">
        <v>1047</v>
      </c>
      <c r="I182">
        <v>326</v>
      </c>
      <c r="J182">
        <v>857</v>
      </c>
    </row>
    <row r="183" spans="1:10" x14ac:dyDescent="0.3">
      <c r="A183" t="s">
        <v>114</v>
      </c>
      <c r="B183" t="s">
        <v>113</v>
      </c>
      <c r="C183" t="s">
        <v>96</v>
      </c>
      <c r="D183">
        <v>430</v>
      </c>
      <c r="E183">
        <v>223</v>
      </c>
      <c r="F183">
        <v>157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 t="s">
        <v>61</v>
      </c>
      <c r="B184" t="s">
        <v>62</v>
      </c>
      <c r="C184" t="s">
        <v>12</v>
      </c>
      <c r="D184">
        <v>433</v>
      </c>
      <c r="E184">
        <v>350</v>
      </c>
      <c r="F184">
        <v>235</v>
      </c>
      <c r="G184">
        <v>170</v>
      </c>
      <c r="H184">
        <v>55</v>
      </c>
      <c r="I184">
        <v>135</v>
      </c>
      <c r="J184">
        <v>120</v>
      </c>
    </row>
    <row r="185" spans="1:10" x14ac:dyDescent="0.3">
      <c r="A185" t="s">
        <v>80</v>
      </c>
      <c r="B185" t="s">
        <v>81</v>
      </c>
      <c r="C185" t="s">
        <v>12</v>
      </c>
      <c r="D185">
        <v>444</v>
      </c>
      <c r="E185">
        <v>294</v>
      </c>
      <c r="F185">
        <v>180</v>
      </c>
      <c r="G185">
        <v>222</v>
      </c>
      <c r="H185">
        <v>493</v>
      </c>
      <c r="I185">
        <v>450</v>
      </c>
      <c r="J185">
        <v>0</v>
      </c>
    </row>
    <row r="186" spans="1:10" x14ac:dyDescent="0.3">
      <c r="A186" t="s">
        <v>15</v>
      </c>
      <c r="B186" t="s">
        <v>16</v>
      </c>
      <c r="C186" t="s">
        <v>12</v>
      </c>
      <c r="D186">
        <v>450</v>
      </c>
      <c r="E186">
        <v>300</v>
      </c>
      <c r="F186">
        <v>230</v>
      </c>
      <c r="G186">
        <v>200</v>
      </c>
      <c r="H186">
        <v>225</v>
      </c>
      <c r="I186">
        <v>705</v>
      </c>
      <c r="J186">
        <v>680</v>
      </c>
    </row>
    <row r="187" spans="1:10" x14ac:dyDescent="0.3">
      <c r="A187" t="s">
        <v>142</v>
      </c>
      <c r="B187" t="s">
        <v>143</v>
      </c>
      <c r="C187" t="s">
        <v>9</v>
      </c>
      <c r="D187">
        <v>487</v>
      </c>
      <c r="E187">
        <v>450</v>
      </c>
      <c r="F187">
        <v>954</v>
      </c>
      <c r="G187">
        <v>25</v>
      </c>
      <c r="H187">
        <v>0</v>
      </c>
      <c r="I187">
        <v>0</v>
      </c>
      <c r="J187">
        <v>0</v>
      </c>
    </row>
    <row r="188" spans="1:10" x14ac:dyDescent="0.3">
      <c r="A188" t="s">
        <v>26</v>
      </c>
      <c r="B188" t="s">
        <v>27</v>
      </c>
      <c r="C188" t="s">
        <v>28</v>
      </c>
      <c r="D188">
        <v>496</v>
      </c>
      <c r="E188">
        <v>557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t="s">
        <v>46</v>
      </c>
      <c r="B189" t="s">
        <v>47</v>
      </c>
      <c r="C189" t="s">
        <v>9</v>
      </c>
      <c r="D189">
        <v>527</v>
      </c>
      <c r="E189">
        <v>203</v>
      </c>
      <c r="F189">
        <v>395</v>
      </c>
      <c r="G189">
        <v>499</v>
      </c>
      <c r="H189">
        <v>915</v>
      </c>
      <c r="I189">
        <v>230</v>
      </c>
      <c r="J189">
        <v>532</v>
      </c>
    </row>
    <row r="190" spans="1:10" x14ac:dyDescent="0.3">
      <c r="A190" t="s">
        <v>15</v>
      </c>
      <c r="B190" t="s">
        <v>16</v>
      </c>
      <c r="C190" t="s">
        <v>17</v>
      </c>
      <c r="D190">
        <v>530</v>
      </c>
      <c r="E190">
        <v>135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3">
      <c r="A191" t="s">
        <v>64</v>
      </c>
      <c r="B191" t="s">
        <v>62</v>
      </c>
      <c r="C191" t="s">
        <v>12</v>
      </c>
      <c r="D191">
        <v>530</v>
      </c>
      <c r="E191">
        <v>480</v>
      </c>
      <c r="F191">
        <v>257</v>
      </c>
      <c r="G191">
        <v>200</v>
      </c>
      <c r="H191">
        <v>230</v>
      </c>
      <c r="I191">
        <v>580</v>
      </c>
      <c r="J191">
        <v>578</v>
      </c>
    </row>
    <row r="192" spans="1:10" x14ac:dyDescent="0.3">
      <c r="A192" t="s">
        <v>44</v>
      </c>
      <c r="B192" t="s">
        <v>45</v>
      </c>
      <c r="C192" t="s">
        <v>9</v>
      </c>
      <c r="D192">
        <v>604</v>
      </c>
      <c r="E192">
        <v>339</v>
      </c>
      <c r="F192">
        <v>853</v>
      </c>
      <c r="G192">
        <v>2331</v>
      </c>
      <c r="H192">
        <v>1049</v>
      </c>
      <c r="I192">
        <v>326</v>
      </c>
      <c r="J192">
        <v>708</v>
      </c>
    </row>
    <row r="193" spans="1:10" x14ac:dyDescent="0.3">
      <c r="A193" t="s">
        <v>34</v>
      </c>
      <c r="B193" t="s">
        <v>35</v>
      </c>
      <c r="C193" t="s">
        <v>9</v>
      </c>
      <c r="D193">
        <v>728</v>
      </c>
      <c r="E193">
        <v>871</v>
      </c>
      <c r="F193">
        <v>913</v>
      </c>
      <c r="G193">
        <v>1800</v>
      </c>
      <c r="H193">
        <v>1315</v>
      </c>
      <c r="I193">
        <v>577</v>
      </c>
      <c r="J193">
        <v>573</v>
      </c>
    </row>
    <row r="194" spans="1:10" x14ac:dyDescent="0.3">
      <c r="A194" t="s">
        <v>36</v>
      </c>
      <c r="B194" t="s">
        <v>37</v>
      </c>
      <c r="C194" t="s">
        <v>9</v>
      </c>
      <c r="D194">
        <v>787</v>
      </c>
      <c r="E194">
        <v>478</v>
      </c>
      <c r="F194">
        <v>1235</v>
      </c>
      <c r="G194">
        <v>1450</v>
      </c>
      <c r="H194">
        <v>1728</v>
      </c>
      <c r="I194">
        <v>1182</v>
      </c>
      <c r="J194">
        <v>999</v>
      </c>
    </row>
    <row r="195" spans="1:10" x14ac:dyDescent="0.3">
      <c r="A195" t="s">
        <v>36</v>
      </c>
      <c r="B195" t="s">
        <v>37</v>
      </c>
      <c r="C195" t="s">
        <v>12</v>
      </c>
      <c r="D195">
        <v>860</v>
      </c>
      <c r="E195">
        <v>744</v>
      </c>
      <c r="F195">
        <v>343</v>
      </c>
      <c r="G195">
        <v>320</v>
      </c>
      <c r="H195">
        <v>287</v>
      </c>
      <c r="I195">
        <v>680</v>
      </c>
      <c r="J195">
        <v>623</v>
      </c>
    </row>
    <row r="196" spans="1:10" x14ac:dyDescent="0.3">
      <c r="A196" t="s">
        <v>34</v>
      </c>
      <c r="B196" t="s">
        <v>35</v>
      </c>
      <c r="C196" t="s">
        <v>12</v>
      </c>
      <c r="D196">
        <v>890</v>
      </c>
      <c r="E196">
        <v>765</v>
      </c>
      <c r="F196">
        <v>521</v>
      </c>
      <c r="G196">
        <v>220</v>
      </c>
      <c r="H196">
        <v>349</v>
      </c>
      <c r="I196">
        <v>1385</v>
      </c>
      <c r="J196">
        <v>1290</v>
      </c>
    </row>
    <row r="197" spans="1:10" x14ac:dyDescent="0.3">
      <c r="A197" t="s">
        <v>42</v>
      </c>
      <c r="B197" t="s">
        <v>35</v>
      </c>
      <c r="C197" t="s">
        <v>9</v>
      </c>
      <c r="D197">
        <v>962</v>
      </c>
      <c r="E197">
        <v>1465</v>
      </c>
      <c r="F197">
        <v>1334</v>
      </c>
      <c r="G197">
        <v>2383</v>
      </c>
      <c r="H197">
        <v>1525</v>
      </c>
      <c r="I197">
        <v>1582</v>
      </c>
      <c r="J197">
        <v>1539</v>
      </c>
    </row>
    <row r="198" spans="1:10" x14ac:dyDescent="0.3">
      <c r="A198" t="s">
        <v>23</v>
      </c>
      <c r="B198" t="s">
        <v>24</v>
      </c>
      <c r="C198" t="s">
        <v>9</v>
      </c>
      <c r="D198">
        <v>1064</v>
      </c>
      <c r="E198">
        <v>1153</v>
      </c>
      <c r="F198">
        <v>1979</v>
      </c>
      <c r="G198">
        <v>2901</v>
      </c>
      <c r="H198">
        <v>2434</v>
      </c>
      <c r="I198">
        <v>1693</v>
      </c>
      <c r="J198">
        <v>1311</v>
      </c>
    </row>
    <row r="199" spans="1:10" x14ac:dyDescent="0.3">
      <c r="A199" t="s">
        <v>7</v>
      </c>
      <c r="B199" t="s">
        <v>11</v>
      </c>
      <c r="C199" t="s">
        <v>12</v>
      </c>
      <c r="D199">
        <v>1300</v>
      </c>
      <c r="E199">
        <v>1250</v>
      </c>
      <c r="F199">
        <v>800</v>
      </c>
      <c r="G199">
        <v>750</v>
      </c>
      <c r="H199">
        <v>1200</v>
      </c>
      <c r="I199">
        <v>2050</v>
      </c>
      <c r="J199">
        <v>1980</v>
      </c>
    </row>
    <row r="200" spans="1:10" x14ac:dyDescent="0.3">
      <c r="A200" t="s">
        <v>44</v>
      </c>
      <c r="B200" t="s">
        <v>45</v>
      </c>
      <c r="C200" t="s">
        <v>12</v>
      </c>
      <c r="D200">
        <v>1350</v>
      </c>
      <c r="E200">
        <v>1200</v>
      </c>
      <c r="F200">
        <v>567</v>
      </c>
      <c r="G200">
        <v>200</v>
      </c>
      <c r="H200">
        <v>540</v>
      </c>
      <c r="I200">
        <v>1250</v>
      </c>
      <c r="J200">
        <v>890</v>
      </c>
    </row>
    <row r="201" spans="1:10" x14ac:dyDescent="0.3">
      <c r="A201" t="s">
        <v>42</v>
      </c>
      <c r="B201" t="s">
        <v>35</v>
      </c>
      <c r="C201" t="s">
        <v>12</v>
      </c>
      <c r="D201">
        <v>1450</v>
      </c>
      <c r="E201">
        <v>834</v>
      </c>
      <c r="F201">
        <v>620</v>
      </c>
      <c r="G201">
        <v>348</v>
      </c>
      <c r="H201">
        <v>930</v>
      </c>
      <c r="I201">
        <v>870</v>
      </c>
      <c r="J201">
        <v>850</v>
      </c>
    </row>
    <row r="202" spans="1:10" x14ac:dyDescent="0.3">
      <c r="A202" t="s">
        <v>23</v>
      </c>
      <c r="B202" t="s">
        <v>24</v>
      </c>
      <c r="C202" t="s">
        <v>12</v>
      </c>
      <c r="D202">
        <v>1578</v>
      </c>
      <c r="E202">
        <v>1450</v>
      </c>
      <c r="F202">
        <v>1135</v>
      </c>
      <c r="G202">
        <v>957</v>
      </c>
      <c r="H202">
        <v>2300</v>
      </c>
      <c r="I202">
        <v>2780</v>
      </c>
      <c r="J202">
        <v>2800</v>
      </c>
    </row>
    <row r="203" spans="1:10" x14ac:dyDescent="0.3">
      <c r="A203" t="s">
        <v>7</v>
      </c>
      <c r="B203" t="s">
        <v>8</v>
      </c>
      <c r="C203" t="s">
        <v>9</v>
      </c>
      <c r="D203">
        <v>2132</v>
      </c>
      <c r="E203">
        <v>2648</v>
      </c>
      <c r="F203">
        <v>2712</v>
      </c>
      <c r="G203">
        <v>1775</v>
      </c>
      <c r="H203">
        <v>2302</v>
      </c>
      <c r="I203">
        <v>2250</v>
      </c>
      <c r="J203">
        <v>2532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A26D-CD6F-4A46-8DEE-060A7B50CD5E}">
  <dimension ref="A2:L58"/>
  <sheetViews>
    <sheetView workbookViewId="0">
      <selection activeCell="T58" sqref="T58"/>
    </sheetView>
  </sheetViews>
  <sheetFormatPr defaultRowHeight="14.4" x14ac:dyDescent="0.3"/>
  <cols>
    <col min="1" max="3" width="9.109375" bestFit="1" customWidth="1"/>
    <col min="4" max="5" width="9" bestFit="1" customWidth="1"/>
    <col min="6" max="6" width="9.109375" bestFit="1" customWidth="1"/>
    <col min="7" max="7" width="9" bestFit="1" customWidth="1"/>
  </cols>
  <sheetData>
    <row r="2" spans="1:12" x14ac:dyDescent="0.3">
      <c r="K2" t="s">
        <v>267</v>
      </c>
      <c r="L2" t="s">
        <v>268</v>
      </c>
    </row>
    <row r="3" spans="1:12" x14ac:dyDescent="0.3">
      <c r="A3" s="14" t="s">
        <v>260</v>
      </c>
      <c r="B3" s="14" t="s">
        <v>261</v>
      </c>
      <c r="C3" s="14" t="s">
        <v>262</v>
      </c>
      <c r="D3" s="14" t="s">
        <v>263</v>
      </c>
      <c r="E3" s="14" t="s">
        <v>264</v>
      </c>
      <c r="F3" s="14" t="s">
        <v>265</v>
      </c>
      <c r="G3" s="14" t="s">
        <v>266</v>
      </c>
      <c r="K3">
        <v>2006</v>
      </c>
      <c r="L3" s="37">
        <f>G19</f>
        <v>943793.2</v>
      </c>
    </row>
    <row r="4" spans="1:12" x14ac:dyDescent="0.3">
      <c r="A4" s="37">
        <v>596474.6</v>
      </c>
      <c r="B4" s="37">
        <v>652631.6</v>
      </c>
      <c r="C4" s="37">
        <v>888836.39999999991</v>
      </c>
      <c r="D4" s="37">
        <v>676723</v>
      </c>
      <c r="E4" s="37">
        <v>709490.6</v>
      </c>
      <c r="F4" s="37">
        <v>519258.8</v>
      </c>
      <c r="G4" s="37">
        <v>491717.2</v>
      </c>
      <c r="K4">
        <f>K3+1</f>
        <v>2007</v>
      </c>
      <c r="L4" s="37">
        <f>F19</f>
        <v>1028316.8</v>
      </c>
    </row>
    <row r="5" spans="1:12" x14ac:dyDescent="0.3">
      <c r="A5" s="37">
        <v>550299</v>
      </c>
      <c r="B5" s="37">
        <v>345693</v>
      </c>
      <c r="C5" s="37">
        <v>337576</v>
      </c>
      <c r="D5" s="37">
        <v>159923</v>
      </c>
      <c r="E5" s="37">
        <v>271310</v>
      </c>
      <c r="F5" s="37">
        <v>508362</v>
      </c>
      <c r="G5" s="37">
        <v>451332</v>
      </c>
      <c r="K5">
        <f t="shared" ref="K5:K9" si="0">K4+1</f>
        <v>2008</v>
      </c>
      <c r="L5" s="37">
        <f>E19</f>
        <v>982504.6</v>
      </c>
    </row>
    <row r="6" spans="1:12" x14ac:dyDescent="0.3">
      <c r="A6" s="37">
        <v>119738.2</v>
      </c>
      <c r="B6" s="37">
        <v>42071.199999999997</v>
      </c>
      <c r="C6" s="37">
        <v>288</v>
      </c>
      <c r="D6" s="37">
        <v>168</v>
      </c>
      <c r="E6" s="37">
        <v>1704</v>
      </c>
      <c r="F6" s="37">
        <v>696</v>
      </c>
      <c r="G6" s="37">
        <v>744</v>
      </c>
      <c r="K6">
        <f t="shared" si="0"/>
        <v>2009</v>
      </c>
      <c r="L6" s="37">
        <f>D19</f>
        <v>836814</v>
      </c>
    </row>
    <row r="7" spans="1:12" x14ac:dyDescent="0.3">
      <c r="A7" s="37">
        <v>100747.5</v>
      </c>
      <c r="B7" s="37">
        <v>-12815.5</v>
      </c>
      <c r="C7" s="37">
        <v>19512.5</v>
      </c>
      <c r="D7" s="37">
        <v>0</v>
      </c>
      <c r="E7" s="37">
        <v>0</v>
      </c>
      <c r="F7" s="37">
        <v>0</v>
      </c>
      <c r="G7" s="37">
        <v>0</v>
      </c>
      <c r="K7">
        <f t="shared" si="0"/>
        <v>2010</v>
      </c>
      <c r="L7" s="37">
        <f>C19</f>
        <v>1246212.8999999999</v>
      </c>
    </row>
    <row r="8" spans="1:12" x14ac:dyDescent="0.3">
      <c r="A8" s="37">
        <v>73349</v>
      </c>
      <c r="B8" s="37">
        <v>13919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K8">
        <f t="shared" si="0"/>
        <v>2011</v>
      </c>
      <c r="L8" s="37">
        <f>B19</f>
        <v>1068083.2999999998</v>
      </c>
    </row>
    <row r="9" spans="1:12" x14ac:dyDescent="0.3">
      <c r="A9" s="37">
        <v>14880</v>
      </c>
      <c r="B9" s="37">
        <v>19455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K9">
        <f t="shared" si="0"/>
        <v>2012</v>
      </c>
      <c r="L9" s="37">
        <f>A19</f>
        <v>1475767.2999999998</v>
      </c>
    </row>
    <row r="10" spans="1:12" x14ac:dyDescent="0.3">
      <c r="A10" s="37">
        <v>4452</v>
      </c>
      <c r="B10" s="37">
        <v>2342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</row>
    <row r="11" spans="1:12" x14ac:dyDescent="0.3">
      <c r="A11" s="37">
        <v>4369</v>
      </c>
      <c r="B11" s="37">
        <v>-385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</row>
    <row r="12" spans="1:12" x14ac:dyDescent="0.3">
      <c r="A12" s="37">
        <v>3588</v>
      </c>
      <c r="B12" s="37">
        <v>338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</row>
    <row r="13" spans="1:12" x14ac:dyDescent="0.3">
      <c r="A13" s="37">
        <v>3090.5</v>
      </c>
      <c r="B13" s="37">
        <v>-499.5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</row>
    <row r="14" spans="1:12" x14ac:dyDescent="0.3">
      <c r="A14" s="37">
        <v>2204.5</v>
      </c>
      <c r="B14" s="37">
        <v>1339.5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</row>
    <row r="15" spans="1:12" x14ac:dyDescent="0.3">
      <c r="A15" s="37">
        <v>2070</v>
      </c>
      <c r="B15" s="37">
        <v>320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</row>
    <row r="16" spans="1:12" x14ac:dyDescent="0.3">
      <c r="A16" s="37">
        <v>340</v>
      </c>
      <c r="B16" s="37">
        <v>-560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</row>
    <row r="17" spans="1:7" x14ac:dyDescent="0.3">
      <c r="A17" s="37">
        <v>165</v>
      </c>
      <c r="B17" s="37">
        <v>734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</row>
    <row r="18" spans="1:7" x14ac:dyDescent="0.3">
      <c r="A18" s="37">
        <v>0</v>
      </c>
      <c r="B18" s="37">
        <v>3500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</row>
    <row r="19" spans="1:7" x14ac:dyDescent="0.3">
      <c r="A19" s="36">
        <v>1475767.2999999998</v>
      </c>
      <c r="B19" s="36">
        <v>1068083.2999999998</v>
      </c>
      <c r="C19" s="36">
        <v>1246212.8999999999</v>
      </c>
      <c r="D19" s="36">
        <v>836814</v>
      </c>
      <c r="E19" s="36">
        <v>982504.6</v>
      </c>
      <c r="F19" s="36">
        <v>1028316.8</v>
      </c>
      <c r="G19" s="36">
        <f>SUM(G4:G18)</f>
        <v>943793.2</v>
      </c>
    </row>
    <row r="58" hidden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2877-47F8-4286-A0BC-384C12635CA6}">
  <dimension ref="A1:H12"/>
  <sheetViews>
    <sheetView workbookViewId="0">
      <selection sqref="A1:D12"/>
    </sheetView>
  </sheetViews>
  <sheetFormatPr defaultRowHeight="14.4" x14ac:dyDescent="0.3"/>
  <cols>
    <col min="2" max="2" width="19.109375" customWidth="1"/>
    <col min="3" max="3" width="27.44140625" customWidth="1"/>
    <col min="4" max="4" width="36.88671875" customWidth="1"/>
    <col min="7" max="7" width="9.44140625" customWidth="1"/>
    <col min="8" max="8" width="17" customWidth="1"/>
  </cols>
  <sheetData>
    <row r="1" spans="1:8" x14ac:dyDescent="0.3">
      <c r="A1" t="s">
        <v>267</v>
      </c>
      <c r="B1" t="s">
        <v>282</v>
      </c>
      <c r="C1" t="s">
        <v>283</v>
      </c>
      <c r="D1" t="s">
        <v>284</v>
      </c>
      <c r="G1" t="s">
        <v>269</v>
      </c>
      <c r="H1" t="s">
        <v>270</v>
      </c>
    </row>
    <row r="2" spans="1:8" x14ac:dyDescent="0.3">
      <c r="A2">
        <v>2006</v>
      </c>
      <c r="B2" s="37">
        <v>943783</v>
      </c>
      <c r="G2" t="s">
        <v>271</v>
      </c>
      <c r="H2" s="38">
        <f>_xlfn.FORECAST.ETS.STAT($B$2:$B$8,$A$2:$A$8,1,1,1)</f>
        <v>2E-3</v>
      </c>
    </row>
    <row r="3" spans="1:8" x14ac:dyDescent="0.3">
      <c r="A3">
        <v>2007</v>
      </c>
      <c r="B3" s="37">
        <v>1028317</v>
      </c>
      <c r="G3" t="s">
        <v>272</v>
      </c>
      <c r="H3" s="38">
        <f>_xlfn.FORECAST.ETS.STAT($B$2:$B$8,$A$2:$A$8,2,1,1)</f>
        <v>1E-3</v>
      </c>
    </row>
    <row r="4" spans="1:8" x14ac:dyDescent="0.3">
      <c r="A4">
        <v>2008</v>
      </c>
      <c r="B4" s="37">
        <v>982505</v>
      </c>
      <c r="G4" t="s">
        <v>273</v>
      </c>
      <c r="H4" s="38">
        <f>_xlfn.FORECAST.ETS.STAT($B$2:$B$8,$A$2:$A$8,3,1,1)</f>
        <v>2.2204460492503131E-16</v>
      </c>
    </row>
    <row r="5" spans="1:8" x14ac:dyDescent="0.3">
      <c r="A5">
        <v>2009</v>
      </c>
      <c r="B5" s="37">
        <v>836814</v>
      </c>
      <c r="G5" t="s">
        <v>274</v>
      </c>
      <c r="H5" s="38">
        <f>_xlfn.FORECAST.ETS.STAT($B$2:$B$8,$A$2:$A$8,4,1,1)</f>
        <v>0.53653308184499315</v>
      </c>
    </row>
    <row r="6" spans="1:8" x14ac:dyDescent="0.3">
      <c r="A6">
        <v>2010</v>
      </c>
      <c r="B6" s="37">
        <v>1246213</v>
      </c>
      <c r="G6" t="s">
        <v>275</v>
      </c>
      <c r="H6" s="38">
        <f>_xlfn.FORECAST.ETS.STAT($B$2:$B$8,$A$2:$A$8,5,1,1)</f>
        <v>0.10297149293427664</v>
      </c>
    </row>
    <row r="7" spans="1:8" x14ac:dyDescent="0.3">
      <c r="A7">
        <v>2011</v>
      </c>
      <c r="B7" s="37">
        <v>1068083</v>
      </c>
      <c r="G7" t="s">
        <v>276</v>
      </c>
      <c r="H7" s="38">
        <f>_xlfn.FORECAST.ETS.STAT($B$2:$B$8,$A$2:$A$8,6,1,1)</f>
        <v>113677.94671590794</v>
      </c>
    </row>
    <row r="8" spans="1:8" x14ac:dyDescent="0.3">
      <c r="A8">
        <v>2012</v>
      </c>
      <c r="B8" s="37">
        <v>1475767</v>
      </c>
      <c r="G8" t="s">
        <v>277</v>
      </c>
      <c r="H8" s="38">
        <f>_xlfn.FORECAST.ETS.STAT($B$2:$B$8,$A$2:$A$8,7,1,1)</f>
        <v>157014.33771641931</v>
      </c>
    </row>
    <row r="9" spans="1:8" x14ac:dyDescent="0.3">
      <c r="A9">
        <v>2013</v>
      </c>
      <c r="C9" s="37">
        <f>_xlfn.FORECAST.ETS(A9,$B$2:$B$8,$A$2:$A$8,1,1)</f>
        <v>1425726.2833676687</v>
      </c>
      <c r="D9" s="37">
        <f>_xlfn.FORECAST.ETS.CONFINT(A9,$B$2:$B$8,$A$2:$A$8,0.95,1,1)</f>
        <v>307742.44698059082</v>
      </c>
    </row>
    <row r="10" spans="1:8" x14ac:dyDescent="0.3">
      <c r="A10">
        <v>2014</v>
      </c>
      <c r="C10" s="37">
        <f>_xlfn.FORECAST.ETS(A10,$B$2:$B$8,$A$2:$A$8,1,1)</f>
        <v>1494509.4111847996</v>
      </c>
      <c r="D10" s="37">
        <f>_xlfn.FORECAST.ETS.CONFINT(A10,$B$2:$B$8,$A$2:$A$8,0.95,1,1)</f>
        <v>307743.83181848633</v>
      </c>
    </row>
    <row r="11" spans="1:8" x14ac:dyDescent="0.3">
      <c r="A11">
        <v>2015</v>
      </c>
      <c r="C11" s="37">
        <f>_xlfn.FORECAST.ETS(A11,$B$2:$B$8,$A$2:$A$8,1,1)</f>
        <v>1563292.5390019305</v>
      </c>
      <c r="D11" s="37">
        <f>_xlfn.FORECAST.ETS.CONFINT(A11,$B$2:$B$8,$A$2:$A$8,0.95,1,1)</f>
        <v>307746.293737136</v>
      </c>
    </row>
    <row r="12" spans="1:8" x14ac:dyDescent="0.3">
      <c r="A12">
        <v>2016</v>
      </c>
      <c r="C12" s="37">
        <f>_xlfn.FORECAST.ETS(A12,$B$2:$B$8,$A$2:$A$8,1,1)</f>
        <v>1632075.6668190616</v>
      </c>
      <c r="D12" s="37">
        <f>_xlfn.FORECAST.ETS.CONFINT(A12,$B$2:$B$8,$A$2:$A$8,0.95,1,1)</f>
        <v>307750.14044559823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9180-60B7-4290-9E68-48A219FAFA4F}">
  <dimension ref="A1:E61"/>
  <sheetViews>
    <sheetView workbookViewId="0">
      <selection activeCell="D52" sqref="A42:D52"/>
    </sheetView>
  </sheetViews>
  <sheetFormatPr defaultRowHeight="14.4" x14ac:dyDescent="0.3"/>
  <cols>
    <col min="2" max="2" width="11.77734375" customWidth="1"/>
    <col min="3" max="3" width="20.109375" customWidth="1"/>
    <col min="4" max="4" width="34.21875" customWidth="1"/>
    <col min="5" max="5" width="34.33203125" customWidth="1"/>
  </cols>
  <sheetData>
    <row r="1" spans="1:5" x14ac:dyDescent="0.3">
      <c r="A1" t="s">
        <v>267</v>
      </c>
      <c r="B1" t="s">
        <v>278</v>
      </c>
      <c r="C1" t="s">
        <v>279</v>
      </c>
      <c r="D1" t="s">
        <v>280</v>
      </c>
      <c r="E1" t="s">
        <v>281</v>
      </c>
    </row>
    <row r="2" spans="1:5" x14ac:dyDescent="0.3">
      <c r="A2">
        <v>2006</v>
      </c>
      <c r="B2" s="37">
        <v>24122</v>
      </c>
    </row>
    <row r="3" spans="1:5" x14ac:dyDescent="0.3">
      <c r="A3">
        <v>2007</v>
      </c>
      <c r="B3" s="37">
        <v>25891</v>
      </c>
    </row>
    <row r="4" spans="1:5" x14ac:dyDescent="0.3">
      <c r="A4">
        <v>2008</v>
      </c>
      <c r="B4" s="37">
        <v>24809</v>
      </c>
    </row>
    <row r="5" spans="1:5" x14ac:dyDescent="0.3">
      <c r="A5">
        <v>2009</v>
      </c>
      <c r="B5" s="37">
        <v>23226</v>
      </c>
    </row>
    <row r="6" spans="1:5" x14ac:dyDescent="0.3">
      <c r="A6">
        <v>2010</v>
      </c>
      <c r="B6" s="37">
        <v>22470</v>
      </c>
    </row>
    <row r="7" spans="1:5" x14ac:dyDescent="0.3">
      <c r="A7">
        <v>2011</v>
      </c>
      <c r="B7" s="37">
        <v>24843</v>
      </c>
    </row>
    <row r="8" spans="1:5" x14ac:dyDescent="0.3">
      <c r="A8">
        <v>2012</v>
      </c>
      <c r="B8" s="37">
        <v>29941</v>
      </c>
      <c r="C8" s="37">
        <v>29941</v>
      </c>
      <c r="D8" s="37">
        <v>29941</v>
      </c>
      <c r="E8" s="37">
        <v>29941</v>
      </c>
    </row>
    <row r="9" spans="1:5" x14ac:dyDescent="0.3">
      <c r="A9">
        <v>2013</v>
      </c>
      <c r="C9" s="37">
        <f>_xlfn.FORECAST.ETS(A9,$B$2:$B$8,$A$2:$A$8,1,1)</f>
        <v>30406.071428571428</v>
      </c>
      <c r="D9" s="37">
        <f>C9-_xlfn.FORECAST.ETS.CONFINT(A9,$B$2:$B$8,$A$2:$A$8,0.95,1,1)</f>
        <v>26356.873202737766</v>
      </c>
      <c r="E9" s="37">
        <f>C9+_xlfn.FORECAST.ETS.CONFINT(A9,$B$2:$B$8,$A$2:$A$8,0.95,1,1)</f>
        <v>34455.269654405085</v>
      </c>
    </row>
    <row r="10" spans="1:5" x14ac:dyDescent="0.3">
      <c r="A10">
        <v>2014</v>
      </c>
      <c r="C10" s="37">
        <f>_xlfn.FORECAST.ETS(A10,$B$2:$B$8,$A$2:$A$8,1,1)</f>
        <v>30871.142857142859</v>
      </c>
      <c r="D10" s="37">
        <f>C10-_xlfn.FORECAST.ETS.CONFINT(A10,$B$2:$B$8,$A$2:$A$8,0.95,1,1)</f>
        <v>25147.574308793759</v>
      </c>
      <c r="E10" s="37">
        <f>C10+_xlfn.FORECAST.ETS.CONFINT(A10,$B$2:$B$8,$A$2:$A$8,0.95,1,1)</f>
        <v>36594.711405491958</v>
      </c>
    </row>
    <row r="11" spans="1:5" x14ac:dyDescent="0.3">
      <c r="A11">
        <v>2015</v>
      </c>
      <c r="C11" s="37">
        <f>_xlfn.FORECAST.ETS(A11,$B$2:$B$8,$A$2:$A$8,1,1)</f>
        <v>31336.214285714286</v>
      </c>
      <c r="D11" s="37">
        <f>C11-_xlfn.FORECAST.ETS.CONFINT(A11,$B$2:$B$8,$A$2:$A$8,0.95,1,1)</f>
        <v>24325.134254809956</v>
      </c>
      <c r="E11" s="37">
        <f>C11+_xlfn.FORECAST.ETS.CONFINT(A11,$B$2:$B$8,$A$2:$A$8,0.95,1,1)</f>
        <v>38347.294316618616</v>
      </c>
    </row>
    <row r="12" spans="1:5" x14ac:dyDescent="0.3">
      <c r="A12">
        <v>2016</v>
      </c>
      <c r="C12" s="37">
        <f>_xlfn.FORECAST.ETS(A12,$B$2:$B$8,$A$2:$A$8,1,1)</f>
        <v>31801.285714285714</v>
      </c>
      <c r="D12" s="37">
        <f>C12-_xlfn.FORECAST.ETS.CONFINT(A12,$B$2:$B$8,$A$2:$A$8,0.95,1,1)</f>
        <v>23702.887238019535</v>
      </c>
      <c r="E12" s="37">
        <f>C12+_xlfn.FORECAST.ETS.CONFINT(A12,$B$2:$B$8,$A$2:$A$8,0.95,1,1)</f>
        <v>39899.684190551896</v>
      </c>
    </row>
    <row r="41" spans="1:4" x14ac:dyDescent="0.3">
      <c r="A41" t="s">
        <v>267</v>
      </c>
      <c r="B41" t="s">
        <v>282</v>
      </c>
      <c r="C41" t="s">
        <v>283</v>
      </c>
      <c r="D41" t="s">
        <v>284</v>
      </c>
    </row>
    <row r="42" spans="1:4" x14ac:dyDescent="0.3">
      <c r="A42">
        <v>2006</v>
      </c>
      <c r="B42" s="37">
        <v>943783</v>
      </c>
    </row>
    <row r="43" spans="1:4" x14ac:dyDescent="0.3">
      <c r="A43">
        <v>2007</v>
      </c>
      <c r="B43" s="37">
        <v>1028317</v>
      </c>
    </row>
    <row r="44" spans="1:4" x14ac:dyDescent="0.3">
      <c r="A44">
        <v>2008</v>
      </c>
      <c r="B44" s="37">
        <v>982505</v>
      </c>
    </row>
    <row r="45" spans="1:4" x14ac:dyDescent="0.3">
      <c r="A45">
        <v>2009</v>
      </c>
      <c r="B45" s="37">
        <v>836814</v>
      </c>
    </row>
    <row r="46" spans="1:4" x14ac:dyDescent="0.3">
      <c r="A46">
        <v>2010</v>
      </c>
      <c r="B46" s="37">
        <v>1246213</v>
      </c>
    </row>
    <row r="47" spans="1:4" x14ac:dyDescent="0.3">
      <c r="A47">
        <v>2011</v>
      </c>
      <c r="B47" s="37">
        <v>1068083</v>
      </c>
    </row>
    <row r="48" spans="1:4" x14ac:dyDescent="0.3">
      <c r="A48">
        <v>2012</v>
      </c>
      <c r="B48" s="37">
        <v>1475767</v>
      </c>
    </row>
    <row r="49" spans="1:4" x14ac:dyDescent="0.3">
      <c r="A49">
        <v>2013</v>
      </c>
      <c r="C49" s="37">
        <f>_xlfn.FORECAST.ETS(A49,$B$2:$B$8,$A$2:$A$8,1,1)</f>
        <v>30406.071428571428</v>
      </c>
      <c r="D49" s="37">
        <f>_xlfn.FORECAST.ETS.CONFINT(A49,$B$2:$B$8,$A$2:$A$8,0.95,1,1)</f>
        <v>4049.1982258336598</v>
      </c>
    </row>
    <row r="50" spans="1:4" x14ac:dyDescent="0.3">
      <c r="A50">
        <v>2014</v>
      </c>
      <c r="C50" s="37">
        <f>_xlfn.FORECAST.ETS(A50,$B$2:$B$8,$A$2:$A$8,1,1)</f>
        <v>30871.142857142859</v>
      </c>
      <c r="D50" s="37">
        <f>_xlfn.FORECAST.ETS.CONFINT(A50,$B$2:$B$8,$A$2:$A$8,0.95,1,1)</f>
        <v>5723.5685483490988</v>
      </c>
    </row>
    <row r="51" spans="1:4" x14ac:dyDescent="0.3">
      <c r="A51">
        <v>2015</v>
      </c>
      <c r="C51" s="37">
        <f>_xlfn.FORECAST.ETS(A51,$B$2:$B$8,$A$2:$A$8,1,1)</f>
        <v>31336.214285714286</v>
      </c>
      <c r="D51" s="37">
        <f>_xlfn.FORECAST.ETS.CONFINT(A51,$B$2:$B$8,$A$2:$A$8,0.95,1,1)</f>
        <v>7011.0800309043307</v>
      </c>
    </row>
    <row r="52" spans="1:4" x14ac:dyDescent="0.3">
      <c r="A52">
        <v>2016</v>
      </c>
      <c r="C52" s="37">
        <f>_xlfn.FORECAST.ETS(A52,$B$2:$B$8,$A$2:$A$8,1,1)</f>
        <v>31801.285714285714</v>
      </c>
      <c r="D52" s="37">
        <f>_xlfn.FORECAST.ETS.CONFINT(A52,$B$2:$B$8,$A$2:$A$8,0.95,1,1)</f>
        <v>8098.3984762661794</v>
      </c>
    </row>
    <row r="54" spans="1:4" x14ac:dyDescent="0.3">
      <c r="A54" t="s">
        <v>269</v>
      </c>
      <c r="B54" t="s">
        <v>270</v>
      </c>
    </row>
    <row r="55" spans="1:4" x14ac:dyDescent="0.3">
      <c r="A55" t="s">
        <v>271</v>
      </c>
      <c r="B55" s="38">
        <f>_xlfn.FORECAST.ETS.STAT($B$2:$B$8,$A$2:$A$8,1,1,1)</f>
        <v>0.998</v>
      </c>
    </row>
    <row r="56" spans="1:4" x14ac:dyDescent="0.3">
      <c r="A56" t="s">
        <v>272</v>
      </c>
      <c r="B56" s="38">
        <f>_xlfn.FORECAST.ETS.STAT($B$2:$B$8,$A$2:$A$8,2,1,1)</f>
        <v>1E-3</v>
      </c>
    </row>
    <row r="57" spans="1:4" x14ac:dyDescent="0.3">
      <c r="A57" t="s">
        <v>273</v>
      </c>
      <c r="B57" s="38">
        <f>_xlfn.FORECAST.ETS.STAT($B$2:$B$8,$A$2:$A$8,3,1,1)</f>
        <v>2.2204460492503131E-16</v>
      </c>
    </row>
    <row r="58" spans="1:4" x14ac:dyDescent="0.3">
      <c r="A58" t="s">
        <v>274</v>
      </c>
      <c r="B58" s="38">
        <f>_xlfn.FORECAST.ETS.STAT($B$2:$B$8,$A$2:$A$8,4,1,1)</f>
        <v>0.80005244443241874</v>
      </c>
    </row>
    <row r="59" spans="1:4" x14ac:dyDescent="0.3">
      <c r="A59" t="s">
        <v>275</v>
      </c>
      <c r="B59" s="38">
        <f>_xlfn.FORECAST.ETS.STAT($B$2:$B$8,$A$2:$A$8,5,1,1)</f>
        <v>6.6885961643407141E-2</v>
      </c>
    </row>
    <row r="60" spans="1:4" x14ac:dyDescent="0.3">
      <c r="A60" t="s">
        <v>276</v>
      </c>
      <c r="B60" s="38">
        <f>_xlfn.FORECAST.ETS.STAT($B$2:$B$8,$A$2:$A$8,6,1,1)</f>
        <v>1688.2439998264756</v>
      </c>
    </row>
    <row r="61" spans="1:4" x14ac:dyDescent="0.3">
      <c r="A61" t="s">
        <v>277</v>
      </c>
      <c r="B61" s="38">
        <f>_xlfn.FORECAST.ETS.STAT($B$2:$B$8,$A$2:$A$8,7,1,1)</f>
        <v>2065.9554245757677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21CC-9AFC-43F0-93F1-D058069A8DD5}">
  <dimension ref="A1:F18"/>
  <sheetViews>
    <sheetView workbookViewId="0">
      <selection activeCell="A5" sqref="A5"/>
    </sheetView>
  </sheetViews>
  <sheetFormatPr defaultRowHeight="14.4" x14ac:dyDescent="0.3"/>
  <cols>
    <col min="2" max="2" width="14" customWidth="1"/>
    <col min="3" max="3" width="11.88671875" customWidth="1"/>
    <col min="5" max="5" width="17.77734375" customWidth="1"/>
    <col min="6" max="6" width="16" customWidth="1"/>
  </cols>
  <sheetData>
    <row r="1" spans="1:6" x14ac:dyDescent="0.3">
      <c r="A1" t="s">
        <v>308</v>
      </c>
      <c r="B1" t="s">
        <v>300</v>
      </c>
      <c r="C1" t="s">
        <v>278</v>
      </c>
      <c r="E1" t="e">
        <v>#N/A</v>
      </c>
      <c r="F1" t="e">
        <v>#N/A</v>
      </c>
    </row>
    <row r="2" spans="1:6" x14ac:dyDescent="0.3">
      <c r="A2" s="58">
        <v>2006</v>
      </c>
      <c r="B2" s="58">
        <v>943793</v>
      </c>
      <c r="C2" s="58">
        <v>24122</v>
      </c>
      <c r="E2" s="58">
        <f t="shared" ref="E2:E7" si="0">AVERAGE(B2:B3)</f>
        <v>986055</v>
      </c>
      <c r="F2" t="e">
        <v>#N/A</v>
      </c>
    </row>
    <row r="3" spans="1:6" x14ac:dyDescent="0.3">
      <c r="A3" s="58">
        <v>2007</v>
      </c>
      <c r="B3" s="58">
        <v>1028317</v>
      </c>
      <c r="C3" s="58">
        <v>25891</v>
      </c>
      <c r="E3" s="58">
        <f t="shared" si="0"/>
        <v>1005411</v>
      </c>
      <c r="F3" s="58">
        <f t="shared" ref="F3:F7" si="1">SQRT(SUMXMY2(B3:B4,E2:E3)/2)</f>
        <v>33990.892015361998</v>
      </c>
    </row>
    <row r="4" spans="1:6" x14ac:dyDescent="0.3">
      <c r="A4" s="58">
        <v>2008</v>
      </c>
      <c r="B4" s="58">
        <v>982505</v>
      </c>
      <c r="C4" s="58">
        <v>24809</v>
      </c>
      <c r="E4" s="58">
        <f t="shared" si="0"/>
        <v>909659.5</v>
      </c>
      <c r="F4" s="58">
        <f t="shared" si="1"/>
        <v>53996.072571299112</v>
      </c>
    </row>
    <row r="5" spans="1:6" x14ac:dyDescent="0.3">
      <c r="A5" s="58">
        <v>2009</v>
      </c>
      <c r="B5" s="58">
        <v>836814</v>
      </c>
      <c r="C5" s="58">
        <v>23226</v>
      </c>
      <c r="E5" s="58">
        <f t="shared" si="0"/>
        <v>1041513.5</v>
      </c>
      <c r="F5" s="58">
        <f t="shared" si="1"/>
        <v>153636.50635591138</v>
      </c>
    </row>
    <row r="6" spans="1:6" x14ac:dyDescent="0.3">
      <c r="A6" s="58">
        <v>2010</v>
      </c>
      <c r="B6" s="58">
        <v>1246213</v>
      </c>
      <c r="C6" s="58">
        <v>22470</v>
      </c>
      <c r="E6" s="58">
        <f t="shared" si="0"/>
        <v>1157148</v>
      </c>
      <c r="F6" s="58">
        <f t="shared" si="1"/>
        <v>157851.92353159655</v>
      </c>
    </row>
    <row r="7" spans="1:6" x14ac:dyDescent="0.3">
      <c r="A7" s="58">
        <v>2011</v>
      </c>
      <c r="B7" s="58">
        <v>1068083</v>
      </c>
      <c r="C7" s="58">
        <v>24843</v>
      </c>
      <c r="E7" s="58">
        <f t="shared" si="0"/>
        <v>1271925</v>
      </c>
      <c r="F7" s="58">
        <f t="shared" si="1"/>
        <v>157296.11436554941</v>
      </c>
    </row>
    <row r="8" spans="1:6" x14ac:dyDescent="0.3">
      <c r="A8" s="58">
        <v>2012</v>
      </c>
      <c r="B8" s="58">
        <v>1475767</v>
      </c>
      <c r="C8" s="58">
        <v>29941</v>
      </c>
      <c r="E8" s="58"/>
    </row>
    <row r="11" spans="1:6" x14ac:dyDescent="0.3">
      <c r="A11" t="s">
        <v>308</v>
      </c>
      <c r="B11" t="s">
        <v>300</v>
      </c>
      <c r="C11" t="s">
        <v>278</v>
      </c>
      <c r="E11" t="e">
        <v>#N/A</v>
      </c>
      <c r="F11" t="e">
        <v>#N/A</v>
      </c>
    </row>
    <row r="12" spans="1:6" x14ac:dyDescent="0.3">
      <c r="A12">
        <v>2006</v>
      </c>
      <c r="B12">
        <v>943793</v>
      </c>
      <c r="C12">
        <v>24122</v>
      </c>
      <c r="E12" s="58">
        <f t="shared" ref="E12:E17" si="2">AVERAGE(C2:C3)</f>
        <v>25006.5</v>
      </c>
      <c r="F12" t="e">
        <v>#N/A</v>
      </c>
    </row>
    <row r="13" spans="1:6" x14ac:dyDescent="0.3">
      <c r="A13">
        <v>2007</v>
      </c>
      <c r="B13">
        <v>1028317</v>
      </c>
      <c r="C13">
        <v>25891</v>
      </c>
      <c r="E13" s="58">
        <f t="shared" si="2"/>
        <v>25350</v>
      </c>
      <c r="F13" s="58">
        <f t="shared" ref="F13:F17" si="3">SQRT(SUMXMY2(C3:C4,E12:E13)/2)</f>
        <v>733.15116108480663</v>
      </c>
    </row>
    <row r="14" spans="1:6" x14ac:dyDescent="0.3">
      <c r="A14">
        <v>2008</v>
      </c>
      <c r="B14">
        <v>982505</v>
      </c>
      <c r="C14">
        <v>24809</v>
      </c>
      <c r="E14" s="58">
        <f t="shared" si="2"/>
        <v>24017.5</v>
      </c>
      <c r="F14" s="58">
        <f t="shared" si="3"/>
        <v>677.9208102721143</v>
      </c>
    </row>
    <row r="15" spans="1:6" x14ac:dyDescent="0.3">
      <c r="A15">
        <v>2009</v>
      </c>
      <c r="B15">
        <v>836814</v>
      </c>
      <c r="C15">
        <v>23226</v>
      </c>
      <c r="E15" s="58">
        <f t="shared" si="2"/>
        <v>22848</v>
      </c>
      <c r="F15" s="58">
        <f t="shared" si="3"/>
        <v>620.22425379857566</v>
      </c>
    </row>
    <row r="16" spans="1:6" x14ac:dyDescent="0.3">
      <c r="A16">
        <v>2010</v>
      </c>
      <c r="B16">
        <v>1246213</v>
      </c>
      <c r="C16">
        <v>22470</v>
      </c>
      <c r="E16" s="58">
        <f t="shared" si="2"/>
        <v>23656.5</v>
      </c>
      <c r="F16" s="58">
        <f t="shared" si="3"/>
        <v>880.53002504173583</v>
      </c>
    </row>
    <row r="17" spans="1:6" x14ac:dyDescent="0.3">
      <c r="A17">
        <v>2011</v>
      </c>
      <c r="B17">
        <v>1068083</v>
      </c>
      <c r="C17">
        <v>24843</v>
      </c>
      <c r="E17" s="58">
        <f t="shared" si="2"/>
        <v>27392</v>
      </c>
      <c r="F17" s="58">
        <f t="shared" si="3"/>
        <v>1988.1125785528343</v>
      </c>
    </row>
    <row r="18" spans="1:6" x14ac:dyDescent="0.3">
      <c r="A18">
        <v>2012</v>
      </c>
      <c r="B18">
        <v>1475767</v>
      </c>
      <c r="C18">
        <v>29941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18D5-4640-48CA-B723-20A18B0BB730}">
  <dimension ref="A2:C15"/>
  <sheetViews>
    <sheetView workbookViewId="0">
      <selection activeCell="G22" sqref="G22"/>
    </sheetView>
  </sheetViews>
  <sheetFormatPr defaultRowHeight="14.4" x14ac:dyDescent="0.3"/>
  <cols>
    <col min="1" max="1" width="10.77734375" bestFit="1" customWidth="1"/>
    <col min="2" max="2" width="20.88671875" bestFit="1" customWidth="1"/>
    <col min="3" max="3" width="24.33203125" bestFit="1" customWidth="1"/>
  </cols>
  <sheetData>
    <row r="2" spans="1:3" x14ac:dyDescent="0.3">
      <c r="A2" s="13" t="s">
        <v>239</v>
      </c>
      <c r="B2" t="s">
        <v>242</v>
      </c>
      <c r="C2" t="s">
        <v>243</v>
      </c>
    </row>
    <row r="3" spans="1:3" x14ac:dyDescent="0.3">
      <c r="A3" t="s">
        <v>206</v>
      </c>
      <c r="B3">
        <v>15</v>
      </c>
      <c r="C3">
        <v>1</v>
      </c>
    </row>
    <row r="4" spans="1:3" x14ac:dyDescent="0.3">
      <c r="A4" t="s">
        <v>205</v>
      </c>
      <c r="B4">
        <v>13</v>
      </c>
      <c r="C4">
        <v>2</v>
      </c>
    </row>
    <row r="5" spans="1:3" x14ac:dyDescent="0.3">
      <c r="A5" t="s">
        <v>207</v>
      </c>
      <c r="B5">
        <v>12</v>
      </c>
      <c r="C5">
        <v>1</v>
      </c>
    </row>
    <row r="6" spans="1:3" x14ac:dyDescent="0.3">
      <c r="A6" t="s">
        <v>195</v>
      </c>
      <c r="B6">
        <v>11</v>
      </c>
      <c r="C6">
        <v>8</v>
      </c>
    </row>
    <row r="7" spans="1:3" x14ac:dyDescent="0.3">
      <c r="A7" t="s">
        <v>194</v>
      </c>
      <c r="B7">
        <v>10</v>
      </c>
      <c r="C7">
        <v>3</v>
      </c>
    </row>
    <row r="8" spans="1:3" x14ac:dyDescent="0.3">
      <c r="A8" t="s">
        <v>197</v>
      </c>
      <c r="B8">
        <v>8</v>
      </c>
      <c r="C8">
        <v>13</v>
      </c>
    </row>
    <row r="9" spans="1:3" x14ac:dyDescent="0.3">
      <c r="A9" t="s">
        <v>204</v>
      </c>
      <c r="B9">
        <v>8</v>
      </c>
      <c r="C9">
        <v>3</v>
      </c>
    </row>
    <row r="10" spans="1:3" x14ac:dyDescent="0.3">
      <c r="A10" t="s">
        <v>203</v>
      </c>
      <c r="B10">
        <v>7</v>
      </c>
      <c r="C10">
        <v>8</v>
      </c>
    </row>
    <row r="11" spans="1:3" x14ac:dyDescent="0.3">
      <c r="A11" t="s">
        <v>201</v>
      </c>
      <c r="B11">
        <v>7</v>
      </c>
      <c r="C11">
        <v>10</v>
      </c>
    </row>
    <row r="12" spans="1:3" x14ac:dyDescent="0.3">
      <c r="A12" t="s">
        <v>198</v>
      </c>
      <c r="B12">
        <v>4</v>
      </c>
      <c r="C12">
        <v>18</v>
      </c>
    </row>
    <row r="13" spans="1:3" x14ac:dyDescent="0.3">
      <c r="A13" t="s">
        <v>200</v>
      </c>
      <c r="B13">
        <v>3</v>
      </c>
      <c r="C13">
        <v>15</v>
      </c>
    </row>
    <row r="14" spans="1:3" x14ac:dyDescent="0.3">
      <c r="A14" t="s">
        <v>199</v>
      </c>
      <c r="B14">
        <v>2</v>
      </c>
      <c r="C14">
        <v>18</v>
      </c>
    </row>
    <row r="15" spans="1:3" x14ac:dyDescent="0.3">
      <c r="A15" t="s">
        <v>228</v>
      </c>
      <c r="B15">
        <v>100</v>
      </c>
      <c r="C15">
        <v>100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81DF-4AE8-46FB-B386-E816FA738E2B}">
  <dimension ref="A2:O18"/>
  <sheetViews>
    <sheetView workbookViewId="0">
      <selection activeCell="A2" sqref="A2:O18"/>
    </sheetView>
  </sheetViews>
  <sheetFormatPr defaultRowHeight="14.4" x14ac:dyDescent="0.3"/>
  <cols>
    <col min="1" max="1" width="14.33203125" bestFit="1" customWidth="1"/>
    <col min="2" max="2" width="18.44140625" bestFit="1" customWidth="1"/>
    <col min="3" max="3" width="18.88671875" bestFit="1" customWidth="1"/>
    <col min="4" max="4" width="18.44140625" bestFit="1" customWidth="1"/>
    <col min="5" max="5" width="18.88671875" bestFit="1" customWidth="1"/>
    <col min="6" max="6" width="18.44140625" bestFit="1" customWidth="1"/>
    <col min="7" max="7" width="18.88671875" bestFit="1" customWidth="1"/>
    <col min="8" max="8" width="18.44140625" bestFit="1" customWidth="1"/>
    <col min="9" max="9" width="18.88671875" bestFit="1" customWidth="1"/>
    <col min="10" max="10" width="18.44140625" bestFit="1" customWidth="1"/>
    <col min="11" max="11" width="18.88671875" bestFit="1" customWidth="1"/>
    <col min="12" max="12" width="18.44140625" bestFit="1" customWidth="1"/>
    <col min="13" max="13" width="18.88671875" bestFit="1" customWidth="1"/>
    <col min="14" max="14" width="18.44140625" bestFit="1" customWidth="1"/>
    <col min="15" max="15" width="18.88671875" bestFit="1" customWidth="1"/>
  </cols>
  <sheetData>
    <row r="2" spans="1:15" x14ac:dyDescent="0.3">
      <c r="A2" s="13" t="s">
        <v>2</v>
      </c>
      <c r="B2" t="s">
        <v>291</v>
      </c>
      <c r="C2" t="s">
        <v>254</v>
      </c>
      <c r="D2" t="s">
        <v>297</v>
      </c>
      <c r="E2" t="s">
        <v>255</v>
      </c>
      <c r="F2" t="s">
        <v>296</v>
      </c>
      <c r="G2" t="s">
        <v>256</v>
      </c>
      <c r="H2" t="s">
        <v>295</v>
      </c>
      <c r="I2" t="s">
        <v>257</v>
      </c>
      <c r="J2" t="s">
        <v>294</v>
      </c>
      <c r="K2" t="s">
        <v>258</v>
      </c>
      <c r="L2" t="s">
        <v>293</v>
      </c>
      <c r="M2" t="s">
        <v>253</v>
      </c>
      <c r="N2" t="s">
        <v>292</v>
      </c>
      <c r="O2" t="s">
        <v>259</v>
      </c>
    </row>
    <row r="3" spans="1:15" x14ac:dyDescent="0.3">
      <c r="A3" t="s">
        <v>9</v>
      </c>
      <c r="B3">
        <v>12785</v>
      </c>
      <c r="C3">
        <v>491717.2</v>
      </c>
      <c r="D3">
        <v>13044</v>
      </c>
      <c r="E3">
        <v>519258.8</v>
      </c>
      <c r="F3">
        <v>17477</v>
      </c>
      <c r="G3">
        <v>709490.6</v>
      </c>
      <c r="H3">
        <v>18993</v>
      </c>
      <c r="I3">
        <v>676723</v>
      </c>
      <c r="J3">
        <v>15655</v>
      </c>
      <c r="K3">
        <v>888836.39999999991</v>
      </c>
      <c r="L3">
        <v>11774</v>
      </c>
      <c r="M3">
        <v>652631.6</v>
      </c>
      <c r="N3">
        <v>11510</v>
      </c>
      <c r="O3">
        <v>596474.6</v>
      </c>
    </row>
    <row r="4" spans="1:15" x14ac:dyDescent="0.3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557</v>
      </c>
      <c r="M4">
        <v>19455</v>
      </c>
      <c r="N4">
        <v>496</v>
      </c>
      <c r="O4">
        <v>14880</v>
      </c>
    </row>
    <row r="5" spans="1:15" x14ac:dyDescent="0.3">
      <c r="A5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39</v>
      </c>
      <c r="M5">
        <v>1339.5</v>
      </c>
      <c r="N5">
        <v>48</v>
      </c>
      <c r="O5">
        <v>2204.5</v>
      </c>
    </row>
    <row r="6" spans="1:15" x14ac:dyDescent="0.3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13</v>
      </c>
      <c r="M6">
        <v>338</v>
      </c>
      <c r="N6">
        <v>26</v>
      </c>
      <c r="O6">
        <v>3588</v>
      </c>
    </row>
    <row r="7" spans="1:15" x14ac:dyDescent="0.3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13919</v>
      </c>
      <c r="N7">
        <v>306</v>
      </c>
      <c r="O7">
        <v>73349</v>
      </c>
    </row>
    <row r="8" spans="1:15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15</v>
      </c>
      <c r="M8">
        <v>-499.5</v>
      </c>
      <c r="N8">
        <v>44</v>
      </c>
      <c r="O8">
        <v>3090.5</v>
      </c>
    </row>
    <row r="9" spans="1:15" x14ac:dyDescent="0.3">
      <c r="A9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43</v>
      </c>
      <c r="M9">
        <v>2342</v>
      </c>
      <c r="N9">
        <v>38</v>
      </c>
      <c r="O9">
        <v>4452</v>
      </c>
    </row>
    <row r="10" spans="1:15" x14ac:dyDescent="0.3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</v>
      </c>
      <c r="M10">
        <v>320</v>
      </c>
      <c r="N10">
        <v>15</v>
      </c>
      <c r="O10">
        <v>2070</v>
      </c>
    </row>
    <row r="11" spans="1:15" x14ac:dyDescent="0.3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>
        <v>3500</v>
      </c>
      <c r="N11">
        <v>0</v>
      </c>
      <c r="O11">
        <v>0</v>
      </c>
    </row>
    <row r="12" spans="1:15" x14ac:dyDescent="0.3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20</v>
      </c>
      <c r="M12">
        <v>734</v>
      </c>
      <c r="N12">
        <v>7</v>
      </c>
      <c r="O12">
        <v>165</v>
      </c>
    </row>
    <row r="13" spans="1:15" x14ac:dyDescent="0.3">
      <c r="A13" t="s">
        <v>17</v>
      </c>
      <c r="B13">
        <v>31</v>
      </c>
      <c r="C13">
        <v>744</v>
      </c>
      <c r="D13">
        <v>29</v>
      </c>
      <c r="E13">
        <v>696</v>
      </c>
      <c r="F13">
        <v>71</v>
      </c>
      <c r="G13">
        <v>1704</v>
      </c>
      <c r="H13">
        <v>7</v>
      </c>
      <c r="I13">
        <v>168</v>
      </c>
      <c r="J13">
        <v>12</v>
      </c>
      <c r="K13">
        <v>288</v>
      </c>
      <c r="L13">
        <v>476</v>
      </c>
      <c r="M13">
        <v>42071.199999999997</v>
      </c>
      <c r="N13">
        <v>1063</v>
      </c>
      <c r="O13">
        <v>119738.2</v>
      </c>
    </row>
    <row r="14" spans="1:15" x14ac:dyDescent="0.3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56</v>
      </c>
      <c r="M14">
        <v>-385</v>
      </c>
      <c r="N14">
        <v>170</v>
      </c>
      <c r="O14">
        <v>4369</v>
      </c>
    </row>
    <row r="15" spans="1:15" x14ac:dyDescent="0.3">
      <c r="A15" t="s">
        <v>12</v>
      </c>
      <c r="B15">
        <v>11306</v>
      </c>
      <c r="C15">
        <v>451332</v>
      </c>
      <c r="D15">
        <v>12818</v>
      </c>
      <c r="E15">
        <v>508362</v>
      </c>
      <c r="F15">
        <v>7261</v>
      </c>
      <c r="G15">
        <v>271310</v>
      </c>
      <c r="H15">
        <v>4226</v>
      </c>
      <c r="I15">
        <v>159923</v>
      </c>
      <c r="J15">
        <v>5994</v>
      </c>
      <c r="K15">
        <v>337576</v>
      </c>
      <c r="L15">
        <v>9251</v>
      </c>
      <c r="M15">
        <v>345693</v>
      </c>
      <c r="N15">
        <v>11749</v>
      </c>
      <c r="O15">
        <v>550299</v>
      </c>
    </row>
    <row r="16" spans="1:15" x14ac:dyDescent="0.3">
      <c r="A16" t="s">
        <v>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809</v>
      </c>
      <c r="K16">
        <v>19512.5</v>
      </c>
      <c r="L16">
        <v>2426</v>
      </c>
      <c r="M16">
        <v>-12815.5</v>
      </c>
      <c r="N16">
        <v>4464</v>
      </c>
      <c r="O16">
        <v>100747.5</v>
      </c>
    </row>
    <row r="17" spans="1:15" x14ac:dyDescent="0.3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-560</v>
      </c>
      <c r="N17">
        <v>5</v>
      </c>
      <c r="O17">
        <v>340</v>
      </c>
    </row>
    <row r="18" spans="1:15" x14ac:dyDescent="0.3">
      <c r="A18" t="s">
        <v>228</v>
      </c>
      <c r="B18">
        <v>24122</v>
      </c>
      <c r="C18">
        <v>943793.2</v>
      </c>
      <c r="D18">
        <v>25891</v>
      </c>
      <c r="E18">
        <v>1028316.8</v>
      </c>
      <c r="F18">
        <v>24809</v>
      </c>
      <c r="G18">
        <v>982504.6</v>
      </c>
      <c r="H18">
        <v>23226</v>
      </c>
      <c r="I18">
        <v>836814</v>
      </c>
      <c r="J18">
        <v>22470</v>
      </c>
      <c r="K18">
        <v>1246212.8999999999</v>
      </c>
      <c r="L18">
        <v>24843</v>
      </c>
      <c r="M18">
        <v>1068083.2999999998</v>
      </c>
      <c r="N18">
        <v>29941</v>
      </c>
      <c r="O18">
        <v>1475767.2999999998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2F12-3251-4EE7-B6B6-8FB723E509FA}">
  <dimension ref="A1:O16"/>
  <sheetViews>
    <sheetView workbookViewId="0">
      <selection activeCell="M21" sqref="M21"/>
    </sheetView>
  </sheetViews>
  <sheetFormatPr defaultRowHeight="14.4" x14ac:dyDescent="0.3"/>
  <cols>
    <col min="1" max="1" width="12.5546875" customWidth="1"/>
    <col min="2" max="2" width="19.5546875" customWidth="1"/>
    <col min="3" max="3" width="20" customWidth="1"/>
    <col min="4" max="4" width="19.5546875" customWidth="1"/>
    <col min="5" max="5" width="20" customWidth="1"/>
    <col min="6" max="6" width="19.5546875" customWidth="1"/>
    <col min="7" max="7" width="20" customWidth="1"/>
    <col min="8" max="8" width="19.5546875" customWidth="1"/>
    <col min="9" max="9" width="20" customWidth="1"/>
    <col min="10" max="10" width="19.5546875" customWidth="1"/>
    <col min="11" max="11" width="20" customWidth="1"/>
    <col min="12" max="12" width="19.5546875" customWidth="1"/>
    <col min="13" max="13" width="20" customWidth="1"/>
    <col min="14" max="14" width="19.5546875" customWidth="1"/>
    <col min="15" max="15" width="20" customWidth="1"/>
  </cols>
  <sheetData>
    <row r="1" spans="1:15" x14ac:dyDescent="0.3">
      <c r="A1" t="s">
        <v>2</v>
      </c>
      <c r="B1" t="s">
        <v>291</v>
      </c>
      <c r="C1" t="s">
        <v>254</v>
      </c>
      <c r="D1" t="s">
        <v>297</v>
      </c>
      <c r="E1" t="s">
        <v>255</v>
      </c>
      <c r="F1" t="s">
        <v>296</v>
      </c>
      <c r="G1" t="s">
        <v>256</v>
      </c>
      <c r="H1" t="s">
        <v>295</v>
      </c>
      <c r="I1" t="s">
        <v>257</v>
      </c>
      <c r="J1" t="s">
        <v>294</v>
      </c>
      <c r="K1" t="s">
        <v>258</v>
      </c>
      <c r="L1" t="s">
        <v>293</v>
      </c>
      <c r="M1" t="s">
        <v>253</v>
      </c>
      <c r="N1" t="s">
        <v>231</v>
      </c>
      <c r="O1" t="s">
        <v>245</v>
      </c>
    </row>
    <row r="2" spans="1:15" x14ac:dyDescent="0.3">
      <c r="A2" t="s">
        <v>9</v>
      </c>
      <c r="B2">
        <v>12785</v>
      </c>
      <c r="C2">
        <v>491717.2</v>
      </c>
      <c r="D2">
        <v>13044</v>
      </c>
      <c r="E2">
        <v>519258.8</v>
      </c>
      <c r="F2">
        <v>17477</v>
      </c>
      <c r="G2">
        <v>709490.6</v>
      </c>
      <c r="H2">
        <v>18993</v>
      </c>
      <c r="I2">
        <v>676723</v>
      </c>
      <c r="J2">
        <v>15655</v>
      </c>
      <c r="K2">
        <v>888836.39999999991</v>
      </c>
      <c r="L2">
        <v>11774</v>
      </c>
      <c r="M2">
        <v>652631.6</v>
      </c>
      <c r="N2">
        <v>11510</v>
      </c>
      <c r="O2">
        <v>596474.6</v>
      </c>
    </row>
    <row r="3" spans="1:15" x14ac:dyDescent="0.3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557</v>
      </c>
      <c r="M3">
        <v>19455</v>
      </c>
      <c r="N3">
        <v>496</v>
      </c>
      <c r="O3">
        <v>14880</v>
      </c>
    </row>
    <row r="4" spans="1:15" x14ac:dyDescent="0.3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39</v>
      </c>
      <c r="M4">
        <v>1339.5</v>
      </c>
      <c r="N4">
        <v>48</v>
      </c>
      <c r="O4">
        <v>2204.5</v>
      </c>
    </row>
    <row r="5" spans="1:15" x14ac:dyDescent="0.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13</v>
      </c>
      <c r="M5">
        <v>338</v>
      </c>
      <c r="N5">
        <v>26</v>
      </c>
      <c r="O5">
        <v>3588</v>
      </c>
    </row>
    <row r="6" spans="1:15" x14ac:dyDescent="0.3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160</v>
      </c>
      <c r="M6">
        <v>13919</v>
      </c>
      <c r="N6">
        <v>306</v>
      </c>
      <c r="O6">
        <v>73349</v>
      </c>
    </row>
    <row r="7" spans="1:15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</v>
      </c>
      <c r="M7">
        <v>-499.5</v>
      </c>
      <c r="N7">
        <v>44</v>
      </c>
      <c r="O7">
        <v>3090.5</v>
      </c>
    </row>
    <row r="8" spans="1:15" x14ac:dyDescent="0.3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43</v>
      </c>
      <c r="M8">
        <v>2342</v>
      </c>
      <c r="N8">
        <v>38</v>
      </c>
      <c r="O8">
        <v>4452</v>
      </c>
    </row>
    <row r="9" spans="1:15" x14ac:dyDescent="0.3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</v>
      </c>
      <c r="M9">
        <v>320</v>
      </c>
      <c r="N9">
        <v>15</v>
      </c>
      <c r="O9">
        <v>2070</v>
      </c>
    </row>
    <row r="10" spans="1:15" x14ac:dyDescent="0.3">
      <c r="A10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</v>
      </c>
      <c r="M10">
        <v>3500</v>
      </c>
      <c r="N10">
        <v>0</v>
      </c>
      <c r="O10">
        <v>0</v>
      </c>
    </row>
    <row r="11" spans="1:15" x14ac:dyDescent="0.3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20</v>
      </c>
      <c r="M11">
        <v>734</v>
      </c>
      <c r="N11">
        <v>7</v>
      </c>
      <c r="O11">
        <v>165</v>
      </c>
    </row>
    <row r="12" spans="1:15" x14ac:dyDescent="0.3">
      <c r="A12" t="s">
        <v>17</v>
      </c>
      <c r="B12">
        <v>31</v>
      </c>
      <c r="C12">
        <v>744</v>
      </c>
      <c r="D12">
        <v>29</v>
      </c>
      <c r="E12">
        <v>696</v>
      </c>
      <c r="F12">
        <v>71</v>
      </c>
      <c r="G12">
        <v>1704</v>
      </c>
      <c r="H12">
        <v>7</v>
      </c>
      <c r="I12">
        <v>168</v>
      </c>
      <c r="J12">
        <v>12</v>
      </c>
      <c r="K12">
        <v>288</v>
      </c>
      <c r="L12">
        <v>476</v>
      </c>
      <c r="M12">
        <v>42071.199999999997</v>
      </c>
      <c r="N12">
        <v>1063</v>
      </c>
      <c r="O12">
        <v>119738.2</v>
      </c>
    </row>
    <row r="13" spans="1:15" x14ac:dyDescent="0.3">
      <c r="A13" t="s">
        <v>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56</v>
      </c>
      <c r="M13">
        <v>-385</v>
      </c>
      <c r="N13">
        <v>170</v>
      </c>
      <c r="O13">
        <v>4369</v>
      </c>
    </row>
    <row r="14" spans="1:15" x14ac:dyDescent="0.3">
      <c r="A14" t="s">
        <v>12</v>
      </c>
      <c r="B14">
        <v>11306</v>
      </c>
      <c r="C14">
        <v>451332</v>
      </c>
      <c r="D14">
        <v>12818</v>
      </c>
      <c r="E14">
        <v>508362</v>
      </c>
      <c r="F14">
        <v>7261</v>
      </c>
      <c r="G14">
        <v>271310</v>
      </c>
      <c r="H14">
        <v>4226</v>
      </c>
      <c r="I14">
        <v>159923</v>
      </c>
      <c r="J14">
        <v>5994</v>
      </c>
      <c r="K14">
        <v>337576</v>
      </c>
      <c r="L14">
        <v>9251</v>
      </c>
      <c r="M14">
        <v>345693</v>
      </c>
      <c r="N14">
        <v>11749</v>
      </c>
      <c r="O14">
        <v>550299</v>
      </c>
    </row>
    <row r="15" spans="1:15" x14ac:dyDescent="0.3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809</v>
      </c>
      <c r="K15">
        <v>19512.5</v>
      </c>
      <c r="L15">
        <v>2426</v>
      </c>
      <c r="M15">
        <v>-12815.5</v>
      </c>
      <c r="N15">
        <v>4464</v>
      </c>
      <c r="O15">
        <v>100747.5</v>
      </c>
    </row>
    <row r="16" spans="1:15" x14ac:dyDescent="0.3">
      <c r="A16" t="s">
        <v>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-560</v>
      </c>
      <c r="N16">
        <v>5</v>
      </c>
      <c r="O16">
        <v>340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FE3C-4FBD-4508-9D59-41ED63F009B9}">
  <dimension ref="A1:I22"/>
  <sheetViews>
    <sheetView workbookViewId="0">
      <selection activeCell="J14" sqref="J14"/>
    </sheetView>
  </sheetViews>
  <sheetFormatPr defaultRowHeight="14.4" x14ac:dyDescent="0.3"/>
  <cols>
    <col min="1" max="1" width="16.44140625" customWidth="1"/>
    <col min="2" max="2" width="19.6640625" customWidth="1"/>
    <col min="3" max="3" width="15.109375" customWidth="1"/>
    <col min="4" max="4" width="17.6640625" customWidth="1"/>
    <col min="5" max="5" width="15" customWidth="1"/>
    <col min="6" max="6" width="15.88671875" customWidth="1"/>
    <col min="7" max="7" width="12" customWidth="1"/>
    <col min="8" max="8" width="13.5546875" customWidth="1"/>
    <col min="9" max="9" width="15.33203125" customWidth="1"/>
  </cols>
  <sheetData>
    <row r="1" spans="1:9" x14ac:dyDescent="0.3">
      <c r="A1" t="s">
        <v>327</v>
      </c>
    </row>
    <row r="2" spans="1:9" ht="15" thickBot="1" x14ac:dyDescent="0.35"/>
    <row r="3" spans="1:9" x14ac:dyDescent="0.3">
      <c r="A3" s="62" t="s">
        <v>328</v>
      </c>
      <c r="B3" s="62"/>
    </row>
    <row r="4" spans="1:9" x14ac:dyDescent="0.3">
      <c r="A4" s="59" t="s">
        <v>329</v>
      </c>
      <c r="B4" s="59">
        <v>0.40047258514810702</v>
      </c>
    </row>
    <row r="5" spans="1:9" x14ac:dyDescent="0.3">
      <c r="A5" s="59" t="s">
        <v>330</v>
      </c>
      <c r="B5" s="59">
        <v>0.16037829145520782</v>
      </c>
    </row>
    <row r="6" spans="1:9" x14ac:dyDescent="0.3">
      <c r="A6" s="59" t="s">
        <v>331</v>
      </c>
      <c r="B6" s="59">
        <v>0.11373264098049714</v>
      </c>
    </row>
    <row r="7" spans="1:9" x14ac:dyDescent="0.3">
      <c r="A7" s="59" t="s">
        <v>332</v>
      </c>
      <c r="B7" s="59">
        <v>0.84179877254700575</v>
      </c>
    </row>
    <row r="8" spans="1:9" ht="15" thickBot="1" x14ac:dyDescent="0.35">
      <c r="A8" s="60" t="s">
        <v>333</v>
      </c>
      <c r="B8" s="60">
        <v>96</v>
      </c>
    </row>
    <row r="10" spans="1:9" ht="15" thickBot="1" x14ac:dyDescent="0.35">
      <c r="A10" t="s">
        <v>334</v>
      </c>
    </row>
    <row r="11" spans="1:9" x14ac:dyDescent="0.3">
      <c r="A11" s="61"/>
      <c r="B11" s="61" t="s">
        <v>338</v>
      </c>
      <c r="C11" s="61" t="s">
        <v>339</v>
      </c>
      <c r="D11" s="61" t="s">
        <v>340</v>
      </c>
      <c r="E11" s="61" t="s">
        <v>341</v>
      </c>
      <c r="F11" s="61" t="s">
        <v>342</v>
      </c>
    </row>
    <row r="12" spans="1:9" x14ac:dyDescent="0.3">
      <c r="A12" s="59" t="s">
        <v>335</v>
      </c>
      <c r="B12" s="59">
        <v>5</v>
      </c>
      <c r="C12" s="59">
        <v>12.182067721785145</v>
      </c>
      <c r="D12" s="59">
        <v>2.4364135443570292</v>
      </c>
      <c r="E12" s="59">
        <v>3.4382260687340658</v>
      </c>
      <c r="F12" s="59">
        <v>6.8753737772552599E-3</v>
      </c>
    </row>
    <row r="13" spans="1:9" x14ac:dyDescent="0.3">
      <c r="A13" s="59" t="s">
        <v>336</v>
      </c>
      <c r="B13" s="59">
        <v>90</v>
      </c>
      <c r="C13" s="59">
        <v>63.776265611548098</v>
      </c>
      <c r="D13" s="59">
        <v>0.70862517346164555</v>
      </c>
      <c r="E13" s="59"/>
      <c r="F13" s="59"/>
    </row>
    <row r="14" spans="1:9" ht="15" thickBot="1" x14ac:dyDescent="0.35">
      <c r="A14" s="60" t="s">
        <v>209</v>
      </c>
      <c r="B14" s="60">
        <v>95</v>
      </c>
      <c r="C14" s="60">
        <v>75.958333333333243</v>
      </c>
      <c r="D14" s="60"/>
      <c r="E14" s="60"/>
      <c r="F14" s="60"/>
    </row>
    <row r="15" spans="1:9" ht="15" thickBot="1" x14ac:dyDescent="0.35"/>
    <row r="16" spans="1:9" x14ac:dyDescent="0.3">
      <c r="A16" s="61"/>
      <c r="B16" s="61" t="s">
        <v>343</v>
      </c>
      <c r="C16" s="61" t="s">
        <v>332</v>
      </c>
      <c r="D16" s="61" t="s">
        <v>344</v>
      </c>
      <c r="E16" s="61" t="s">
        <v>345</v>
      </c>
      <c r="F16" s="61" t="s">
        <v>346</v>
      </c>
      <c r="G16" s="61" t="s">
        <v>347</v>
      </c>
      <c r="H16" s="61" t="s">
        <v>348</v>
      </c>
      <c r="I16" s="61" t="s">
        <v>349</v>
      </c>
    </row>
    <row r="17" spans="1:9" x14ac:dyDescent="0.3">
      <c r="A17" s="59" t="s">
        <v>337</v>
      </c>
      <c r="B17" s="59">
        <v>0.574319781996664</v>
      </c>
      <c r="C17" s="59">
        <v>0.15393006874738996</v>
      </c>
      <c r="D17" s="59">
        <v>3.7310434970256723</v>
      </c>
      <c r="E17" s="59">
        <v>3.3339238866360294E-4</v>
      </c>
      <c r="F17" s="59">
        <v>0.26851083336744302</v>
      </c>
      <c r="G17" s="59">
        <v>0.88012873062588493</v>
      </c>
      <c r="H17" s="59">
        <v>0.26851083336744302</v>
      </c>
      <c r="I17" s="59">
        <v>0.88012873062588493</v>
      </c>
    </row>
    <row r="18" spans="1:9" x14ac:dyDescent="0.3">
      <c r="A18" s="59" t="s">
        <v>288</v>
      </c>
      <c r="B18" s="59">
        <v>0.29684118306311624</v>
      </c>
      <c r="C18" s="59">
        <v>9.7216763359785574E-2</v>
      </c>
      <c r="D18" s="59">
        <v>3.0533950401593679</v>
      </c>
      <c r="E18" s="59">
        <v>2.9753342658040307E-3</v>
      </c>
      <c r="F18" s="59">
        <v>0.10370311436660695</v>
      </c>
      <c r="G18" s="59">
        <v>0.48997925175962553</v>
      </c>
      <c r="H18" s="59">
        <v>0.10370311436660695</v>
      </c>
      <c r="I18" s="59">
        <v>0.48997925175962553</v>
      </c>
    </row>
    <row r="19" spans="1:9" x14ac:dyDescent="0.3">
      <c r="A19" s="59" t="s">
        <v>325</v>
      </c>
      <c r="B19" s="59">
        <v>-9.968513109505478E-2</v>
      </c>
      <c r="C19" s="59">
        <v>3.4556489306046718E-2</v>
      </c>
      <c r="D19" s="59">
        <v>-2.8847007637900246</v>
      </c>
      <c r="E19" s="59">
        <v>4.9020998008946909E-3</v>
      </c>
      <c r="F19" s="59">
        <v>-0.16833762861547996</v>
      </c>
      <c r="G19" s="59">
        <v>-3.1032633574629612E-2</v>
      </c>
      <c r="H19" s="59">
        <v>-0.16833762861547996</v>
      </c>
      <c r="I19" s="59">
        <v>-3.1032633574629612E-2</v>
      </c>
    </row>
    <row r="20" spans="1:9" x14ac:dyDescent="0.3">
      <c r="A20" s="59" t="s">
        <v>287</v>
      </c>
      <c r="B20" s="59">
        <v>-1.5041307228908201E-3</v>
      </c>
      <c r="C20" s="59">
        <v>1.9546327540546251E-3</v>
      </c>
      <c r="D20" s="59">
        <v>-0.76952088302557164</v>
      </c>
      <c r="E20" s="59">
        <v>0.44359912496525522</v>
      </c>
      <c r="F20" s="59">
        <v>-5.3873498517968419E-3</v>
      </c>
      <c r="G20" s="59">
        <v>2.3790884060152012E-3</v>
      </c>
      <c r="H20" s="59">
        <v>-5.3873498517968419E-3</v>
      </c>
      <c r="I20" s="59">
        <v>2.3790884060152012E-3</v>
      </c>
    </row>
    <row r="21" spans="1:9" x14ac:dyDescent="0.3">
      <c r="A21" s="59" t="s">
        <v>311</v>
      </c>
      <c r="B21" s="59">
        <v>-7.1575799475030754E-4</v>
      </c>
      <c r="C21" s="59">
        <v>2.933795285855812E-4</v>
      </c>
      <c r="D21" s="59">
        <v>-2.4396998597723054</v>
      </c>
      <c r="E21" s="59">
        <v>1.6660178745216834E-2</v>
      </c>
      <c r="F21" s="59">
        <v>-1.2986076349549563E-3</v>
      </c>
      <c r="G21" s="59">
        <v>-1.3290835454565883E-4</v>
      </c>
      <c r="H21" s="59">
        <v>-1.2986076349549563E-3</v>
      </c>
      <c r="I21" s="59">
        <v>-1.3290835454565883E-4</v>
      </c>
    </row>
    <row r="22" spans="1:9" ht="15" thickBot="1" x14ac:dyDescent="0.35">
      <c r="A22" s="60" t="s">
        <v>317</v>
      </c>
      <c r="B22" s="60">
        <v>9.3252875508550902E-6</v>
      </c>
      <c r="C22" s="60">
        <v>5.5381428413876068E-6</v>
      </c>
      <c r="D22" s="60">
        <v>1.6838293662571182</v>
      </c>
      <c r="E22" s="60">
        <v>9.5680159995237851E-2</v>
      </c>
      <c r="F22" s="60">
        <v>-1.6771998349105171E-6</v>
      </c>
      <c r="G22" s="60">
        <v>2.0327774936620696E-5</v>
      </c>
      <c r="H22" s="60">
        <v>-1.6771998349105171E-6</v>
      </c>
      <c r="I22" s="60">
        <v>2.0327774936620696E-5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A2A6-F458-4D52-825D-46C2C871F2A2}">
  <dimension ref="A1:I97"/>
  <sheetViews>
    <sheetView workbookViewId="0">
      <selection activeCell="J5" sqref="J5"/>
    </sheetView>
  </sheetViews>
  <sheetFormatPr defaultRowHeight="14.4" x14ac:dyDescent="0.3"/>
  <cols>
    <col min="2" max="2" width="18.88671875" customWidth="1"/>
    <col min="3" max="3" width="19.109375" customWidth="1"/>
    <col min="4" max="4" width="20.77734375" customWidth="1"/>
    <col min="5" max="5" width="20.44140625" customWidth="1"/>
    <col min="6" max="6" width="18.21875" customWidth="1"/>
    <col min="7" max="7" width="16.109375" customWidth="1"/>
    <col min="8" max="8" width="14.5546875" customWidth="1"/>
    <col min="9" max="9" width="18.77734375" customWidth="1"/>
  </cols>
  <sheetData>
    <row r="1" spans="1:9" x14ac:dyDescent="0.3">
      <c r="A1" t="s">
        <v>0</v>
      </c>
      <c r="B1" t="s">
        <v>288</v>
      </c>
      <c r="C1" t="s">
        <v>325</v>
      </c>
      <c r="D1" t="s">
        <v>287</v>
      </c>
      <c r="E1" t="s">
        <v>311</v>
      </c>
      <c r="F1" t="s">
        <v>317</v>
      </c>
      <c r="G1" t="s">
        <v>5</v>
      </c>
      <c r="H1" t="s">
        <v>324</v>
      </c>
      <c r="I1" t="s">
        <v>326</v>
      </c>
    </row>
    <row r="2" spans="1:9" x14ac:dyDescent="0.3">
      <c r="A2" t="s">
        <v>82</v>
      </c>
      <c r="B2">
        <v>40</v>
      </c>
      <c r="C2">
        <v>112</v>
      </c>
      <c r="D2">
        <v>220</v>
      </c>
      <c r="E2">
        <v>0</v>
      </c>
      <c r="F2">
        <v>0</v>
      </c>
      <c r="G2" t="s">
        <v>10</v>
      </c>
      <c r="H2">
        <v>98</v>
      </c>
      <c r="I2">
        <v>0</v>
      </c>
    </row>
    <row r="3" spans="1:9" x14ac:dyDescent="0.3">
      <c r="A3" t="s">
        <v>86</v>
      </c>
      <c r="B3">
        <v>60</v>
      </c>
      <c r="C3">
        <v>168</v>
      </c>
      <c r="D3">
        <v>579</v>
      </c>
      <c r="E3">
        <v>0</v>
      </c>
      <c r="F3">
        <v>0</v>
      </c>
      <c r="G3" t="s">
        <v>10</v>
      </c>
      <c r="H3">
        <v>96</v>
      </c>
      <c r="I3">
        <v>0</v>
      </c>
    </row>
    <row r="4" spans="1:9" x14ac:dyDescent="0.3">
      <c r="A4" t="s">
        <v>90</v>
      </c>
      <c r="B4">
        <v>47</v>
      </c>
      <c r="C4">
        <v>131.6</v>
      </c>
      <c r="D4">
        <v>315</v>
      </c>
      <c r="E4">
        <v>0</v>
      </c>
      <c r="F4">
        <v>0</v>
      </c>
      <c r="G4" t="s">
        <v>10</v>
      </c>
      <c r="H4">
        <v>93</v>
      </c>
      <c r="I4">
        <v>0</v>
      </c>
    </row>
    <row r="5" spans="1:9" x14ac:dyDescent="0.3">
      <c r="A5" t="s">
        <v>98</v>
      </c>
      <c r="B5">
        <v>14</v>
      </c>
      <c r="C5">
        <v>39.199999999999996</v>
      </c>
      <c r="D5">
        <v>30</v>
      </c>
      <c r="E5">
        <v>0</v>
      </c>
      <c r="F5">
        <v>0</v>
      </c>
      <c r="G5" t="s">
        <v>97</v>
      </c>
      <c r="H5">
        <v>93</v>
      </c>
      <c r="I5">
        <f t="shared" ref="I3:I33" si="0">IF(G5="Self Watering", 1, IF(G5="Bins", 2, IF(G5="Planterware", 3, "")))</f>
        <v>3</v>
      </c>
    </row>
    <row r="6" spans="1:9" x14ac:dyDescent="0.3">
      <c r="A6" t="s">
        <v>100</v>
      </c>
      <c r="B6">
        <v>17</v>
      </c>
      <c r="C6">
        <v>47.599999999999994</v>
      </c>
      <c r="D6">
        <v>38</v>
      </c>
      <c r="E6">
        <v>0</v>
      </c>
      <c r="F6">
        <v>0</v>
      </c>
      <c r="G6" t="s">
        <v>97</v>
      </c>
      <c r="H6">
        <v>99</v>
      </c>
      <c r="I6">
        <f t="shared" si="0"/>
        <v>3</v>
      </c>
    </row>
    <row r="7" spans="1:9" x14ac:dyDescent="0.3">
      <c r="A7" t="s">
        <v>84</v>
      </c>
      <c r="B7">
        <v>47</v>
      </c>
      <c r="C7">
        <v>131.6</v>
      </c>
      <c r="D7">
        <v>340</v>
      </c>
      <c r="E7">
        <v>2</v>
      </c>
      <c r="F7">
        <v>416.8</v>
      </c>
      <c r="G7" t="s">
        <v>10</v>
      </c>
      <c r="H7">
        <v>92</v>
      </c>
      <c r="I7">
        <v>0</v>
      </c>
    </row>
    <row r="8" spans="1:9" x14ac:dyDescent="0.3">
      <c r="A8" t="s">
        <v>88</v>
      </c>
      <c r="B8">
        <v>40</v>
      </c>
      <c r="C8">
        <v>112</v>
      </c>
      <c r="D8">
        <v>250</v>
      </c>
      <c r="E8">
        <v>5</v>
      </c>
      <c r="F8">
        <v>690</v>
      </c>
      <c r="G8" t="s">
        <v>10</v>
      </c>
      <c r="H8">
        <v>95</v>
      </c>
      <c r="I8">
        <v>0</v>
      </c>
    </row>
    <row r="9" spans="1:9" x14ac:dyDescent="0.3">
      <c r="A9" t="s">
        <v>181</v>
      </c>
      <c r="B9">
        <v>5</v>
      </c>
      <c r="C9">
        <v>14</v>
      </c>
      <c r="D9">
        <v>100</v>
      </c>
      <c r="E9">
        <v>5</v>
      </c>
      <c r="F9">
        <v>430</v>
      </c>
      <c r="G9" t="s">
        <v>144</v>
      </c>
      <c r="H9">
        <v>91</v>
      </c>
      <c r="I9">
        <f t="shared" si="0"/>
        <v>2</v>
      </c>
    </row>
    <row r="10" spans="1:9" x14ac:dyDescent="0.3">
      <c r="A10" t="s">
        <v>92</v>
      </c>
      <c r="B10">
        <v>55</v>
      </c>
      <c r="C10">
        <v>154</v>
      </c>
      <c r="D10">
        <v>450</v>
      </c>
      <c r="E10">
        <v>7</v>
      </c>
      <c r="F10">
        <v>2072</v>
      </c>
      <c r="G10" t="s">
        <v>10</v>
      </c>
      <c r="H10">
        <v>95</v>
      </c>
      <c r="I10">
        <v>0</v>
      </c>
    </row>
    <row r="11" spans="1:9" x14ac:dyDescent="0.3">
      <c r="A11" t="s">
        <v>76</v>
      </c>
      <c r="B11">
        <v>6</v>
      </c>
      <c r="C11">
        <v>16.799999999999997</v>
      </c>
      <c r="D11">
        <v>60</v>
      </c>
      <c r="E11">
        <v>10</v>
      </c>
      <c r="F11">
        <v>432</v>
      </c>
      <c r="G11" t="s">
        <v>10</v>
      </c>
      <c r="H11">
        <v>98</v>
      </c>
      <c r="I11">
        <v>0</v>
      </c>
    </row>
    <row r="12" spans="1:9" x14ac:dyDescent="0.3">
      <c r="A12" t="s">
        <v>179</v>
      </c>
      <c r="B12">
        <v>7</v>
      </c>
      <c r="C12">
        <v>19.599999999999998</v>
      </c>
      <c r="D12">
        <v>120</v>
      </c>
      <c r="E12">
        <v>10</v>
      </c>
      <c r="F12">
        <v>1004</v>
      </c>
      <c r="G12" t="s">
        <v>144</v>
      </c>
      <c r="H12">
        <v>98</v>
      </c>
      <c r="I12">
        <f t="shared" si="0"/>
        <v>2</v>
      </c>
    </row>
    <row r="13" spans="1:9" x14ac:dyDescent="0.3">
      <c r="A13" t="s">
        <v>165</v>
      </c>
      <c r="B13">
        <v>30</v>
      </c>
      <c r="C13">
        <v>84</v>
      </c>
      <c r="D13">
        <v>280</v>
      </c>
      <c r="E13">
        <v>12</v>
      </c>
      <c r="F13">
        <v>2352</v>
      </c>
      <c r="G13" t="s">
        <v>144</v>
      </c>
      <c r="H13">
        <v>93</v>
      </c>
      <c r="I13">
        <f t="shared" si="0"/>
        <v>2</v>
      </c>
    </row>
    <row r="14" spans="1:9" x14ac:dyDescent="0.3">
      <c r="A14" t="s">
        <v>77</v>
      </c>
      <c r="B14">
        <v>10</v>
      </c>
      <c r="C14">
        <v>28</v>
      </c>
      <c r="D14">
        <v>130</v>
      </c>
      <c r="E14">
        <v>15</v>
      </c>
      <c r="F14">
        <v>1530</v>
      </c>
      <c r="G14" t="s">
        <v>10</v>
      </c>
      <c r="H14">
        <v>94</v>
      </c>
      <c r="I14">
        <v>0</v>
      </c>
    </row>
    <row r="15" spans="1:9" x14ac:dyDescent="0.3">
      <c r="A15" t="s">
        <v>78</v>
      </c>
      <c r="B15">
        <v>5.5</v>
      </c>
      <c r="C15">
        <v>15.399999999999999</v>
      </c>
      <c r="D15">
        <v>75</v>
      </c>
      <c r="E15">
        <v>15</v>
      </c>
      <c r="F15">
        <v>894</v>
      </c>
      <c r="G15" t="s">
        <v>10</v>
      </c>
      <c r="H15">
        <v>97</v>
      </c>
      <c r="I15">
        <v>0</v>
      </c>
    </row>
    <row r="16" spans="1:9" x14ac:dyDescent="0.3">
      <c r="A16" t="s">
        <v>159</v>
      </c>
      <c r="B16">
        <v>30</v>
      </c>
      <c r="C16">
        <v>84</v>
      </c>
      <c r="D16">
        <v>250</v>
      </c>
      <c r="E16">
        <v>15</v>
      </c>
      <c r="F16">
        <v>2490</v>
      </c>
      <c r="G16" t="s">
        <v>144</v>
      </c>
      <c r="H16">
        <v>96</v>
      </c>
      <c r="I16">
        <f t="shared" si="0"/>
        <v>2</v>
      </c>
    </row>
    <row r="17" spans="1:9" x14ac:dyDescent="0.3">
      <c r="A17" t="s">
        <v>173</v>
      </c>
      <c r="B17">
        <v>30</v>
      </c>
      <c r="C17">
        <v>84</v>
      </c>
      <c r="D17">
        <v>250</v>
      </c>
      <c r="E17">
        <v>15</v>
      </c>
      <c r="F17">
        <v>2490</v>
      </c>
      <c r="G17" t="s">
        <v>144</v>
      </c>
      <c r="H17">
        <v>90</v>
      </c>
      <c r="I17">
        <f t="shared" si="0"/>
        <v>2</v>
      </c>
    </row>
    <row r="18" spans="1:9" x14ac:dyDescent="0.3">
      <c r="A18" t="s">
        <v>157</v>
      </c>
      <c r="B18">
        <v>35</v>
      </c>
      <c r="C18">
        <v>98</v>
      </c>
      <c r="D18">
        <v>300</v>
      </c>
      <c r="E18">
        <v>19</v>
      </c>
      <c r="F18">
        <v>3838</v>
      </c>
      <c r="G18" t="s">
        <v>144</v>
      </c>
      <c r="H18">
        <v>97</v>
      </c>
      <c r="I18">
        <f t="shared" si="0"/>
        <v>2</v>
      </c>
    </row>
    <row r="19" spans="1:9" x14ac:dyDescent="0.3">
      <c r="A19" t="s">
        <v>163</v>
      </c>
      <c r="B19">
        <v>30</v>
      </c>
      <c r="C19">
        <v>84</v>
      </c>
      <c r="D19">
        <v>200</v>
      </c>
      <c r="E19">
        <v>20</v>
      </c>
      <c r="F19">
        <v>2320</v>
      </c>
      <c r="G19" t="s">
        <v>144</v>
      </c>
      <c r="H19">
        <v>91</v>
      </c>
      <c r="I19">
        <f t="shared" si="0"/>
        <v>2</v>
      </c>
    </row>
    <row r="20" spans="1:9" x14ac:dyDescent="0.3">
      <c r="A20" t="s">
        <v>167</v>
      </c>
      <c r="B20">
        <v>45</v>
      </c>
      <c r="C20">
        <v>125.99999999999999</v>
      </c>
      <c r="D20">
        <v>300</v>
      </c>
      <c r="E20">
        <v>23</v>
      </c>
      <c r="F20">
        <v>4002.0000000000005</v>
      </c>
      <c r="G20" t="s">
        <v>144</v>
      </c>
      <c r="H20">
        <v>98</v>
      </c>
      <c r="I20">
        <f t="shared" si="0"/>
        <v>2</v>
      </c>
    </row>
    <row r="21" spans="1:9" x14ac:dyDescent="0.3">
      <c r="A21" t="s">
        <v>175</v>
      </c>
      <c r="B21">
        <v>30</v>
      </c>
      <c r="C21">
        <v>84</v>
      </c>
      <c r="D21">
        <v>300</v>
      </c>
      <c r="E21">
        <v>25</v>
      </c>
      <c r="F21">
        <v>5400</v>
      </c>
      <c r="G21" t="s">
        <v>144</v>
      </c>
      <c r="H21">
        <v>98</v>
      </c>
      <c r="I21">
        <f t="shared" si="0"/>
        <v>2</v>
      </c>
    </row>
    <row r="22" spans="1:9" x14ac:dyDescent="0.3">
      <c r="A22" t="s">
        <v>72</v>
      </c>
      <c r="B22">
        <v>7</v>
      </c>
      <c r="C22">
        <v>19.599999999999998</v>
      </c>
      <c r="D22">
        <v>69</v>
      </c>
      <c r="E22">
        <v>32</v>
      </c>
      <c r="F22">
        <v>1580.8000000000002</v>
      </c>
      <c r="G22" t="s">
        <v>10</v>
      </c>
      <c r="H22">
        <v>94</v>
      </c>
      <c r="I22">
        <v>0</v>
      </c>
    </row>
    <row r="23" spans="1:9" x14ac:dyDescent="0.3">
      <c r="A23" t="s">
        <v>177</v>
      </c>
      <c r="B23">
        <v>30</v>
      </c>
      <c r="C23">
        <v>84</v>
      </c>
      <c r="D23">
        <v>280</v>
      </c>
      <c r="E23">
        <v>35</v>
      </c>
      <c r="F23">
        <v>6860</v>
      </c>
      <c r="G23" t="s">
        <v>144</v>
      </c>
      <c r="H23">
        <v>92</v>
      </c>
      <c r="I23">
        <f t="shared" si="0"/>
        <v>2</v>
      </c>
    </row>
    <row r="24" spans="1:9" x14ac:dyDescent="0.3">
      <c r="A24" t="s">
        <v>48</v>
      </c>
      <c r="B24">
        <v>55</v>
      </c>
      <c r="C24">
        <v>154</v>
      </c>
      <c r="D24">
        <v>375</v>
      </c>
      <c r="E24">
        <v>36</v>
      </c>
      <c r="F24">
        <v>7956</v>
      </c>
      <c r="G24" t="s">
        <v>10</v>
      </c>
      <c r="H24">
        <v>92</v>
      </c>
      <c r="I24">
        <v>0</v>
      </c>
    </row>
    <row r="25" spans="1:9" x14ac:dyDescent="0.3">
      <c r="A25" t="s">
        <v>74</v>
      </c>
      <c r="B25">
        <v>5</v>
      </c>
      <c r="C25">
        <v>14</v>
      </c>
      <c r="D25">
        <v>39</v>
      </c>
      <c r="E25">
        <v>36</v>
      </c>
      <c r="F25">
        <v>900</v>
      </c>
      <c r="G25" t="s">
        <v>10</v>
      </c>
      <c r="H25">
        <v>94</v>
      </c>
      <c r="I25">
        <v>0</v>
      </c>
    </row>
    <row r="26" spans="1:9" x14ac:dyDescent="0.3">
      <c r="A26" t="s">
        <v>65</v>
      </c>
      <c r="B26">
        <v>10</v>
      </c>
      <c r="C26">
        <v>28</v>
      </c>
      <c r="D26">
        <v>130</v>
      </c>
      <c r="E26">
        <v>38</v>
      </c>
      <c r="F26">
        <v>3876</v>
      </c>
      <c r="G26" t="s">
        <v>10</v>
      </c>
      <c r="H26">
        <v>97</v>
      </c>
      <c r="I26">
        <v>0</v>
      </c>
    </row>
    <row r="27" spans="1:9" x14ac:dyDescent="0.3">
      <c r="A27" t="s">
        <v>153</v>
      </c>
      <c r="B27">
        <v>25</v>
      </c>
      <c r="C27">
        <v>70</v>
      </c>
      <c r="D27">
        <v>180</v>
      </c>
      <c r="E27">
        <v>40</v>
      </c>
      <c r="F27">
        <v>4400</v>
      </c>
      <c r="G27" t="s">
        <v>144</v>
      </c>
      <c r="H27">
        <v>91</v>
      </c>
      <c r="I27">
        <f t="shared" si="0"/>
        <v>2</v>
      </c>
    </row>
    <row r="28" spans="1:9" x14ac:dyDescent="0.3">
      <c r="A28" t="s">
        <v>50</v>
      </c>
      <c r="B28">
        <v>40</v>
      </c>
      <c r="C28">
        <v>112</v>
      </c>
      <c r="D28">
        <v>359</v>
      </c>
      <c r="E28">
        <v>41</v>
      </c>
      <c r="F28">
        <v>10127</v>
      </c>
      <c r="G28" t="s">
        <v>10</v>
      </c>
      <c r="H28">
        <v>93</v>
      </c>
      <c r="I28">
        <v>0</v>
      </c>
    </row>
    <row r="29" spans="1:9" x14ac:dyDescent="0.3">
      <c r="A29" t="s">
        <v>66</v>
      </c>
      <c r="B29">
        <v>4.5</v>
      </c>
      <c r="C29">
        <v>12.6</v>
      </c>
      <c r="D29">
        <v>40</v>
      </c>
      <c r="E29">
        <v>41</v>
      </c>
      <c r="F29">
        <v>1123.4000000000001</v>
      </c>
      <c r="G29" t="s">
        <v>10</v>
      </c>
      <c r="H29">
        <v>97</v>
      </c>
      <c r="I29">
        <v>0</v>
      </c>
    </row>
    <row r="30" spans="1:9" x14ac:dyDescent="0.3">
      <c r="A30" t="s">
        <v>60</v>
      </c>
      <c r="B30">
        <v>5.5</v>
      </c>
      <c r="C30">
        <v>15.399999999999999</v>
      </c>
      <c r="D30">
        <v>75</v>
      </c>
      <c r="E30">
        <v>45</v>
      </c>
      <c r="F30">
        <v>2682</v>
      </c>
      <c r="G30" t="s">
        <v>10</v>
      </c>
      <c r="H30">
        <v>91</v>
      </c>
      <c r="I30">
        <v>0</v>
      </c>
    </row>
    <row r="31" spans="1:9" x14ac:dyDescent="0.3">
      <c r="A31" t="s">
        <v>161</v>
      </c>
      <c r="B31">
        <v>8</v>
      </c>
      <c r="C31">
        <v>22.4</v>
      </c>
      <c r="D31">
        <v>125</v>
      </c>
      <c r="E31">
        <v>45</v>
      </c>
      <c r="F31">
        <v>4617</v>
      </c>
      <c r="G31" t="s">
        <v>144</v>
      </c>
      <c r="H31">
        <v>100</v>
      </c>
      <c r="I31">
        <f t="shared" si="0"/>
        <v>2</v>
      </c>
    </row>
    <row r="32" spans="1:9" x14ac:dyDescent="0.3">
      <c r="A32" t="s">
        <v>31</v>
      </c>
      <c r="B32">
        <v>65</v>
      </c>
      <c r="C32">
        <v>182</v>
      </c>
      <c r="D32">
        <v>584</v>
      </c>
      <c r="E32">
        <v>51</v>
      </c>
      <c r="F32">
        <v>20502</v>
      </c>
      <c r="G32" t="s">
        <v>10</v>
      </c>
      <c r="H32">
        <v>94</v>
      </c>
      <c r="I32">
        <v>0</v>
      </c>
    </row>
    <row r="33" spans="1:9" x14ac:dyDescent="0.3">
      <c r="A33" t="s">
        <v>29</v>
      </c>
      <c r="B33">
        <v>55</v>
      </c>
      <c r="C33">
        <v>154</v>
      </c>
      <c r="D33">
        <v>530</v>
      </c>
      <c r="E33">
        <v>58</v>
      </c>
      <c r="F33">
        <v>21808</v>
      </c>
      <c r="G33" t="s">
        <v>10</v>
      </c>
      <c r="H33">
        <v>100</v>
      </c>
      <c r="I33">
        <v>0</v>
      </c>
    </row>
    <row r="34" spans="1:9" x14ac:dyDescent="0.3">
      <c r="A34" t="s">
        <v>71</v>
      </c>
      <c r="B34">
        <v>8</v>
      </c>
      <c r="C34">
        <v>22.4</v>
      </c>
      <c r="D34">
        <v>65</v>
      </c>
      <c r="E34">
        <v>60</v>
      </c>
      <c r="F34">
        <v>2556</v>
      </c>
      <c r="G34" t="s">
        <v>10</v>
      </c>
      <c r="H34">
        <v>99</v>
      </c>
      <c r="I34">
        <v>0</v>
      </c>
    </row>
    <row r="35" spans="1:9" x14ac:dyDescent="0.3">
      <c r="A35" t="s">
        <v>70</v>
      </c>
      <c r="B35">
        <v>5</v>
      </c>
      <c r="C35">
        <v>14</v>
      </c>
      <c r="D35">
        <v>56</v>
      </c>
      <c r="E35">
        <v>61</v>
      </c>
      <c r="F35">
        <v>2562</v>
      </c>
      <c r="G35" t="s">
        <v>10</v>
      </c>
      <c r="H35">
        <v>96</v>
      </c>
      <c r="I35">
        <v>0</v>
      </c>
    </row>
    <row r="36" spans="1:9" x14ac:dyDescent="0.3">
      <c r="A36" t="s">
        <v>58</v>
      </c>
      <c r="B36">
        <v>3.5</v>
      </c>
      <c r="C36">
        <v>9.7999999999999989</v>
      </c>
      <c r="D36">
        <v>35</v>
      </c>
      <c r="E36">
        <v>62</v>
      </c>
      <c r="F36">
        <v>1562.4</v>
      </c>
      <c r="G36" t="s">
        <v>10</v>
      </c>
      <c r="H36">
        <v>100</v>
      </c>
      <c r="I36">
        <v>0</v>
      </c>
    </row>
    <row r="37" spans="1:9" x14ac:dyDescent="0.3">
      <c r="A37" t="s">
        <v>171</v>
      </c>
      <c r="B37">
        <v>25</v>
      </c>
      <c r="C37">
        <v>70</v>
      </c>
      <c r="D37">
        <v>99</v>
      </c>
      <c r="E37">
        <v>65</v>
      </c>
      <c r="F37">
        <v>1885</v>
      </c>
      <c r="G37" t="s">
        <v>144</v>
      </c>
      <c r="H37">
        <v>93</v>
      </c>
      <c r="I37">
        <f t="shared" ref="I34:I65" si="1">IF(G37="Self Watering", 1, IF(G37="Bins", 2, IF(G37="Planterware", 3, "")))</f>
        <v>2</v>
      </c>
    </row>
    <row r="38" spans="1:9" x14ac:dyDescent="0.3">
      <c r="A38" t="s">
        <v>151</v>
      </c>
      <c r="B38">
        <v>30</v>
      </c>
      <c r="C38">
        <v>84</v>
      </c>
      <c r="D38">
        <v>250</v>
      </c>
      <c r="E38">
        <v>70</v>
      </c>
      <c r="F38">
        <v>11620</v>
      </c>
      <c r="G38" t="s">
        <v>144</v>
      </c>
      <c r="H38">
        <v>90</v>
      </c>
      <c r="I38">
        <f t="shared" si="1"/>
        <v>2</v>
      </c>
    </row>
    <row r="39" spans="1:9" x14ac:dyDescent="0.3">
      <c r="A39" t="s">
        <v>54</v>
      </c>
      <c r="B39">
        <v>9</v>
      </c>
      <c r="C39">
        <v>25.2</v>
      </c>
      <c r="D39">
        <v>45</v>
      </c>
      <c r="E39">
        <v>80</v>
      </c>
      <c r="F39">
        <v>1584</v>
      </c>
      <c r="G39" t="s">
        <v>10</v>
      </c>
      <c r="H39">
        <v>97</v>
      </c>
      <c r="I39">
        <v>0</v>
      </c>
    </row>
    <row r="40" spans="1:9" x14ac:dyDescent="0.3">
      <c r="A40" t="s">
        <v>169</v>
      </c>
      <c r="B40">
        <v>6</v>
      </c>
      <c r="C40">
        <v>16.799999999999997</v>
      </c>
      <c r="D40">
        <v>130</v>
      </c>
      <c r="E40">
        <v>85</v>
      </c>
      <c r="F40">
        <v>9622</v>
      </c>
      <c r="G40" t="s">
        <v>144</v>
      </c>
      <c r="H40">
        <v>92</v>
      </c>
      <c r="I40">
        <f t="shared" si="1"/>
        <v>2</v>
      </c>
    </row>
    <row r="41" spans="1:9" x14ac:dyDescent="0.3">
      <c r="A41" t="s">
        <v>56</v>
      </c>
      <c r="B41">
        <v>7.5</v>
      </c>
      <c r="C41">
        <v>21</v>
      </c>
      <c r="D41">
        <v>58</v>
      </c>
      <c r="E41">
        <v>94</v>
      </c>
      <c r="F41">
        <v>3478</v>
      </c>
      <c r="G41" t="s">
        <v>10</v>
      </c>
      <c r="H41">
        <v>99</v>
      </c>
      <c r="I41">
        <v>0</v>
      </c>
    </row>
    <row r="42" spans="1:9" x14ac:dyDescent="0.3">
      <c r="A42" t="s">
        <v>18</v>
      </c>
      <c r="B42">
        <v>35</v>
      </c>
      <c r="C42">
        <v>98</v>
      </c>
      <c r="D42">
        <v>185</v>
      </c>
      <c r="E42">
        <v>112</v>
      </c>
      <c r="F42">
        <v>9744</v>
      </c>
      <c r="G42" t="s">
        <v>10</v>
      </c>
      <c r="H42">
        <v>97</v>
      </c>
      <c r="I42">
        <v>0</v>
      </c>
    </row>
    <row r="43" spans="1:9" x14ac:dyDescent="0.3">
      <c r="A43" t="s">
        <v>39</v>
      </c>
      <c r="B43">
        <v>35</v>
      </c>
      <c r="C43">
        <v>98</v>
      </c>
      <c r="D43">
        <v>135</v>
      </c>
      <c r="E43">
        <v>116</v>
      </c>
      <c r="F43">
        <v>4292</v>
      </c>
      <c r="G43" t="s">
        <v>10</v>
      </c>
      <c r="H43">
        <v>96</v>
      </c>
      <c r="I43">
        <v>0</v>
      </c>
    </row>
    <row r="44" spans="1:9" x14ac:dyDescent="0.3">
      <c r="A44" t="s">
        <v>69</v>
      </c>
      <c r="B44">
        <v>3.5</v>
      </c>
      <c r="C44">
        <v>9.7999999999999989</v>
      </c>
      <c r="D44">
        <v>35</v>
      </c>
      <c r="E44">
        <v>124</v>
      </c>
      <c r="F44">
        <v>3124.8</v>
      </c>
      <c r="G44" t="s">
        <v>10</v>
      </c>
      <c r="H44">
        <v>97</v>
      </c>
      <c r="I44">
        <v>0</v>
      </c>
    </row>
    <row r="45" spans="1:9" x14ac:dyDescent="0.3">
      <c r="A45" t="s">
        <v>63</v>
      </c>
      <c r="B45">
        <v>8</v>
      </c>
      <c r="C45">
        <v>22.4</v>
      </c>
      <c r="D45">
        <v>65</v>
      </c>
      <c r="E45">
        <v>163</v>
      </c>
      <c r="F45">
        <v>6943.8</v>
      </c>
      <c r="G45" t="s">
        <v>10</v>
      </c>
      <c r="H45">
        <v>91</v>
      </c>
      <c r="I45">
        <v>0</v>
      </c>
    </row>
    <row r="46" spans="1:9" x14ac:dyDescent="0.3">
      <c r="A46" t="s">
        <v>147</v>
      </c>
      <c r="B46">
        <v>10</v>
      </c>
      <c r="C46">
        <v>28</v>
      </c>
      <c r="D46">
        <v>55</v>
      </c>
      <c r="E46">
        <v>200</v>
      </c>
      <c r="F46">
        <v>5400</v>
      </c>
      <c r="G46" t="s">
        <v>144</v>
      </c>
      <c r="H46">
        <v>96</v>
      </c>
      <c r="I46">
        <f t="shared" si="1"/>
        <v>2</v>
      </c>
    </row>
    <row r="47" spans="1:9" x14ac:dyDescent="0.3">
      <c r="A47" t="s">
        <v>145</v>
      </c>
      <c r="B47">
        <v>20</v>
      </c>
      <c r="C47">
        <v>56</v>
      </c>
      <c r="D47">
        <v>150</v>
      </c>
      <c r="E47">
        <v>230</v>
      </c>
      <c r="F47">
        <v>21620</v>
      </c>
      <c r="G47" t="s">
        <v>144</v>
      </c>
      <c r="H47">
        <v>97</v>
      </c>
      <c r="I47">
        <f t="shared" si="1"/>
        <v>2</v>
      </c>
    </row>
    <row r="48" spans="1:9" x14ac:dyDescent="0.3">
      <c r="A48" t="s">
        <v>67</v>
      </c>
      <c r="B48">
        <v>5</v>
      </c>
      <c r="C48">
        <v>14</v>
      </c>
      <c r="D48">
        <v>85</v>
      </c>
      <c r="E48">
        <v>268</v>
      </c>
      <c r="F48">
        <v>19028</v>
      </c>
      <c r="G48" t="s">
        <v>10</v>
      </c>
      <c r="H48">
        <v>93</v>
      </c>
      <c r="I48">
        <v>0</v>
      </c>
    </row>
    <row r="49" spans="1:9" x14ac:dyDescent="0.3">
      <c r="A49" t="s">
        <v>61</v>
      </c>
      <c r="B49">
        <v>3.5</v>
      </c>
      <c r="C49">
        <v>9.7999999999999989</v>
      </c>
      <c r="D49">
        <v>28</v>
      </c>
      <c r="E49">
        <v>299</v>
      </c>
      <c r="F49">
        <v>5441.8</v>
      </c>
      <c r="G49" t="s">
        <v>10</v>
      </c>
      <c r="H49">
        <v>99</v>
      </c>
      <c r="I49">
        <v>0</v>
      </c>
    </row>
    <row r="50" spans="1:9" x14ac:dyDescent="0.3">
      <c r="A50" t="s">
        <v>149</v>
      </c>
      <c r="B50">
        <v>12</v>
      </c>
      <c r="C50">
        <v>33.599999999999994</v>
      </c>
      <c r="D50">
        <v>75</v>
      </c>
      <c r="E50">
        <v>315</v>
      </c>
      <c r="F50">
        <v>13041.000000000002</v>
      </c>
      <c r="G50" t="s">
        <v>144</v>
      </c>
      <c r="H50">
        <v>96</v>
      </c>
      <c r="I50">
        <f t="shared" si="1"/>
        <v>2</v>
      </c>
    </row>
    <row r="51" spans="1:9" x14ac:dyDescent="0.3">
      <c r="A51" t="s">
        <v>155</v>
      </c>
      <c r="B51">
        <v>4</v>
      </c>
      <c r="C51">
        <v>11.2</v>
      </c>
      <c r="D51">
        <v>50</v>
      </c>
      <c r="E51">
        <v>332</v>
      </c>
      <c r="F51">
        <v>12881.6</v>
      </c>
      <c r="G51" t="s">
        <v>144</v>
      </c>
      <c r="H51">
        <v>94</v>
      </c>
      <c r="I51">
        <f t="shared" si="1"/>
        <v>2</v>
      </c>
    </row>
    <row r="52" spans="1:9" x14ac:dyDescent="0.3">
      <c r="A52" t="s">
        <v>64</v>
      </c>
      <c r="B52">
        <v>3.5</v>
      </c>
      <c r="C52">
        <v>9.7999999999999989</v>
      </c>
      <c r="D52">
        <v>25</v>
      </c>
      <c r="E52">
        <v>382</v>
      </c>
      <c r="F52">
        <v>5806.4000000000005</v>
      </c>
      <c r="G52" t="s">
        <v>10</v>
      </c>
      <c r="H52">
        <v>97</v>
      </c>
      <c r="I52">
        <v>0</v>
      </c>
    </row>
    <row r="53" spans="1:9" x14ac:dyDescent="0.3">
      <c r="A53" t="s">
        <v>15</v>
      </c>
      <c r="B53">
        <v>6</v>
      </c>
      <c r="C53">
        <v>16.799999999999997</v>
      </c>
      <c r="D53">
        <v>40</v>
      </c>
      <c r="E53">
        <v>405</v>
      </c>
      <c r="F53">
        <v>9396</v>
      </c>
      <c r="G53" t="s">
        <v>10</v>
      </c>
      <c r="H53">
        <v>92</v>
      </c>
      <c r="I53">
        <v>0</v>
      </c>
    </row>
    <row r="54" spans="1:9" x14ac:dyDescent="0.3">
      <c r="A54" t="s">
        <v>142</v>
      </c>
      <c r="B54">
        <v>40</v>
      </c>
      <c r="C54">
        <v>112</v>
      </c>
      <c r="D54">
        <v>450</v>
      </c>
      <c r="E54">
        <v>487</v>
      </c>
      <c r="F54">
        <v>164606</v>
      </c>
      <c r="G54" t="s">
        <v>144</v>
      </c>
      <c r="H54">
        <v>90</v>
      </c>
      <c r="I54">
        <f t="shared" si="1"/>
        <v>2</v>
      </c>
    </row>
    <row r="55" spans="1:9" x14ac:dyDescent="0.3">
      <c r="A55" t="s">
        <v>46</v>
      </c>
      <c r="B55">
        <v>5</v>
      </c>
      <c r="C55">
        <v>14</v>
      </c>
      <c r="D55">
        <v>35</v>
      </c>
      <c r="E55">
        <v>527</v>
      </c>
      <c r="F55">
        <v>11067</v>
      </c>
      <c r="G55" t="s">
        <v>10</v>
      </c>
      <c r="H55">
        <v>91</v>
      </c>
      <c r="I55">
        <v>0</v>
      </c>
    </row>
    <row r="56" spans="1:9" x14ac:dyDescent="0.3">
      <c r="A56" t="s">
        <v>44</v>
      </c>
      <c r="B56">
        <v>3.5</v>
      </c>
      <c r="C56">
        <v>9.7999999999999989</v>
      </c>
      <c r="D56">
        <v>25</v>
      </c>
      <c r="E56">
        <v>604</v>
      </c>
      <c r="F56">
        <v>9180.8000000000011</v>
      </c>
      <c r="G56" t="s">
        <v>10</v>
      </c>
      <c r="H56">
        <v>99</v>
      </c>
      <c r="I56">
        <v>0</v>
      </c>
    </row>
    <row r="57" spans="1:9" x14ac:dyDescent="0.3">
      <c r="A57" t="s">
        <v>34</v>
      </c>
      <c r="B57">
        <v>5</v>
      </c>
      <c r="C57">
        <v>14</v>
      </c>
      <c r="D57">
        <v>65</v>
      </c>
      <c r="E57">
        <v>728</v>
      </c>
      <c r="F57">
        <v>37128</v>
      </c>
      <c r="G57" t="s">
        <v>10</v>
      </c>
      <c r="H57">
        <v>93</v>
      </c>
      <c r="I57">
        <v>0</v>
      </c>
    </row>
    <row r="58" spans="1:9" x14ac:dyDescent="0.3">
      <c r="A58" t="s">
        <v>36</v>
      </c>
      <c r="B58">
        <v>5</v>
      </c>
      <c r="C58">
        <v>14</v>
      </c>
      <c r="D58">
        <v>45</v>
      </c>
      <c r="E58">
        <v>787</v>
      </c>
      <c r="F58">
        <v>24397</v>
      </c>
      <c r="G58" t="s">
        <v>10</v>
      </c>
      <c r="H58">
        <v>97</v>
      </c>
      <c r="I58">
        <v>0</v>
      </c>
    </row>
    <row r="59" spans="1:9" x14ac:dyDescent="0.3">
      <c r="A59" t="s">
        <v>42</v>
      </c>
      <c r="B59">
        <v>4</v>
      </c>
      <c r="C59">
        <v>11.2</v>
      </c>
      <c r="D59">
        <v>45</v>
      </c>
      <c r="E59">
        <v>962</v>
      </c>
      <c r="F59">
        <v>32515.599999999999</v>
      </c>
      <c r="G59" t="s">
        <v>10</v>
      </c>
      <c r="H59">
        <v>100</v>
      </c>
      <c r="I59">
        <v>0</v>
      </c>
    </row>
    <row r="60" spans="1:9" x14ac:dyDescent="0.3">
      <c r="A60" t="s">
        <v>23</v>
      </c>
      <c r="B60">
        <v>7</v>
      </c>
      <c r="C60">
        <v>19.599999999999998</v>
      </c>
      <c r="D60">
        <v>45</v>
      </c>
      <c r="E60">
        <v>1064</v>
      </c>
      <c r="F60">
        <v>27025.600000000002</v>
      </c>
      <c r="G60" t="s">
        <v>10</v>
      </c>
      <c r="H60">
        <v>94</v>
      </c>
      <c r="I60">
        <v>0</v>
      </c>
    </row>
    <row r="61" spans="1:9" x14ac:dyDescent="0.3">
      <c r="A61" t="s">
        <v>7</v>
      </c>
      <c r="B61">
        <v>7</v>
      </c>
      <c r="C61">
        <v>19.599999999999998</v>
      </c>
      <c r="D61">
        <v>30</v>
      </c>
      <c r="E61">
        <v>2132</v>
      </c>
      <c r="F61">
        <v>22172.800000000003</v>
      </c>
      <c r="G61" t="s">
        <v>10</v>
      </c>
      <c r="H61">
        <v>91</v>
      </c>
      <c r="I61">
        <v>0</v>
      </c>
    </row>
    <row r="62" spans="1:9" x14ac:dyDescent="0.3">
      <c r="A62" t="s">
        <v>82</v>
      </c>
      <c r="B62">
        <v>40</v>
      </c>
      <c r="C62">
        <v>120</v>
      </c>
      <c r="D62">
        <v>250</v>
      </c>
      <c r="E62">
        <v>1</v>
      </c>
      <c r="F62">
        <v>130</v>
      </c>
      <c r="G62" t="s">
        <v>10</v>
      </c>
      <c r="H62">
        <v>100</v>
      </c>
      <c r="I62">
        <v>0</v>
      </c>
    </row>
    <row r="63" spans="1:9" x14ac:dyDescent="0.3">
      <c r="A63" t="s">
        <v>90</v>
      </c>
      <c r="B63">
        <v>47</v>
      </c>
      <c r="C63">
        <v>141</v>
      </c>
      <c r="D63">
        <v>340</v>
      </c>
      <c r="E63">
        <v>1</v>
      </c>
      <c r="F63">
        <v>199</v>
      </c>
      <c r="G63" t="s">
        <v>10</v>
      </c>
      <c r="H63">
        <v>91</v>
      </c>
      <c r="I63">
        <v>0</v>
      </c>
    </row>
    <row r="64" spans="1:9" x14ac:dyDescent="0.3">
      <c r="A64" t="s">
        <v>92</v>
      </c>
      <c r="B64">
        <v>55</v>
      </c>
      <c r="C64">
        <v>165</v>
      </c>
      <c r="D64">
        <v>470</v>
      </c>
      <c r="E64">
        <v>2</v>
      </c>
      <c r="F64">
        <v>610</v>
      </c>
      <c r="G64" t="s">
        <v>10</v>
      </c>
      <c r="H64">
        <v>96</v>
      </c>
      <c r="I64">
        <v>0</v>
      </c>
    </row>
    <row r="65" spans="1:9" x14ac:dyDescent="0.3">
      <c r="A65" t="s">
        <v>76</v>
      </c>
      <c r="B65">
        <v>6</v>
      </c>
      <c r="C65">
        <v>18</v>
      </c>
      <c r="D65">
        <v>70</v>
      </c>
      <c r="E65">
        <v>3</v>
      </c>
      <c r="F65">
        <v>156</v>
      </c>
      <c r="G65" t="s">
        <v>10</v>
      </c>
      <c r="H65">
        <v>94</v>
      </c>
      <c r="I65">
        <v>0</v>
      </c>
    </row>
    <row r="66" spans="1:9" x14ac:dyDescent="0.3">
      <c r="A66" t="s">
        <v>84</v>
      </c>
      <c r="B66">
        <v>47</v>
      </c>
      <c r="C66">
        <v>141</v>
      </c>
      <c r="D66">
        <v>370</v>
      </c>
      <c r="E66">
        <v>3</v>
      </c>
      <c r="F66">
        <v>687</v>
      </c>
      <c r="G66" t="s">
        <v>10</v>
      </c>
      <c r="H66">
        <v>97</v>
      </c>
      <c r="I66">
        <v>0</v>
      </c>
    </row>
    <row r="67" spans="1:9" x14ac:dyDescent="0.3">
      <c r="A67" t="s">
        <v>58</v>
      </c>
      <c r="B67">
        <v>3.5</v>
      </c>
      <c r="C67">
        <v>10.5</v>
      </c>
      <c r="D67">
        <v>50</v>
      </c>
      <c r="E67">
        <v>5</v>
      </c>
      <c r="F67">
        <v>197.5</v>
      </c>
      <c r="G67" t="s">
        <v>10</v>
      </c>
      <c r="H67">
        <v>92</v>
      </c>
      <c r="I67">
        <v>0</v>
      </c>
    </row>
    <row r="68" spans="1:9" x14ac:dyDescent="0.3">
      <c r="A68" t="s">
        <v>77</v>
      </c>
      <c r="B68">
        <v>10</v>
      </c>
      <c r="C68">
        <v>30</v>
      </c>
      <c r="D68">
        <v>145</v>
      </c>
      <c r="E68">
        <v>10</v>
      </c>
      <c r="F68">
        <v>1150</v>
      </c>
      <c r="G68" t="s">
        <v>10</v>
      </c>
      <c r="H68">
        <v>94</v>
      </c>
      <c r="I68">
        <v>0</v>
      </c>
    </row>
    <row r="69" spans="1:9" x14ac:dyDescent="0.3">
      <c r="A69" t="s">
        <v>78</v>
      </c>
      <c r="B69">
        <v>5.5</v>
      </c>
      <c r="C69">
        <v>16.5</v>
      </c>
      <c r="D69">
        <v>85</v>
      </c>
      <c r="E69">
        <v>10</v>
      </c>
      <c r="F69">
        <v>685</v>
      </c>
      <c r="G69" t="s">
        <v>10</v>
      </c>
      <c r="H69">
        <v>100</v>
      </c>
      <c r="I69">
        <v>0</v>
      </c>
    </row>
    <row r="70" spans="1:9" x14ac:dyDescent="0.3">
      <c r="A70" t="s">
        <v>86</v>
      </c>
      <c r="B70">
        <v>60</v>
      </c>
      <c r="C70">
        <v>180</v>
      </c>
      <c r="D70">
        <v>589</v>
      </c>
      <c r="E70">
        <v>10</v>
      </c>
      <c r="F70">
        <v>4090</v>
      </c>
      <c r="G70" t="s">
        <v>10</v>
      </c>
      <c r="H70">
        <v>90</v>
      </c>
      <c r="I70">
        <v>0</v>
      </c>
    </row>
    <row r="71" spans="1:9" x14ac:dyDescent="0.3">
      <c r="A71" t="s">
        <v>69</v>
      </c>
      <c r="B71">
        <v>3.5</v>
      </c>
      <c r="C71">
        <v>10.5</v>
      </c>
      <c r="D71">
        <v>45</v>
      </c>
      <c r="E71">
        <v>24</v>
      </c>
      <c r="F71">
        <v>828</v>
      </c>
      <c r="G71" t="s">
        <v>10</v>
      </c>
      <c r="H71">
        <v>91</v>
      </c>
      <c r="I71">
        <v>0</v>
      </c>
    </row>
    <row r="72" spans="1:9" x14ac:dyDescent="0.3">
      <c r="A72" t="s">
        <v>48</v>
      </c>
      <c r="B72">
        <v>55</v>
      </c>
      <c r="C72">
        <v>165</v>
      </c>
      <c r="D72">
        <v>400</v>
      </c>
      <c r="E72">
        <v>25</v>
      </c>
      <c r="F72">
        <v>5875</v>
      </c>
      <c r="G72" t="s">
        <v>10</v>
      </c>
      <c r="H72">
        <v>95</v>
      </c>
      <c r="I72">
        <v>0</v>
      </c>
    </row>
    <row r="73" spans="1:9" x14ac:dyDescent="0.3">
      <c r="A73" t="s">
        <v>66</v>
      </c>
      <c r="B73">
        <v>4.5</v>
      </c>
      <c r="C73">
        <v>13.5</v>
      </c>
      <c r="D73">
        <v>50</v>
      </c>
      <c r="E73">
        <v>40</v>
      </c>
      <c r="F73">
        <v>1460</v>
      </c>
      <c r="G73" t="s">
        <v>10</v>
      </c>
      <c r="H73">
        <v>100</v>
      </c>
      <c r="I73">
        <v>0</v>
      </c>
    </row>
    <row r="74" spans="1:9" x14ac:dyDescent="0.3">
      <c r="A74" t="s">
        <v>72</v>
      </c>
      <c r="B74">
        <v>7</v>
      </c>
      <c r="C74">
        <v>21</v>
      </c>
      <c r="D74">
        <v>79</v>
      </c>
      <c r="E74">
        <v>40</v>
      </c>
      <c r="F74">
        <v>2320</v>
      </c>
      <c r="G74" t="s">
        <v>10</v>
      </c>
      <c r="H74">
        <v>92</v>
      </c>
      <c r="I74">
        <v>0</v>
      </c>
    </row>
    <row r="75" spans="1:9" x14ac:dyDescent="0.3">
      <c r="A75" t="s">
        <v>65</v>
      </c>
      <c r="B75">
        <v>10</v>
      </c>
      <c r="C75">
        <v>30</v>
      </c>
      <c r="D75">
        <v>145</v>
      </c>
      <c r="E75">
        <v>45</v>
      </c>
      <c r="F75">
        <v>5175</v>
      </c>
      <c r="G75" t="s">
        <v>10</v>
      </c>
      <c r="H75">
        <v>100</v>
      </c>
      <c r="I75">
        <v>0</v>
      </c>
    </row>
    <row r="76" spans="1:9" x14ac:dyDescent="0.3">
      <c r="A76" t="s">
        <v>29</v>
      </c>
      <c r="B76">
        <v>55</v>
      </c>
      <c r="C76">
        <v>165</v>
      </c>
      <c r="D76">
        <v>600</v>
      </c>
      <c r="E76">
        <v>66</v>
      </c>
      <c r="F76">
        <v>28710</v>
      </c>
      <c r="G76" t="s">
        <v>10</v>
      </c>
      <c r="H76">
        <v>94</v>
      </c>
      <c r="I76">
        <v>0</v>
      </c>
    </row>
    <row r="77" spans="1:9" x14ac:dyDescent="0.3">
      <c r="A77" t="s">
        <v>74</v>
      </c>
      <c r="B77">
        <v>5</v>
      </c>
      <c r="C77">
        <v>15</v>
      </c>
      <c r="D77">
        <v>49</v>
      </c>
      <c r="E77">
        <v>68</v>
      </c>
      <c r="F77">
        <v>2312</v>
      </c>
      <c r="G77" t="s">
        <v>10</v>
      </c>
      <c r="H77">
        <v>93</v>
      </c>
      <c r="I77">
        <v>0</v>
      </c>
    </row>
    <row r="78" spans="1:9" x14ac:dyDescent="0.3">
      <c r="A78" t="s">
        <v>70</v>
      </c>
      <c r="B78">
        <v>5</v>
      </c>
      <c r="C78">
        <v>15</v>
      </c>
      <c r="D78">
        <v>66</v>
      </c>
      <c r="E78">
        <v>87</v>
      </c>
      <c r="F78">
        <v>4437</v>
      </c>
      <c r="G78" t="s">
        <v>10</v>
      </c>
      <c r="H78">
        <v>91</v>
      </c>
      <c r="I78">
        <v>0</v>
      </c>
    </row>
    <row r="79" spans="1:9" x14ac:dyDescent="0.3">
      <c r="A79" t="s">
        <v>71</v>
      </c>
      <c r="B79">
        <v>8</v>
      </c>
      <c r="C79">
        <v>24</v>
      </c>
      <c r="D79">
        <v>75</v>
      </c>
      <c r="E79">
        <v>135</v>
      </c>
      <c r="F79">
        <v>6885</v>
      </c>
      <c r="G79" t="s">
        <v>10</v>
      </c>
      <c r="H79">
        <v>100</v>
      </c>
      <c r="I79">
        <v>0</v>
      </c>
    </row>
    <row r="80" spans="1:9" x14ac:dyDescent="0.3">
      <c r="A80" t="s">
        <v>31</v>
      </c>
      <c r="B80">
        <v>65</v>
      </c>
      <c r="C80">
        <v>195</v>
      </c>
      <c r="D80">
        <v>650</v>
      </c>
      <c r="E80">
        <v>158</v>
      </c>
      <c r="F80">
        <v>71890</v>
      </c>
      <c r="G80" t="s">
        <v>10</v>
      </c>
      <c r="H80">
        <v>97</v>
      </c>
      <c r="I80">
        <v>0</v>
      </c>
    </row>
    <row r="81" spans="1:9" x14ac:dyDescent="0.3">
      <c r="A81" t="s">
        <v>67</v>
      </c>
      <c r="B81">
        <v>5</v>
      </c>
      <c r="C81">
        <v>15</v>
      </c>
      <c r="D81">
        <v>85</v>
      </c>
      <c r="E81">
        <v>180</v>
      </c>
      <c r="F81">
        <v>12600</v>
      </c>
      <c r="G81" t="s">
        <v>10</v>
      </c>
      <c r="H81">
        <v>98</v>
      </c>
      <c r="I81">
        <v>0</v>
      </c>
    </row>
    <row r="82" spans="1:9" x14ac:dyDescent="0.3">
      <c r="A82" t="s">
        <v>63</v>
      </c>
      <c r="B82">
        <v>8</v>
      </c>
      <c r="C82">
        <v>24</v>
      </c>
      <c r="D82">
        <v>80</v>
      </c>
      <c r="E82">
        <v>189</v>
      </c>
      <c r="F82">
        <v>10584</v>
      </c>
      <c r="G82" t="s">
        <v>10</v>
      </c>
      <c r="H82">
        <v>98</v>
      </c>
      <c r="I82">
        <v>0</v>
      </c>
    </row>
    <row r="83" spans="1:9" x14ac:dyDescent="0.3">
      <c r="A83" t="s">
        <v>60</v>
      </c>
      <c r="B83">
        <v>5.5</v>
      </c>
      <c r="C83">
        <v>16.5</v>
      </c>
      <c r="D83">
        <v>80</v>
      </c>
      <c r="E83">
        <v>200</v>
      </c>
      <c r="F83">
        <v>12700</v>
      </c>
      <c r="G83" t="s">
        <v>10</v>
      </c>
      <c r="H83">
        <v>92</v>
      </c>
      <c r="I83">
        <v>0</v>
      </c>
    </row>
    <row r="84" spans="1:9" x14ac:dyDescent="0.3">
      <c r="A84" t="s">
        <v>18</v>
      </c>
      <c r="B84">
        <v>35</v>
      </c>
      <c r="C84">
        <v>105</v>
      </c>
      <c r="D84">
        <v>250</v>
      </c>
      <c r="E84">
        <v>230</v>
      </c>
      <c r="F84">
        <v>33350</v>
      </c>
      <c r="G84" t="s">
        <v>10</v>
      </c>
      <c r="H84">
        <v>96</v>
      </c>
      <c r="I84">
        <v>0</v>
      </c>
    </row>
    <row r="85" spans="1:9" x14ac:dyDescent="0.3">
      <c r="A85" t="s">
        <v>54</v>
      </c>
      <c r="B85">
        <v>9</v>
      </c>
      <c r="C85">
        <v>27</v>
      </c>
      <c r="D85">
        <v>55</v>
      </c>
      <c r="E85">
        <v>230</v>
      </c>
      <c r="F85">
        <v>6440</v>
      </c>
      <c r="G85" t="s">
        <v>10</v>
      </c>
      <c r="H85">
        <v>90</v>
      </c>
      <c r="I85">
        <v>0</v>
      </c>
    </row>
    <row r="86" spans="1:9" x14ac:dyDescent="0.3">
      <c r="A86" t="s">
        <v>46</v>
      </c>
      <c r="B86">
        <v>5</v>
      </c>
      <c r="C86">
        <v>15</v>
      </c>
      <c r="D86">
        <v>45</v>
      </c>
      <c r="E86">
        <v>342</v>
      </c>
      <c r="F86">
        <v>10260</v>
      </c>
      <c r="G86" t="s">
        <v>10</v>
      </c>
      <c r="H86">
        <v>94</v>
      </c>
      <c r="I86">
        <v>0</v>
      </c>
    </row>
    <row r="87" spans="1:9" x14ac:dyDescent="0.3">
      <c r="A87" t="s">
        <v>56</v>
      </c>
      <c r="B87">
        <v>7.5</v>
      </c>
      <c r="C87">
        <v>22.5</v>
      </c>
      <c r="D87">
        <v>70</v>
      </c>
      <c r="E87">
        <v>360</v>
      </c>
      <c r="F87">
        <v>17100</v>
      </c>
      <c r="G87" t="s">
        <v>10</v>
      </c>
      <c r="H87">
        <v>99</v>
      </c>
      <c r="I87">
        <v>0</v>
      </c>
    </row>
    <row r="88" spans="1:9" x14ac:dyDescent="0.3">
      <c r="A88" t="s">
        <v>61</v>
      </c>
      <c r="B88">
        <v>3.5</v>
      </c>
      <c r="C88">
        <v>10.5</v>
      </c>
      <c r="D88">
        <v>35</v>
      </c>
      <c r="E88">
        <v>433</v>
      </c>
      <c r="F88">
        <v>10608.5</v>
      </c>
      <c r="G88" t="s">
        <v>10</v>
      </c>
      <c r="H88">
        <v>99</v>
      </c>
      <c r="I88">
        <v>0</v>
      </c>
    </row>
    <row r="89" spans="1:9" x14ac:dyDescent="0.3">
      <c r="A89" t="s">
        <v>80</v>
      </c>
      <c r="B89">
        <v>6</v>
      </c>
      <c r="C89">
        <v>18</v>
      </c>
      <c r="D89">
        <v>60</v>
      </c>
      <c r="E89">
        <v>444</v>
      </c>
      <c r="F89">
        <v>18648</v>
      </c>
      <c r="G89" t="s">
        <v>10</v>
      </c>
      <c r="H89">
        <v>96</v>
      </c>
      <c r="I89">
        <v>0</v>
      </c>
    </row>
    <row r="90" spans="1:9" x14ac:dyDescent="0.3">
      <c r="A90" t="s">
        <v>15</v>
      </c>
      <c r="B90">
        <v>6</v>
      </c>
      <c r="C90">
        <v>18</v>
      </c>
      <c r="D90">
        <v>50</v>
      </c>
      <c r="E90">
        <v>450</v>
      </c>
      <c r="F90">
        <v>14400</v>
      </c>
      <c r="G90" t="s">
        <v>10</v>
      </c>
      <c r="H90">
        <v>92</v>
      </c>
      <c r="I90">
        <v>0</v>
      </c>
    </row>
    <row r="91" spans="1:9" x14ac:dyDescent="0.3">
      <c r="A91" t="s">
        <v>64</v>
      </c>
      <c r="B91">
        <v>3.5</v>
      </c>
      <c r="C91">
        <v>10.5</v>
      </c>
      <c r="D91">
        <v>35</v>
      </c>
      <c r="E91">
        <v>530</v>
      </c>
      <c r="F91">
        <v>12985</v>
      </c>
      <c r="G91" t="s">
        <v>10</v>
      </c>
      <c r="H91">
        <v>95</v>
      </c>
      <c r="I91">
        <v>0</v>
      </c>
    </row>
    <row r="92" spans="1:9" x14ac:dyDescent="0.3">
      <c r="A92" t="s">
        <v>36</v>
      </c>
      <c r="B92">
        <v>5</v>
      </c>
      <c r="C92">
        <v>15</v>
      </c>
      <c r="D92">
        <v>50</v>
      </c>
      <c r="E92">
        <v>860</v>
      </c>
      <c r="F92">
        <v>30100</v>
      </c>
      <c r="G92" t="s">
        <v>10</v>
      </c>
      <c r="H92">
        <v>96</v>
      </c>
      <c r="I92">
        <v>0</v>
      </c>
    </row>
    <row r="93" spans="1:9" x14ac:dyDescent="0.3">
      <c r="A93" t="s">
        <v>34</v>
      </c>
      <c r="B93">
        <v>5</v>
      </c>
      <c r="C93">
        <v>15</v>
      </c>
      <c r="D93">
        <v>70</v>
      </c>
      <c r="E93">
        <v>890</v>
      </c>
      <c r="F93">
        <v>48950</v>
      </c>
      <c r="G93" t="s">
        <v>10</v>
      </c>
      <c r="H93">
        <v>93</v>
      </c>
      <c r="I93">
        <v>0</v>
      </c>
    </row>
    <row r="94" spans="1:9" x14ac:dyDescent="0.3">
      <c r="A94" t="s">
        <v>7</v>
      </c>
      <c r="B94">
        <v>7</v>
      </c>
      <c r="C94">
        <v>21</v>
      </c>
      <c r="D94">
        <v>40</v>
      </c>
      <c r="E94">
        <v>1300</v>
      </c>
      <c r="F94">
        <v>24700</v>
      </c>
      <c r="G94" t="s">
        <v>10</v>
      </c>
      <c r="H94">
        <v>97</v>
      </c>
      <c r="I94">
        <v>0</v>
      </c>
    </row>
    <row r="95" spans="1:9" x14ac:dyDescent="0.3">
      <c r="A95" t="s">
        <v>44</v>
      </c>
      <c r="B95">
        <v>3.5</v>
      </c>
      <c r="C95">
        <v>10.5</v>
      </c>
      <c r="D95">
        <v>35</v>
      </c>
      <c r="E95">
        <v>1350</v>
      </c>
      <c r="F95">
        <v>33075</v>
      </c>
      <c r="G95" t="s">
        <v>10</v>
      </c>
      <c r="H95">
        <v>91</v>
      </c>
      <c r="I95">
        <v>0</v>
      </c>
    </row>
    <row r="96" spans="1:9" x14ac:dyDescent="0.3">
      <c r="A96" t="s">
        <v>42</v>
      </c>
      <c r="B96">
        <v>4</v>
      </c>
      <c r="C96">
        <v>12</v>
      </c>
      <c r="D96">
        <v>55</v>
      </c>
      <c r="E96">
        <v>1450</v>
      </c>
      <c r="F96">
        <v>62350</v>
      </c>
      <c r="G96" t="s">
        <v>10</v>
      </c>
      <c r="H96">
        <v>96</v>
      </c>
      <c r="I96">
        <v>0</v>
      </c>
    </row>
    <row r="97" spans="1:9" x14ac:dyDescent="0.3">
      <c r="A97" t="s">
        <v>23</v>
      </c>
      <c r="B97">
        <v>7</v>
      </c>
      <c r="C97">
        <v>21</v>
      </c>
      <c r="D97">
        <v>55</v>
      </c>
      <c r="E97">
        <v>1578</v>
      </c>
      <c r="F97">
        <v>53652</v>
      </c>
      <c r="G97" t="s">
        <v>10</v>
      </c>
      <c r="H97">
        <v>95</v>
      </c>
      <c r="I97">
        <v>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CEB1-B5D3-496A-9023-42421FD427EC}">
  <dimension ref="A2:C16"/>
  <sheetViews>
    <sheetView workbookViewId="0">
      <selection activeCell="E16" sqref="E16"/>
    </sheetView>
  </sheetViews>
  <sheetFormatPr defaultRowHeight="14.4" x14ac:dyDescent="0.3"/>
  <cols>
    <col min="1" max="1" width="14.33203125" bestFit="1" customWidth="1"/>
    <col min="2" max="3" width="18.44140625" bestFit="1" customWidth="1"/>
  </cols>
  <sheetData>
    <row r="2" spans="1:3" x14ac:dyDescent="0.3">
      <c r="A2" s="13" t="s">
        <v>2</v>
      </c>
      <c r="B2" t="s">
        <v>292</v>
      </c>
      <c r="C2" t="s">
        <v>293</v>
      </c>
    </row>
    <row r="3" spans="1:3" x14ac:dyDescent="0.3">
      <c r="A3" t="s">
        <v>17</v>
      </c>
      <c r="B3">
        <v>1021</v>
      </c>
      <c r="C3">
        <v>429</v>
      </c>
    </row>
    <row r="4" spans="1:3" x14ac:dyDescent="0.3">
      <c r="A4" t="s">
        <v>28</v>
      </c>
      <c r="B4">
        <v>496</v>
      </c>
      <c r="C4">
        <v>557</v>
      </c>
    </row>
    <row r="5" spans="1:3" x14ac:dyDescent="0.3">
      <c r="A5" t="s">
        <v>96</v>
      </c>
      <c r="B5">
        <v>368</v>
      </c>
      <c r="C5">
        <v>37</v>
      </c>
    </row>
    <row r="6" spans="1:3" x14ac:dyDescent="0.3">
      <c r="A6" t="s">
        <v>21</v>
      </c>
      <c r="B6">
        <v>306</v>
      </c>
      <c r="C6">
        <v>160</v>
      </c>
    </row>
    <row r="7" spans="1:3" x14ac:dyDescent="0.3">
      <c r="A7" t="s">
        <v>14</v>
      </c>
      <c r="B7">
        <v>170</v>
      </c>
      <c r="C7">
        <v>56</v>
      </c>
    </row>
    <row r="8" spans="1:3" x14ac:dyDescent="0.3">
      <c r="A8" t="s">
        <v>43</v>
      </c>
      <c r="B8">
        <v>48</v>
      </c>
      <c r="C8">
        <v>39</v>
      </c>
    </row>
    <row r="9" spans="1:3" x14ac:dyDescent="0.3">
      <c r="A9" t="s">
        <v>25</v>
      </c>
      <c r="B9">
        <v>44</v>
      </c>
      <c r="C9">
        <v>15</v>
      </c>
    </row>
    <row r="10" spans="1:3" x14ac:dyDescent="0.3">
      <c r="A10" t="s">
        <v>38</v>
      </c>
      <c r="B10">
        <v>38</v>
      </c>
      <c r="C10">
        <v>43</v>
      </c>
    </row>
    <row r="11" spans="1:3" x14ac:dyDescent="0.3">
      <c r="A11" t="s">
        <v>20</v>
      </c>
      <c r="B11">
        <v>26</v>
      </c>
      <c r="C11">
        <v>13</v>
      </c>
    </row>
    <row r="12" spans="1:3" x14ac:dyDescent="0.3">
      <c r="A12" t="s">
        <v>22</v>
      </c>
      <c r="B12">
        <v>15</v>
      </c>
      <c r="C12">
        <v>8</v>
      </c>
    </row>
    <row r="13" spans="1:3" x14ac:dyDescent="0.3">
      <c r="A13" t="s">
        <v>13</v>
      </c>
      <c r="B13">
        <v>7</v>
      </c>
      <c r="C13">
        <v>20</v>
      </c>
    </row>
    <row r="14" spans="1:3" x14ac:dyDescent="0.3">
      <c r="A14" t="s">
        <v>41</v>
      </c>
      <c r="B14">
        <v>5</v>
      </c>
      <c r="C14">
        <v>0</v>
      </c>
    </row>
    <row r="15" spans="1:3" x14ac:dyDescent="0.3">
      <c r="A15" t="s">
        <v>33</v>
      </c>
      <c r="B15">
        <v>0</v>
      </c>
      <c r="C15">
        <v>5</v>
      </c>
    </row>
    <row r="16" spans="1:3" x14ac:dyDescent="0.3">
      <c r="A16" t="s">
        <v>228</v>
      </c>
      <c r="B16">
        <v>2544</v>
      </c>
      <c r="C16">
        <v>1382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6A2E-84D5-4332-8BBB-4B27F39671B0}">
  <dimension ref="A2:E10"/>
  <sheetViews>
    <sheetView workbookViewId="0">
      <selection activeCell="E10" sqref="A2:E10"/>
    </sheetView>
  </sheetViews>
  <sheetFormatPr defaultRowHeight="14.4" x14ac:dyDescent="0.3"/>
  <cols>
    <col min="1" max="1" width="10.77734375" bestFit="1" customWidth="1"/>
    <col min="2" max="2" width="11.77734375" bestFit="1" customWidth="1"/>
    <col min="3" max="3" width="19.77734375" bestFit="1" customWidth="1"/>
    <col min="4" max="4" width="18.6640625" bestFit="1" customWidth="1"/>
    <col min="5" max="5" width="16.88671875" bestFit="1" customWidth="1"/>
  </cols>
  <sheetData>
    <row r="2" spans="1:5" x14ac:dyDescent="0.3">
      <c r="A2" s="13" t="s">
        <v>267</v>
      </c>
      <c r="B2" t="s">
        <v>305</v>
      </c>
      <c r="C2" t="s">
        <v>306</v>
      </c>
      <c r="D2" t="s">
        <v>307</v>
      </c>
      <c r="E2" t="s">
        <v>304</v>
      </c>
    </row>
    <row r="3" spans="1:5" x14ac:dyDescent="0.3">
      <c r="A3">
        <v>2006</v>
      </c>
      <c r="B3" s="37">
        <v>144584.79999999999</v>
      </c>
      <c r="C3" s="37">
        <v>799208.4</v>
      </c>
      <c r="D3">
        <v>0</v>
      </c>
      <c r="E3">
        <v>943793</v>
      </c>
    </row>
    <row r="4" spans="1:5" x14ac:dyDescent="0.3">
      <c r="A4">
        <v>2007</v>
      </c>
      <c r="B4" s="37">
        <v>132479.80000000002</v>
      </c>
      <c r="C4" s="37">
        <v>895836.99999999988</v>
      </c>
      <c r="D4">
        <v>0</v>
      </c>
      <c r="E4">
        <v>1028317</v>
      </c>
    </row>
    <row r="5" spans="1:5" x14ac:dyDescent="0.3">
      <c r="A5">
        <v>2008</v>
      </c>
      <c r="B5" s="37">
        <v>141823.4</v>
      </c>
      <c r="C5" s="37">
        <v>840681.20000000007</v>
      </c>
      <c r="D5">
        <v>0</v>
      </c>
      <c r="E5">
        <v>982505</v>
      </c>
    </row>
    <row r="6" spans="1:5" x14ac:dyDescent="0.3">
      <c r="A6">
        <v>2009</v>
      </c>
      <c r="B6" s="37">
        <v>88421.200000000012</v>
      </c>
      <c r="C6" s="37">
        <v>748392.8</v>
      </c>
      <c r="D6">
        <v>0</v>
      </c>
      <c r="E6">
        <v>836814</v>
      </c>
    </row>
    <row r="7" spans="1:5" x14ac:dyDescent="0.3">
      <c r="A7">
        <v>2010</v>
      </c>
      <c r="B7" s="37">
        <v>422323.8</v>
      </c>
      <c r="C7" s="37">
        <v>804376.6</v>
      </c>
      <c r="D7">
        <v>19512.5</v>
      </c>
      <c r="E7">
        <v>1246213</v>
      </c>
    </row>
    <row r="8" spans="1:5" x14ac:dyDescent="0.3">
      <c r="A8">
        <v>2011</v>
      </c>
      <c r="B8" s="37">
        <v>271603.59999999998</v>
      </c>
      <c r="C8" s="37">
        <v>809295.2</v>
      </c>
      <c r="D8">
        <v>-12815.5</v>
      </c>
      <c r="E8">
        <v>1068083</v>
      </c>
    </row>
    <row r="9" spans="1:5" x14ac:dyDescent="0.3">
      <c r="A9">
        <v>2012</v>
      </c>
      <c r="B9" s="37">
        <v>280878.59999999998</v>
      </c>
      <c r="C9" s="37">
        <v>1094141.2</v>
      </c>
      <c r="D9">
        <v>-12815.5</v>
      </c>
      <c r="E9">
        <v>1475767</v>
      </c>
    </row>
    <row r="10" spans="1:5" x14ac:dyDescent="0.3">
      <c r="A10" t="s">
        <v>228</v>
      </c>
      <c r="B10" s="37">
        <v>1482115.2000000002</v>
      </c>
      <c r="C10" s="37">
        <v>5991932.4000000004</v>
      </c>
      <c r="D10">
        <v>-6118.5</v>
      </c>
      <c r="E10">
        <v>7581492</v>
      </c>
    </row>
  </sheetData>
  <pageMargins left="0.7" right="0.7" top="0.75" bottom="0.75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F38B-EDB6-4C07-AE05-4DEB068006CF}">
  <dimension ref="A1:E13"/>
  <sheetViews>
    <sheetView workbookViewId="0">
      <selection activeCell="E8" sqref="E8:E13"/>
    </sheetView>
  </sheetViews>
  <sheetFormatPr defaultRowHeight="14.4" x14ac:dyDescent="0.3"/>
  <cols>
    <col min="1" max="1" width="15.44140625" customWidth="1"/>
    <col min="2" max="2" width="13" customWidth="1"/>
    <col min="3" max="3" width="21.33203125" customWidth="1"/>
    <col min="4" max="4" width="35.44140625" customWidth="1"/>
    <col min="5" max="5" width="35.5546875" customWidth="1"/>
  </cols>
  <sheetData>
    <row r="1" spans="1:5" x14ac:dyDescent="0.3">
      <c r="A1" t="s">
        <v>5</v>
      </c>
      <c r="B1" t="s">
        <v>97</v>
      </c>
      <c r="C1" t="s">
        <v>364</v>
      </c>
      <c r="D1" t="s">
        <v>365</v>
      </c>
      <c r="E1" t="s">
        <v>366</v>
      </c>
    </row>
    <row r="2" spans="1:5" x14ac:dyDescent="0.3">
      <c r="A2">
        <v>2006</v>
      </c>
      <c r="B2">
        <v>0</v>
      </c>
    </row>
    <row r="3" spans="1:5" x14ac:dyDescent="0.3">
      <c r="A3">
        <v>2007</v>
      </c>
      <c r="B3">
        <v>0</v>
      </c>
    </row>
    <row r="4" spans="1:5" x14ac:dyDescent="0.3">
      <c r="A4">
        <v>2008</v>
      </c>
      <c r="B4">
        <v>0</v>
      </c>
    </row>
    <row r="5" spans="1:5" x14ac:dyDescent="0.3">
      <c r="A5">
        <v>2009</v>
      </c>
      <c r="B5">
        <v>0</v>
      </c>
    </row>
    <row r="6" spans="1:5" x14ac:dyDescent="0.3">
      <c r="A6">
        <v>2010</v>
      </c>
      <c r="B6">
        <v>809</v>
      </c>
    </row>
    <row r="7" spans="1:5" x14ac:dyDescent="0.3">
      <c r="A7">
        <v>2011</v>
      </c>
      <c r="B7">
        <v>2426</v>
      </c>
    </row>
    <row r="8" spans="1:5" x14ac:dyDescent="0.3">
      <c r="A8">
        <v>2012</v>
      </c>
      <c r="B8">
        <v>4464</v>
      </c>
      <c r="C8">
        <v>4464</v>
      </c>
      <c r="D8" s="58">
        <v>4464</v>
      </c>
      <c r="E8" s="58">
        <v>4464</v>
      </c>
    </row>
    <row r="9" spans="1:5" x14ac:dyDescent="0.3">
      <c r="A9">
        <v>2013</v>
      </c>
      <c r="C9" s="58">
        <f>_xlfn.FORECAST.ETS(A9,$B$2:$B$8,$A$2:$A$8,1,1)</f>
        <v>5144.4642857142853</v>
      </c>
      <c r="D9" s="58">
        <f>C9-_xlfn.FORECAST.ETS.CONFINT(A9,$B$2:$B$8,$A$2:$A$8,0.95,1,1)</f>
        <v>4051.3382376650402</v>
      </c>
      <c r="E9" s="58">
        <f>C9+_xlfn.FORECAST.ETS.CONFINT(A9,$B$2:$B$8,$A$2:$A$8,0.95,1,1)</f>
        <v>6237.59033376353</v>
      </c>
    </row>
    <row r="10" spans="1:5" x14ac:dyDescent="0.3">
      <c r="A10">
        <v>2014</v>
      </c>
      <c r="C10" s="58">
        <f>_xlfn.FORECAST.ETS(A10,$B$2:$B$8,$A$2:$A$8,1,1)</f>
        <v>5824.9285714285716</v>
      </c>
      <c r="D10" s="58">
        <f>C10-_xlfn.FORECAST.ETS.CONFINT(A10,$B$2:$B$8,$A$2:$A$8,0.95,1,1)</f>
        <v>4279.7876523994264</v>
      </c>
      <c r="E10" s="58">
        <f>C10+_xlfn.FORECAST.ETS.CONFINT(A10,$B$2:$B$8,$A$2:$A$8,0.95,1,1)</f>
        <v>7370.0694904577167</v>
      </c>
    </row>
    <row r="11" spans="1:5" x14ac:dyDescent="0.3">
      <c r="A11">
        <v>2015</v>
      </c>
      <c r="C11" s="58">
        <f>_xlfn.FORECAST.ETS(A11,$B$2:$B$8,$A$2:$A$8,1,1)</f>
        <v>6505.3928571428569</v>
      </c>
      <c r="D11" s="58">
        <f>C11-_xlfn.FORECAST.ETS.CONFINT(A11,$B$2:$B$8,$A$2:$A$8,0.95,1,1)</f>
        <v>4612.6739090203437</v>
      </c>
      <c r="E11" s="58">
        <f>C11+_xlfn.FORECAST.ETS.CONFINT(A11,$B$2:$B$8,$A$2:$A$8,0.95,1,1)</f>
        <v>8398.1118052653692</v>
      </c>
    </row>
    <row r="12" spans="1:5" x14ac:dyDescent="0.3">
      <c r="A12">
        <v>2016</v>
      </c>
      <c r="C12" s="58">
        <f>_xlfn.FORECAST.ETS(A12,$B$2:$B$8,$A$2:$A$8,1,1)</f>
        <v>7185.8571428571431</v>
      </c>
      <c r="D12" s="58">
        <f>C12-_xlfn.FORECAST.ETS.CONFINT(A12,$B$2:$B$8,$A$2:$A$8,0.95,1,1)</f>
        <v>4999.6045001956973</v>
      </c>
      <c r="E12" s="58">
        <f>C12+_xlfn.FORECAST.ETS.CONFINT(A12,$B$2:$B$8,$A$2:$A$8,0.95,1,1)</f>
        <v>9372.109785518589</v>
      </c>
    </row>
    <row r="13" spans="1:5" x14ac:dyDescent="0.3">
      <c r="A13">
        <v>2017</v>
      </c>
      <c r="C13" s="58">
        <f>_xlfn.FORECAST.ETS(A13,$B$2:$B$8,$A$2:$A$8,1,1)</f>
        <v>7866.3214285714284</v>
      </c>
      <c r="D13" s="58">
        <f>C13-_xlfn.FORECAST.ETS.CONFINT(A13,$B$2:$B$8,$A$2:$A$8,0.95,1,1)</f>
        <v>5421.0382849674324</v>
      </c>
      <c r="E13" s="58">
        <f>C13+_xlfn.FORECAST.ETS.CONFINT(A13,$B$2:$B$8,$A$2:$A$8,0.95,1,1)</f>
        <v>10311.604572175424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6AAF-0B07-4F97-871F-9843CB5810B0}">
  <dimension ref="A1:E14"/>
  <sheetViews>
    <sheetView workbookViewId="0">
      <selection activeCell="B31" sqref="B31"/>
    </sheetView>
  </sheetViews>
  <sheetFormatPr defaultRowHeight="14.4" x14ac:dyDescent="0.3"/>
  <cols>
    <col min="1" max="1" width="15.44140625" customWidth="1"/>
    <col min="2" max="2" width="14.33203125" customWidth="1"/>
    <col min="3" max="3" width="22.6640625" customWidth="1"/>
    <col min="4" max="4" width="36.77734375" customWidth="1"/>
    <col min="5" max="5" width="36.88671875" customWidth="1"/>
  </cols>
  <sheetData>
    <row r="1" spans="1:5" x14ac:dyDescent="0.3">
      <c r="A1" t="s">
        <v>5</v>
      </c>
      <c r="B1" t="s">
        <v>10</v>
      </c>
      <c r="C1" t="s">
        <v>367</v>
      </c>
      <c r="D1" t="s">
        <v>368</v>
      </c>
      <c r="E1" t="s">
        <v>369</v>
      </c>
    </row>
    <row r="2" spans="1:5" x14ac:dyDescent="0.3">
      <c r="A2">
        <v>2006</v>
      </c>
      <c r="B2">
        <v>22892</v>
      </c>
    </row>
    <row r="3" spans="1:5" x14ac:dyDescent="0.3">
      <c r="A3">
        <v>2007</v>
      </c>
      <c r="B3">
        <v>24438</v>
      </c>
    </row>
    <row r="4" spans="1:5" x14ac:dyDescent="0.3">
      <c r="A4">
        <v>2008</v>
      </c>
      <c r="B4">
        <v>23135</v>
      </c>
      <c r="C4" s="58"/>
      <c r="D4" s="58"/>
      <c r="E4" s="58"/>
    </row>
    <row r="5" spans="1:5" x14ac:dyDescent="0.3">
      <c r="A5">
        <v>2009</v>
      </c>
      <c r="B5">
        <v>21898</v>
      </c>
      <c r="C5" s="58"/>
      <c r="D5" s="58"/>
      <c r="E5" s="58"/>
    </row>
    <row r="6" spans="1:5" x14ac:dyDescent="0.3">
      <c r="A6">
        <v>2010</v>
      </c>
      <c r="B6">
        <v>19118</v>
      </c>
      <c r="C6" s="58"/>
      <c r="D6" s="58"/>
      <c r="E6" s="58"/>
    </row>
    <row r="7" spans="1:5" x14ac:dyDescent="0.3">
      <c r="A7">
        <v>2011</v>
      </c>
      <c r="B7">
        <v>20336</v>
      </c>
      <c r="C7" s="58"/>
      <c r="D7" s="58"/>
      <c r="E7" s="58"/>
    </row>
    <row r="8" spans="1:5" x14ac:dyDescent="0.3">
      <c r="A8">
        <v>2012</v>
      </c>
      <c r="B8">
        <v>23429</v>
      </c>
      <c r="C8" s="58">
        <v>23429</v>
      </c>
      <c r="D8" s="58">
        <v>23429</v>
      </c>
      <c r="E8" s="58">
        <v>23429</v>
      </c>
    </row>
    <row r="9" spans="1:5" x14ac:dyDescent="0.3">
      <c r="A9">
        <v>2013</v>
      </c>
      <c r="C9" s="58">
        <f>_xlfn.FORECAST.ETS(A9,$B$2:$B$8,$A$2:$A$8,1,1)</f>
        <v>20257.014509551253</v>
      </c>
      <c r="D9" s="58">
        <f>C9-_xlfn.FORECAST.ETS.CONFINT(A9,$B$2:$B$8,$A$2:$A$8,0.95,1,1)</f>
        <v>17098.742473001679</v>
      </c>
      <c r="E9" s="58">
        <f>C9+_xlfn.FORECAST.ETS.CONFINT(A9,$B$2:$B$8,$A$2:$A$8,0.95,1,1)</f>
        <v>23415.286546100826</v>
      </c>
    </row>
    <row r="10" spans="1:5" x14ac:dyDescent="0.3">
      <c r="A10">
        <v>2014</v>
      </c>
      <c r="C10" s="58">
        <f>_xlfn.FORECAST.ETS(A10,$B$2:$B$8,$A$2:$A$8,1,1)</f>
        <v>19880.995739006856</v>
      </c>
      <c r="D10" s="58">
        <f>C10-_xlfn.FORECAST.ETS.CONFINT(A10,$B$2:$B$8,$A$2:$A$8,0.95,1,1)</f>
        <v>16722.709490265097</v>
      </c>
      <c r="E10" s="58">
        <f>C10+_xlfn.FORECAST.ETS.CONFINT(A10,$B$2:$B$8,$A$2:$A$8,0.95,1,1)</f>
        <v>23039.281987748614</v>
      </c>
    </row>
    <row r="11" spans="1:5" x14ac:dyDescent="0.3">
      <c r="A11">
        <v>2015</v>
      </c>
      <c r="C11" s="58">
        <f>_xlfn.FORECAST.ETS(A11,$B$2:$B$8,$A$2:$A$8,1,1)</f>
        <v>19504.976968462463</v>
      </c>
      <c r="D11" s="58">
        <f>C11-_xlfn.FORECAST.ETS.CONFINT(A11,$B$2:$B$8,$A$2:$A$8,0.95,1,1)</f>
        <v>16346.665453759169</v>
      </c>
      <c r="E11" s="58">
        <f>C11+_xlfn.FORECAST.ETS.CONFINT(A11,$B$2:$B$8,$A$2:$A$8,0.95,1,1)</f>
        <v>22663.288483165757</v>
      </c>
    </row>
    <row r="12" spans="1:5" x14ac:dyDescent="0.3">
      <c r="A12">
        <v>2016</v>
      </c>
      <c r="C12" s="58">
        <f>_xlfn.FORECAST.ETS(A12,$B$2:$B$8,$A$2:$A$8,1,1)</f>
        <v>19128.958197918066</v>
      </c>
      <c r="D12" s="58">
        <f>C12-_xlfn.FORECAST.ETS.CONFINT(A12,$B$2:$B$8,$A$2:$A$8,0.95,1,1)</f>
        <v>15970.607205554514</v>
      </c>
      <c r="E12" s="58">
        <f>C12+_xlfn.FORECAST.ETS.CONFINT(A12,$B$2:$B$8,$A$2:$A$8,0.95,1,1)</f>
        <v>22287.309190281616</v>
      </c>
    </row>
    <row r="13" spans="1:5" x14ac:dyDescent="0.3">
      <c r="A13">
        <v>2017</v>
      </c>
      <c r="C13" s="58">
        <f>_xlfn.FORECAST.ETS(A13,$B$2:$B$8,$A$2:$A$8,1,1)</f>
        <v>18752.939427373673</v>
      </c>
      <c r="D13" s="58">
        <f>C13-_xlfn.FORECAST.ETS.CONFINT(A13,$B$2:$B$8,$A$2:$A$8,0.95,1,1)</f>
        <v>15594.531588046224</v>
      </c>
      <c r="E13" s="58">
        <f>C13+_xlfn.FORECAST.ETS.CONFINT(A13,$B$2:$B$8,$A$2:$A$8,0.95,1,1)</f>
        <v>21911.347266701119</v>
      </c>
    </row>
    <row r="14" spans="1:5" x14ac:dyDescent="0.3">
      <c r="C14" s="58"/>
      <c r="D14" s="58"/>
      <c r="E14" s="58"/>
    </row>
  </sheetData>
  <pageMargins left="0.7" right="0.7" top="0.75" bottom="0.75" header="0.3" footer="0.3"/>
  <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B221-E6D0-4D3F-BC2E-C0E4DCE3E945}">
  <dimension ref="A1:E128"/>
  <sheetViews>
    <sheetView topLeftCell="A25" workbookViewId="0">
      <selection activeCell="C19" sqref="C19"/>
    </sheetView>
  </sheetViews>
  <sheetFormatPr defaultRowHeight="14.4" x14ac:dyDescent="0.3"/>
  <cols>
    <col min="2" max="2" width="13.77734375" customWidth="1"/>
    <col min="3" max="3" width="22.109375" customWidth="1"/>
    <col min="4" max="4" width="36.21875" customWidth="1"/>
    <col min="5" max="5" width="36.33203125" customWidth="1"/>
  </cols>
  <sheetData>
    <row r="1" spans="1:5" x14ac:dyDescent="0.3">
      <c r="A1" t="s">
        <v>267</v>
      </c>
      <c r="B1" t="s">
        <v>302</v>
      </c>
      <c r="C1" t="s">
        <v>350</v>
      </c>
      <c r="D1" t="s">
        <v>351</v>
      </c>
      <c r="E1" t="s">
        <v>352</v>
      </c>
    </row>
    <row r="2" spans="1:5" x14ac:dyDescent="0.3">
      <c r="A2">
        <v>2006</v>
      </c>
      <c r="B2" s="42">
        <v>0.15319545705467194</v>
      </c>
    </row>
    <row r="3" spans="1:5" x14ac:dyDescent="0.3">
      <c r="A3">
        <v>2007</v>
      </c>
      <c r="B3" s="42">
        <v>0.12883167350145919</v>
      </c>
    </row>
    <row r="4" spans="1:5" x14ac:dyDescent="0.3">
      <c r="A4">
        <v>2008</v>
      </c>
      <c r="B4" s="42">
        <v>0.144348781940041</v>
      </c>
    </row>
    <row r="5" spans="1:5" x14ac:dyDescent="0.3">
      <c r="A5">
        <v>2009</v>
      </c>
      <c r="B5" s="42">
        <v>0.10566410217802284</v>
      </c>
    </row>
    <row r="6" spans="1:5" x14ac:dyDescent="0.3">
      <c r="A6">
        <v>2010</v>
      </c>
      <c r="B6" s="42">
        <v>0.33888572820216128</v>
      </c>
    </row>
    <row r="7" spans="1:5" x14ac:dyDescent="0.3">
      <c r="A7">
        <v>2011</v>
      </c>
      <c r="B7" s="42">
        <v>0.25429072459724572</v>
      </c>
    </row>
    <row r="8" spans="1:5" x14ac:dyDescent="0.3">
      <c r="A8">
        <v>2012</v>
      </c>
      <c r="B8" s="42">
        <v>0.19032719934786452</v>
      </c>
      <c r="C8" s="42">
        <v>0.19032719934786452</v>
      </c>
      <c r="D8" s="42">
        <v>0.19032719934786452</v>
      </c>
      <c r="E8" s="42">
        <v>0.19032719934786452</v>
      </c>
    </row>
    <row r="9" spans="1:5" x14ac:dyDescent="0.3">
      <c r="A9">
        <v>2013</v>
      </c>
      <c r="C9" s="42">
        <f>_xlfn.FORECAST.ETS(A9,$B$2:$B$8,$A$2:$A$8,1,1)</f>
        <v>0.29137235711868642</v>
      </c>
      <c r="D9" s="42">
        <f>C9-_xlfn.FORECAST.ETS.CONFINT(A9,$B$2:$B$8,$A$2:$A$8,0.95,1,1)</f>
        <v>0.15517943471296305</v>
      </c>
      <c r="E9" s="42">
        <f>C9+_xlfn.FORECAST.ETS.CONFINT(A9,$B$2:$B$8,$A$2:$A$8,0.95,1,1)</f>
        <v>0.42756527952440981</v>
      </c>
    </row>
    <row r="10" spans="1:5" x14ac:dyDescent="0.3">
      <c r="A10">
        <v>2014</v>
      </c>
      <c r="C10" s="42">
        <f>_xlfn.FORECAST.ETS(A10,$B$2:$B$8,$A$2:$A$8,1,1)</f>
        <v>0.31108791130318286</v>
      </c>
      <c r="D10" s="42">
        <f>C10-_xlfn.FORECAST.ETS.CONFINT(A10,$B$2:$B$8,$A$2:$A$8,0.95,1,1)</f>
        <v>0.17489437603068761</v>
      </c>
      <c r="E10" s="42">
        <f>C10+_xlfn.FORECAST.ETS.CONFINT(A10,$B$2:$B$8,$A$2:$A$8,0.95,1,1)</f>
        <v>0.44728144657567814</v>
      </c>
    </row>
    <row r="128" hidden="1" x14ac:dyDescent="0.3"/>
  </sheetData>
  <pageMargins left="0.7" right="0.7" top="0.75" bottom="0.75" header="0.3" footer="0.3"/>
  <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AB38-9873-450F-80CA-3DD20ACD06E3}">
  <dimension ref="A1:E13"/>
  <sheetViews>
    <sheetView topLeftCell="A13" workbookViewId="0">
      <selection activeCell="G18" sqref="G18"/>
    </sheetView>
  </sheetViews>
  <sheetFormatPr defaultRowHeight="14.4" x14ac:dyDescent="0.3"/>
  <cols>
    <col min="1" max="1" width="15.44140625" customWidth="1"/>
    <col min="2" max="2" width="14.33203125" customWidth="1"/>
    <col min="3" max="3" width="22.6640625" customWidth="1"/>
    <col min="4" max="4" width="36.77734375" customWidth="1"/>
    <col min="5" max="5" width="36.88671875" customWidth="1"/>
  </cols>
  <sheetData>
    <row r="1" spans="1:5" x14ac:dyDescent="0.3">
      <c r="A1" t="s">
        <v>5</v>
      </c>
      <c r="B1" t="s">
        <v>10</v>
      </c>
      <c r="C1" t="s">
        <v>367</v>
      </c>
      <c r="D1" t="s">
        <v>368</v>
      </c>
      <c r="E1" t="s">
        <v>369</v>
      </c>
    </row>
    <row r="2" spans="1:5" x14ac:dyDescent="0.3">
      <c r="A2">
        <v>2006</v>
      </c>
      <c r="B2">
        <v>22892</v>
      </c>
    </row>
    <row r="3" spans="1:5" x14ac:dyDescent="0.3">
      <c r="A3">
        <v>2007</v>
      </c>
      <c r="B3">
        <v>24438</v>
      </c>
    </row>
    <row r="4" spans="1:5" x14ac:dyDescent="0.3">
      <c r="A4">
        <v>2008</v>
      </c>
      <c r="B4">
        <v>23135</v>
      </c>
    </row>
    <row r="5" spans="1:5" x14ac:dyDescent="0.3">
      <c r="A5">
        <v>2009</v>
      </c>
      <c r="B5">
        <v>21898</v>
      </c>
    </row>
    <row r="6" spans="1:5" x14ac:dyDescent="0.3">
      <c r="A6">
        <v>2010</v>
      </c>
      <c r="B6">
        <v>19118</v>
      </c>
    </row>
    <row r="7" spans="1:5" x14ac:dyDescent="0.3">
      <c r="A7">
        <v>2011</v>
      </c>
      <c r="B7">
        <v>20336</v>
      </c>
    </row>
    <row r="8" spans="1:5" x14ac:dyDescent="0.3">
      <c r="A8">
        <v>2012</v>
      </c>
      <c r="B8">
        <v>23429</v>
      </c>
      <c r="C8" s="58">
        <v>23429</v>
      </c>
      <c r="D8" s="58">
        <v>23429</v>
      </c>
      <c r="E8" s="58">
        <v>23429</v>
      </c>
    </row>
    <row r="9" spans="1:5" x14ac:dyDescent="0.3">
      <c r="A9">
        <v>2013</v>
      </c>
      <c r="C9" s="58">
        <f>_xlfn.FORECAST.ETS(A9,$B$2:$B$8,$A$2:$A$8,1,1)</f>
        <v>20257.014509551253</v>
      </c>
      <c r="D9" s="58">
        <f>C9-_xlfn.FORECAST.ETS.CONFINT(A9,$B$2:$B$8,$A$2:$A$8,0.95,1,1)</f>
        <v>17098.742473001679</v>
      </c>
      <c r="E9" s="58">
        <f>C9+_xlfn.FORECAST.ETS.CONFINT(A9,$B$2:$B$8,$A$2:$A$8,0.95,1,1)</f>
        <v>23415.286546100826</v>
      </c>
    </row>
    <row r="10" spans="1:5" x14ac:dyDescent="0.3">
      <c r="A10">
        <v>2014</v>
      </c>
      <c r="C10" s="58">
        <f>_xlfn.FORECAST.ETS(A10,$B$2:$B$8,$A$2:$A$8,1,1)</f>
        <v>19880.995739006856</v>
      </c>
      <c r="D10" s="58">
        <f>C10-_xlfn.FORECAST.ETS.CONFINT(A10,$B$2:$B$8,$A$2:$A$8,0.95,1,1)</f>
        <v>16722.709490265097</v>
      </c>
      <c r="E10" s="58">
        <f>C10+_xlfn.FORECAST.ETS.CONFINT(A10,$B$2:$B$8,$A$2:$A$8,0.95,1,1)</f>
        <v>23039.281987748614</v>
      </c>
    </row>
    <row r="11" spans="1:5" x14ac:dyDescent="0.3">
      <c r="A11">
        <v>2015</v>
      </c>
      <c r="C11" s="58">
        <f>_xlfn.FORECAST.ETS(A11,$B$2:$B$8,$A$2:$A$8,1,1)</f>
        <v>19504.976968462463</v>
      </c>
      <c r="D11" s="58">
        <f>C11-_xlfn.FORECAST.ETS.CONFINT(A11,$B$2:$B$8,$A$2:$A$8,0.95,1,1)</f>
        <v>16346.665453759169</v>
      </c>
      <c r="E11" s="58">
        <f>C11+_xlfn.FORECAST.ETS.CONFINT(A11,$B$2:$B$8,$A$2:$A$8,0.95,1,1)</f>
        <v>22663.288483165757</v>
      </c>
    </row>
    <row r="12" spans="1:5" x14ac:dyDescent="0.3">
      <c r="A12">
        <v>2016</v>
      </c>
      <c r="C12" s="58">
        <f>_xlfn.FORECAST.ETS(A12,$B$2:$B$8,$A$2:$A$8,1,1)</f>
        <v>19128.958197918066</v>
      </c>
      <c r="D12" s="58">
        <f>C12-_xlfn.FORECAST.ETS.CONFINT(A12,$B$2:$B$8,$A$2:$A$8,0.95,1,1)</f>
        <v>15970.607205554514</v>
      </c>
      <c r="E12" s="58">
        <f>C12+_xlfn.FORECAST.ETS.CONFINT(A12,$B$2:$B$8,$A$2:$A$8,0.95,1,1)</f>
        <v>22287.309190281616</v>
      </c>
    </row>
    <row r="13" spans="1:5" x14ac:dyDescent="0.3">
      <c r="A13">
        <v>2017</v>
      </c>
      <c r="C13" s="58">
        <f>_xlfn.FORECAST.ETS(A13,$B$2:$B$8,$A$2:$A$8,1,1)</f>
        <v>18752.939427373673</v>
      </c>
      <c r="D13" s="58">
        <f>C13-_xlfn.FORECAST.ETS.CONFINT(A13,$B$2:$B$8,$A$2:$A$8,0.95,1,1)</f>
        <v>15594.531588046224</v>
      </c>
      <c r="E13" s="58">
        <f>C13+_xlfn.FORECAST.ETS.CONFINT(A13,$B$2:$B$8,$A$2:$A$8,0.95,1,1)</f>
        <v>21911.347266701119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9F1F-8379-4DBD-B0EB-5DDFDD1E819B}">
  <dimension ref="A10:H14"/>
  <sheetViews>
    <sheetView workbookViewId="0">
      <selection activeCell="F11" sqref="F11"/>
    </sheetView>
  </sheetViews>
  <sheetFormatPr defaultRowHeight="14.4" x14ac:dyDescent="0.3"/>
  <cols>
    <col min="1" max="1" width="15.88671875" bestFit="1" customWidth="1"/>
    <col min="2" max="8" width="18.44140625" bestFit="1" customWidth="1"/>
  </cols>
  <sheetData>
    <row r="10" spans="1:8" x14ac:dyDescent="0.3">
      <c r="A10" s="14" t="s">
        <v>5</v>
      </c>
      <c r="B10" s="14">
        <v>2006</v>
      </c>
      <c r="C10" s="14">
        <v>2007</v>
      </c>
      <c r="D10" s="14">
        <v>2008</v>
      </c>
      <c r="E10" s="14">
        <v>2009</v>
      </c>
      <c r="F10" s="14">
        <v>2010</v>
      </c>
      <c r="G10" s="14">
        <v>2011</v>
      </c>
      <c r="H10" s="14">
        <v>2012</v>
      </c>
    </row>
    <row r="11" spans="1:8" x14ac:dyDescent="0.3">
      <c r="A11" t="s">
        <v>10</v>
      </c>
      <c r="B11" s="80">
        <v>22892</v>
      </c>
      <c r="C11" s="80">
        <v>24438</v>
      </c>
      <c r="D11" s="80">
        <v>23135</v>
      </c>
      <c r="E11" s="80">
        <v>21898</v>
      </c>
      <c r="F11" s="80">
        <v>19118</v>
      </c>
      <c r="G11" s="80">
        <v>20336</v>
      </c>
      <c r="H11" s="80">
        <v>23429</v>
      </c>
    </row>
    <row r="13" spans="1:8" x14ac:dyDescent="0.3">
      <c r="A13" s="14"/>
      <c r="B13" s="14"/>
      <c r="C13" s="14"/>
      <c r="D13" s="14"/>
      <c r="E13" s="14"/>
      <c r="F13" s="14"/>
      <c r="G13" s="14"/>
      <c r="H13" s="14"/>
    </row>
    <row r="14" spans="1:8" x14ac:dyDescent="0.3">
      <c r="A14" s="6"/>
      <c r="B14" s="80"/>
      <c r="C14" s="80"/>
      <c r="D14" s="80"/>
      <c r="E14" s="80"/>
      <c r="F14" s="80"/>
      <c r="G14" s="80"/>
      <c r="H14" s="8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6B63-09EF-4E07-9107-C096ED7EC0F1}">
  <dimension ref="A2:E233"/>
  <sheetViews>
    <sheetView workbookViewId="0">
      <selection activeCell="A31" sqref="A31:E233"/>
    </sheetView>
  </sheetViews>
  <sheetFormatPr defaultRowHeight="14.4" x14ac:dyDescent="0.3"/>
  <cols>
    <col min="1" max="1" width="69.109375" bestFit="1" customWidth="1"/>
    <col min="2" max="4" width="15.88671875" bestFit="1" customWidth="1"/>
    <col min="5" max="5" width="10.77734375" bestFit="1" customWidth="1"/>
    <col min="6" max="16" width="14.77734375" bestFit="1" customWidth="1"/>
    <col min="17" max="17" width="10.77734375" bestFit="1" customWidth="1"/>
  </cols>
  <sheetData>
    <row r="2" spans="1:5" x14ac:dyDescent="0.3">
      <c r="A2" s="13" t="s">
        <v>376</v>
      </c>
      <c r="B2" s="13" t="s">
        <v>5</v>
      </c>
    </row>
    <row r="3" spans="1:5" x14ac:dyDescent="0.3">
      <c r="A3" s="13" t="s">
        <v>2</v>
      </c>
      <c r="B3" t="s">
        <v>10</v>
      </c>
      <c r="C3" t="s">
        <v>144</v>
      </c>
      <c r="D3" t="s">
        <v>97</v>
      </c>
      <c r="E3" t="s">
        <v>228</v>
      </c>
    </row>
    <row r="4" spans="1:5" x14ac:dyDescent="0.3">
      <c r="A4" t="s">
        <v>9</v>
      </c>
      <c r="B4" s="116">
        <v>28.802433123544976</v>
      </c>
      <c r="C4" s="116">
        <v>3.6281821293478935</v>
      </c>
      <c r="D4" s="116">
        <v>0</v>
      </c>
      <c r="E4" s="116">
        <v>19.450935021361115</v>
      </c>
    </row>
    <row r="5" spans="1:5" x14ac:dyDescent="0.3">
      <c r="A5" t="s">
        <v>12</v>
      </c>
      <c r="B5" s="116">
        <v>18.575569336254393</v>
      </c>
      <c r="C5" s="116"/>
      <c r="D5" s="116"/>
      <c r="E5" s="116">
        <v>18.575569336254393</v>
      </c>
    </row>
    <row r="6" spans="1:5" x14ac:dyDescent="0.3">
      <c r="A6" t="s">
        <v>28</v>
      </c>
      <c r="B6" s="116">
        <v>5.6160000000000005</v>
      </c>
      <c r="C6" s="116"/>
      <c r="D6" s="116"/>
      <c r="E6" s="116">
        <v>5.6160000000000005</v>
      </c>
    </row>
    <row r="7" spans="1:5" x14ac:dyDescent="0.3">
      <c r="A7" t="s">
        <v>96</v>
      </c>
      <c r="B7" s="116"/>
      <c r="C7" s="116"/>
      <c r="D7" s="116">
        <v>1.802041227385103</v>
      </c>
      <c r="E7" s="116">
        <v>1.802041227385103</v>
      </c>
    </row>
    <row r="8" spans="1:5" x14ac:dyDescent="0.3">
      <c r="A8" t="s">
        <v>17</v>
      </c>
      <c r="B8" s="116">
        <v>0.4698171446555095</v>
      </c>
      <c r="C8" s="116"/>
      <c r="D8" s="116"/>
      <c r="E8" s="116">
        <v>0.4698171446555095</v>
      </c>
    </row>
    <row r="9" spans="1:5" x14ac:dyDescent="0.3">
      <c r="A9" t="s">
        <v>14</v>
      </c>
      <c r="B9" s="116">
        <v>0.3673976476260265</v>
      </c>
      <c r="C9" s="116"/>
      <c r="D9" s="116"/>
      <c r="E9" s="116">
        <v>0.3673976476260265</v>
      </c>
    </row>
    <row r="10" spans="1:5" x14ac:dyDescent="0.3">
      <c r="A10" t="s">
        <v>25</v>
      </c>
      <c r="B10" s="116">
        <v>0.16152638854651841</v>
      </c>
      <c r="C10" s="116"/>
      <c r="D10" s="116"/>
      <c r="E10" s="116">
        <v>0.16152638854651841</v>
      </c>
    </row>
    <row r="11" spans="1:5" x14ac:dyDescent="0.3">
      <c r="A11" t="s">
        <v>21</v>
      </c>
      <c r="B11" s="116">
        <v>0.12178945639274152</v>
      </c>
      <c r="C11" s="116"/>
      <c r="D11" s="116"/>
      <c r="E11" s="116">
        <v>0.12178945639274152</v>
      </c>
    </row>
    <row r="12" spans="1:5" x14ac:dyDescent="0.3">
      <c r="A12" t="s">
        <v>13</v>
      </c>
      <c r="B12" s="116">
        <v>0.11071912304866849</v>
      </c>
      <c r="C12" s="116"/>
      <c r="D12" s="116"/>
      <c r="E12" s="116">
        <v>0.11071912304866849</v>
      </c>
    </row>
    <row r="13" spans="1:5" x14ac:dyDescent="0.3">
      <c r="A13" t="s">
        <v>20</v>
      </c>
      <c r="B13" s="116">
        <v>8.6112000000000008E-2</v>
      </c>
      <c r="C13" s="116"/>
      <c r="D13" s="116"/>
      <c r="E13" s="116">
        <v>8.6112000000000008E-2</v>
      </c>
    </row>
    <row r="14" spans="1:5" x14ac:dyDescent="0.3">
      <c r="A14" t="s">
        <v>43</v>
      </c>
      <c r="B14" s="116">
        <v>8.1464369172702833E-2</v>
      </c>
      <c r="C14" s="116"/>
      <c r="D14" s="116"/>
      <c r="E14" s="116">
        <v>8.1464369172702833E-2</v>
      </c>
    </row>
    <row r="15" spans="1:5" x14ac:dyDescent="0.3">
      <c r="A15" t="s">
        <v>38</v>
      </c>
      <c r="B15" s="116">
        <v>9.3556233965768537E-2</v>
      </c>
      <c r="C15" s="116"/>
      <c r="D15" s="116">
        <v>0</v>
      </c>
      <c r="E15" s="116">
        <v>7.4844987172614827E-2</v>
      </c>
    </row>
    <row r="16" spans="1:5" x14ac:dyDescent="0.3">
      <c r="A16" t="s">
        <v>22</v>
      </c>
      <c r="B16" s="116">
        <v>5.0784000000000003E-2</v>
      </c>
      <c r="C16" s="116"/>
      <c r="D16" s="116"/>
      <c r="E16" s="116">
        <v>5.0784000000000003E-2</v>
      </c>
    </row>
    <row r="17" spans="1:5" x14ac:dyDescent="0.3">
      <c r="A17" t="s">
        <v>41</v>
      </c>
      <c r="B17" s="116">
        <v>1.0493827160493827E-2</v>
      </c>
      <c r="C17" s="116"/>
      <c r="D17" s="116"/>
      <c r="E17" s="116">
        <v>1.0493827160493827E-2</v>
      </c>
    </row>
    <row r="18" spans="1:5" x14ac:dyDescent="0.3">
      <c r="A18" t="s">
        <v>33</v>
      </c>
      <c r="B18" s="116">
        <v>5.0204081632653063E-3</v>
      </c>
      <c r="C18" s="116"/>
      <c r="D18" s="116"/>
      <c r="E18" s="116">
        <v>5.0204081632653063E-3</v>
      </c>
    </row>
    <row r="19" spans="1:5" x14ac:dyDescent="0.3">
      <c r="A19" t="s">
        <v>228</v>
      </c>
      <c r="B19" s="116">
        <v>12.320462316064539</v>
      </c>
      <c r="C19" s="116">
        <v>3.6281821293478935</v>
      </c>
      <c r="D19" s="116">
        <v>1.6072259595596865</v>
      </c>
      <c r="E19" s="116">
        <v>9.4975150441585345</v>
      </c>
    </row>
    <row r="30" spans="1:5" ht="15" thickBot="1" x14ac:dyDescent="0.35"/>
    <row r="31" spans="1:5" ht="15" thickBot="1" x14ac:dyDescent="0.35">
      <c r="A31" s="110" t="s">
        <v>5</v>
      </c>
      <c r="B31" s="110" t="s">
        <v>2</v>
      </c>
      <c r="C31" s="63" t="s">
        <v>375</v>
      </c>
      <c r="D31" s="110" t="s">
        <v>370</v>
      </c>
      <c r="E31" s="110" t="s">
        <v>238</v>
      </c>
    </row>
    <row r="32" spans="1:5" x14ac:dyDescent="0.3">
      <c r="A32" s="111" t="s">
        <v>10</v>
      </c>
      <c r="B32" s="111" t="s">
        <v>9</v>
      </c>
      <c r="C32" s="116">
        <v>8.9256198347107435E-2</v>
      </c>
      <c r="D32" s="112">
        <v>0.49090909090909091</v>
      </c>
      <c r="E32" s="111">
        <v>40</v>
      </c>
    </row>
    <row r="33" spans="1:5" x14ac:dyDescent="0.3">
      <c r="A33" s="70" t="s">
        <v>10</v>
      </c>
      <c r="B33" s="70" t="s">
        <v>9</v>
      </c>
      <c r="C33" s="116">
        <v>1.4711804343740772E-2</v>
      </c>
      <c r="D33" s="113">
        <v>0.7098445595854922</v>
      </c>
      <c r="E33" s="70">
        <v>12</v>
      </c>
    </row>
    <row r="34" spans="1:5" x14ac:dyDescent="0.3">
      <c r="A34" s="71" t="s">
        <v>10</v>
      </c>
      <c r="B34" s="71" t="s">
        <v>9</v>
      </c>
      <c r="C34" s="116">
        <v>1.8483245149911816E-3</v>
      </c>
      <c r="D34" s="114">
        <v>0.5822222222222222</v>
      </c>
      <c r="E34" s="71">
        <v>1</v>
      </c>
    </row>
    <row r="35" spans="1:5" x14ac:dyDescent="0.3">
      <c r="A35" s="70" t="s">
        <v>97</v>
      </c>
      <c r="B35" s="70" t="s">
        <v>9</v>
      </c>
      <c r="C35" s="116">
        <v>0</v>
      </c>
      <c r="D35" s="113">
        <v>-0.30666666666666653</v>
      </c>
      <c r="E35" s="70">
        <v>0</v>
      </c>
    </row>
    <row r="36" spans="1:5" x14ac:dyDescent="0.3">
      <c r="A36" s="71" t="s">
        <v>97</v>
      </c>
      <c r="B36" s="71" t="s">
        <v>9</v>
      </c>
      <c r="C36" s="116">
        <v>0</v>
      </c>
      <c r="D36" s="114">
        <v>-0.25263157894736826</v>
      </c>
      <c r="E36" s="71">
        <v>0</v>
      </c>
    </row>
    <row r="37" spans="1:5" x14ac:dyDescent="0.3">
      <c r="A37" s="70" t="s">
        <v>10</v>
      </c>
      <c r="B37" s="70" t="s">
        <v>9</v>
      </c>
      <c r="C37" s="116">
        <v>0.13340484429065744</v>
      </c>
      <c r="D37" s="113">
        <v>0.61294117647058821</v>
      </c>
      <c r="E37" s="70">
        <v>74</v>
      </c>
    </row>
    <row r="38" spans="1:5" x14ac:dyDescent="0.3">
      <c r="A38" s="71" t="s">
        <v>10</v>
      </c>
      <c r="B38" s="71" t="s">
        <v>9</v>
      </c>
      <c r="C38" s="116">
        <v>0.13027200000000003</v>
      </c>
      <c r="D38" s="114">
        <v>0.55200000000000005</v>
      </c>
      <c r="E38" s="71">
        <v>59</v>
      </c>
    </row>
    <row r="39" spans="1:5" x14ac:dyDescent="0.3">
      <c r="A39" s="70" t="s">
        <v>144</v>
      </c>
      <c r="B39" s="70" t="s">
        <v>9</v>
      </c>
      <c r="C39" s="116">
        <v>0.1978</v>
      </c>
      <c r="D39" s="113">
        <v>0.86</v>
      </c>
      <c r="E39" s="70">
        <v>23</v>
      </c>
    </row>
    <row r="40" spans="1:5" x14ac:dyDescent="0.3">
      <c r="A40" s="71" t="s">
        <v>10</v>
      </c>
      <c r="B40" s="71" t="s">
        <v>9</v>
      </c>
      <c r="C40" s="116">
        <v>3.0696296296296298E-2</v>
      </c>
      <c r="D40" s="114">
        <v>0.65777777777777779</v>
      </c>
      <c r="E40" s="71">
        <v>21</v>
      </c>
    </row>
    <row r="41" spans="1:5" x14ac:dyDescent="0.3">
      <c r="A41" s="70" t="s">
        <v>10</v>
      </c>
      <c r="B41" s="70" t="s">
        <v>9</v>
      </c>
      <c r="C41" s="116">
        <v>1.3800000000000001</v>
      </c>
      <c r="D41" s="113">
        <v>0.72000000000000008</v>
      </c>
      <c r="E41" s="70">
        <v>115</v>
      </c>
    </row>
    <row r="42" spans="1:5" x14ac:dyDescent="0.3">
      <c r="A42" s="71" t="s">
        <v>144</v>
      </c>
      <c r="B42" s="71" t="s">
        <v>9</v>
      </c>
      <c r="C42" s="116">
        <v>6.9722222222222227E-2</v>
      </c>
      <c r="D42" s="114">
        <v>0.83666666666666667</v>
      </c>
      <c r="E42" s="71">
        <v>10</v>
      </c>
    </row>
    <row r="43" spans="1:5" x14ac:dyDescent="0.3">
      <c r="A43" s="70" t="s">
        <v>144</v>
      </c>
      <c r="B43" s="70" t="s">
        <v>9</v>
      </c>
      <c r="C43" s="116">
        <v>0.17249999999999999</v>
      </c>
      <c r="D43" s="113">
        <v>0.7</v>
      </c>
      <c r="E43" s="70">
        <v>69</v>
      </c>
    </row>
    <row r="44" spans="1:5" x14ac:dyDescent="0.3">
      <c r="A44" s="71" t="s">
        <v>10</v>
      </c>
      <c r="B44" s="71" t="s">
        <v>9</v>
      </c>
      <c r="C44" s="116">
        <v>0.18106508875739644</v>
      </c>
      <c r="D44" s="114">
        <v>0.7846153846153846</v>
      </c>
      <c r="E44" s="71">
        <v>30</v>
      </c>
    </row>
    <row r="45" spans="1:5" x14ac:dyDescent="0.3">
      <c r="A45" s="70" t="s">
        <v>10</v>
      </c>
      <c r="B45" s="70" t="s">
        <v>9</v>
      </c>
      <c r="C45" s="116">
        <v>0.89002666666666663</v>
      </c>
      <c r="D45" s="113">
        <v>0.79466666666666663</v>
      </c>
      <c r="E45" s="70">
        <v>84</v>
      </c>
    </row>
    <row r="46" spans="1:5" x14ac:dyDescent="0.3">
      <c r="A46" s="71" t="s">
        <v>144</v>
      </c>
      <c r="B46" s="71" t="s">
        <v>9</v>
      </c>
      <c r="C46" s="116">
        <v>0.20716800000000002</v>
      </c>
      <c r="D46" s="114">
        <v>0.66400000000000003</v>
      </c>
      <c r="E46" s="71">
        <v>78</v>
      </c>
    </row>
    <row r="47" spans="1:5" x14ac:dyDescent="0.3">
      <c r="A47" s="70" t="s">
        <v>144</v>
      </c>
      <c r="B47" s="70" t="s">
        <v>9</v>
      </c>
      <c r="C47" s="116">
        <v>0.33465600000000001</v>
      </c>
      <c r="D47" s="113">
        <v>0.66400000000000003</v>
      </c>
      <c r="E47" s="70">
        <v>126</v>
      </c>
    </row>
    <row r="48" spans="1:5" x14ac:dyDescent="0.3">
      <c r="A48" s="71" t="s">
        <v>144</v>
      </c>
      <c r="B48" s="71" t="s">
        <v>9</v>
      </c>
      <c r="C48" s="116">
        <v>0.48255555555555563</v>
      </c>
      <c r="D48" s="114">
        <v>0.67333333333333334</v>
      </c>
      <c r="E48" s="71">
        <v>215</v>
      </c>
    </row>
    <row r="49" spans="1:5" x14ac:dyDescent="0.3">
      <c r="A49" s="70" t="s">
        <v>144</v>
      </c>
      <c r="B49" s="70" t="s">
        <v>9</v>
      </c>
      <c r="C49" s="116">
        <v>0.97149999999999992</v>
      </c>
      <c r="D49" s="113">
        <v>0.57999999999999996</v>
      </c>
      <c r="E49" s="70">
        <v>335</v>
      </c>
    </row>
    <row r="50" spans="1:5" x14ac:dyDescent="0.3">
      <c r="A50" s="71" t="s">
        <v>144</v>
      </c>
      <c r="B50" s="71" t="s">
        <v>9</v>
      </c>
      <c r="C50" s="116">
        <v>0.19526666666666667</v>
      </c>
      <c r="D50" s="114">
        <v>0.57999999999999996</v>
      </c>
      <c r="E50" s="71">
        <v>101</v>
      </c>
    </row>
    <row r="51" spans="1:5" x14ac:dyDescent="0.3">
      <c r="A51" s="70" t="s">
        <v>144</v>
      </c>
      <c r="B51" s="70" t="s">
        <v>9</v>
      </c>
      <c r="C51" s="116">
        <v>0.43919999999999998</v>
      </c>
      <c r="D51" s="113">
        <v>0.72</v>
      </c>
      <c r="E51" s="70">
        <v>183</v>
      </c>
    </row>
    <row r="52" spans="1:5" x14ac:dyDescent="0.3">
      <c r="A52" s="71" t="s">
        <v>10</v>
      </c>
      <c r="B52" s="71" t="s">
        <v>9</v>
      </c>
      <c r="C52" s="116">
        <v>2.4279773156899811</v>
      </c>
      <c r="D52" s="114">
        <v>0.71594202898550729</v>
      </c>
      <c r="E52" s="71">
        <v>234</v>
      </c>
    </row>
    <row r="53" spans="1:5" x14ac:dyDescent="0.3">
      <c r="A53" s="70" t="s">
        <v>144</v>
      </c>
      <c r="B53" s="70" t="s">
        <v>9</v>
      </c>
      <c r="C53" s="116">
        <v>0.55249999999999999</v>
      </c>
      <c r="D53" s="113">
        <v>0.7</v>
      </c>
      <c r="E53" s="70">
        <v>221</v>
      </c>
    </row>
    <row r="54" spans="1:5" x14ac:dyDescent="0.3">
      <c r="A54" s="71" t="s">
        <v>10</v>
      </c>
      <c r="B54" s="71" t="s">
        <v>9</v>
      </c>
      <c r="C54" s="116">
        <v>0.77163377777777786</v>
      </c>
      <c r="D54" s="114">
        <v>0.58933333333333338</v>
      </c>
      <c r="E54" s="71">
        <v>491</v>
      </c>
    </row>
    <row r="55" spans="1:5" x14ac:dyDescent="0.3">
      <c r="A55" s="70" t="s">
        <v>10</v>
      </c>
      <c r="B55" s="70" t="s">
        <v>9</v>
      </c>
      <c r="C55" s="116">
        <v>4.5529257067718607</v>
      </c>
      <c r="D55" s="113">
        <v>0.64102564102564108</v>
      </c>
      <c r="E55" s="70">
        <v>277</v>
      </c>
    </row>
    <row r="56" spans="1:5" x14ac:dyDescent="0.3">
      <c r="A56" s="71" t="s">
        <v>10</v>
      </c>
      <c r="B56" s="71" t="s">
        <v>9</v>
      </c>
      <c r="C56" s="116">
        <v>1.6295857988165681</v>
      </c>
      <c r="D56" s="114">
        <v>0.7846153846153846</v>
      </c>
      <c r="E56" s="71">
        <v>270</v>
      </c>
    </row>
    <row r="57" spans="1:5" x14ac:dyDescent="0.3">
      <c r="A57" s="70" t="s">
        <v>144</v>
      </c>
      <c r="B57" s="70" t="s">
        <v>9</v>
      </c>
      <c r="C57" s="116">
        <v>0.23765432098765432</v>
      </c>
      <c r="D57" s="113">
        <v>0.61111111111111116</v>
      </c>
      <c r="E57" s="70">
        <v>70</v>
      </c>
    </row>
    <row r="58" spans="1:5" x14ac:dyDescent="0.3">
      <c r="A58" s="71" t="s">
        <v>10</v>
      </c>
      <c r="B58" s="71" t="s">
        <v>9</v>
      </c>
      <c r="C58" s="116">
        <v>1.4757023921291736</v>
      </c>
      <c r="D58" s="114">
        <v>0.68802228412256272</v>
      </c>
      <c r="E58" s="71">
        <v>770</v>
      </c>
    </row>
    <row r="59" spans="1:5" x14ac:dyDescent="0.3">
      <c r="A59" s="70" t="s">
        <v>10</v>
      </c>
      <c r="B59" s="70" t="s">
        <v>9</v>
      </c>
      <c r="C59" s="116">
        <v>12.980749999999997</v>
      </c>
      <c r="D59" s="113">
        <v>0.68499999999999994</v>
      </c>
      <c r="E59" s="70">
        <v>758</v>
      </c>
    </row>
    <row r="60" spans="1:5" x14ac:dyDescent="0.3">
      <c r="A60" s="71" t="s">
        <v>10</v>
      </c>
      <c r="B60" s="71" t="s">
        <v>9</v>
      </c>
      <c r="C60" s="116">
        <v>1.2714666666666667</v>
      </c>
      <c r="D60" s="114">
        <v>0.79466666666666663</v>
      </c>
      <c r="E60" s="71">
        <v>120</v>
      </c>
    </row>
    <row r="61" spans="1:5" x14ac:dyDescent="0.3">
      <c r="A61" s="70" t="s">
        <v>144</v>
      </c>
      <c r="B61" s="70" t="s">
        <v>9</v>
      </c>
      <c r="C61" s="116">
        <v>2.9417472</v>
      </c>
      <c r="D61" s="113">
        <v>0.82079999999999997</v>
      </c>
      <c r="E61" s="70">
        <v>448</v>
      </c>
    </row>
    <row r="62" spans="1:5" x14ac:dyDescent="0.3">
      <c r="A62" s="71" t="s">
        <v>10</v>
      </c>
      <c r="B62" s="71" t="s">
        <v>9</v>
      </c>
      <c r="C62" s="116">
        <v>0.37953884406079941</v>
      </c>
      <c r="D62" s="114">
        <v>0.68835616438356162</v>
      </c>
      <c r="E62" s="71">
        <v>322</v>
      </c>
    </row>
    <row r="63" spans="1:5" x14ac:dyDescent="0.3">
      <c r="A63" s="70" t="s">
        <v>10</v>
      </c>
      <c r="B63" s="70" t="s">
        <v>9</v>
      </c>
      <c r="C63" s="116">
        <v>0.36007119971520113</v>
      </c>
      <c r="D63" s="113">
        <v>0.7094339622641509</v>
      </c>
      <c r="E63" s="70">
        <v>269</v>
      </c>
    </row>
    <row r="64" spans="1:5" x14ac:dyDescent="0.3">
      <c r="A64" s="71" t="s">
        <v>10</v>
      </c>
      <c r="B64" s="71" t="s">
        <v>9</v>
      </c>
      <c r="C64" s="116">
        <v>7.9755266272189358</v>
      </c>
      <c r="D64" s="114">
        <v>0.65538461538461545</v>
      </c>
      <c r="E64" s="71">
        <v>791</v>
      </c>
    </row>
    <row r="65" spans="1:5" x14ac:dyDescent="0.3">
      <c r="A65" s="70" t="s">
        <v>10</v>
      </c>
      <c r="B65" s="70" t="s">
        <v>9</v>
      </c>
      <c r="C65" s="116">
        <v>10.165178571428571</v>
      </c>
      <c r="D65" s="113">
        <v>0.75</v>
      </c>
      <c r="E65" s="70">
        <v>759</v>
      </c>
    </row>
    <row r="66" spans="1:5" x14ac:dyDescent="0.3">
      <c r="A66" s="71" t="s">
        <v>10</v>
      </c>
      <c r="B66" s="71" t="s">
        <v>9</v>
      </c>
      <c r="C66" s="116">
        <v>3.7028571428571433</v>
      </c>
      <c r="D66" s="114">
        <v>0.72000000000000008</v>
      </c>
      <c r="E66" s="71">
        <v>180</v>
      </c>
    </row>
    <row r="67" spans="1:5" x14ac:dyDescent="0.3">
      <c r="A67" s="70" t="s">
        <v>144</v>
      </c>
      <c r="B67" s="70" t="s">
        <v>9</v>
      </c>
      <c r="C67" s="116">
        <v>1.1687582899704112</v>
      </c>
      <c r="D67" s="113">
        <v>0.29292929292929293</v>
      </c>
      <c r="E67" s="70">
        <v>395</v>
      </c>
    </row>
    <row r="68" spans="1:5" x14ac:dyDescent="0.3">
      <c r="A68" s="71" t="s">
        <v>144</v>
      </c>
      <c r="B68" s="71" t="s">
        <v>9</v>
      </c>
      <c r="C68" s="116">
        <v>1.5696960000000002</v>
      </c>
      <c r="D68" s="114">
        <v>0.66400000000000003</v>
      </c>
      <c r="E68" s="71">
        <v>591</v>
      </c>
    </row>
    <row r="69" spans="1:5" x14ac:dyDescent="0.3">
      <c r="A69" s="70" t="s">
        <v>10</v>
      </c>
      <c r="B69" s="70" t="s">
        <v>9</v>
      </c>
      <c r="C69" s="116">
        <v>7.7342222222222228</v>
      </c>
      <c r="D69" s="113">
        <v>0.44</v>
      </c>
      <c r="E69" s="70">
        <v>791</v>
      </c>
    </row>
    <row r="70" spans="1:5" x14ac:dyDescent="0.3">
      <c r="A70" s="71" t="s">
        <v>144</v>
      </c>
      <c r="B70" s="71" t="s">
        <v>9</v>
      </c>
      <c r="C70" s="116">
        <v>1.085112426035503</v>
      </c>
      <c r="D70" s="114">
        <v>0.87076923076923074</v>
      </c>
      <c r="E70" s="71">
        <v>162</v>
      </c>
    </row>
    <row r="71" spans="1:5" x14ac:dyDescent="0.3">
      <c r="A71" s="70" t="s">
        <v>10</v>
      </c>
      <c r="B71" s="70" t="s">
        <v>9</v>
      </c>
      <c r="C71" s="116">
        <v>4.817479191438764</v>
      </c>
      <c r="D71" s="113">
        <v>0.63793103448275867</v>
      </c>
      <c r="E71" s="70">
        <v>438</v>
      </c>
    </row>
    <row r="72" spans="1:5" x14ac:dyDescent="0.3">
      <c r="A72" s="71" t="s">
        <v>10</v>
      </c>
      <c r="B72" s="71" t="s">
        <v>9</v>
      </c>
      <c r="C72" s="116">
        <v>2.0361431701972244</v>
      </c>
      <c r="D72" s="114">
        <v>0.4702702702702703</v>
      </c>
      <c r="E72" s="71">
        <v>801</v>
      </c>
    </row>
    <row r="73" spans="1:5" x14ac:dyDescent="0.3">
      <c r="A73" s="70" t="s">
        <v>10</v>
      </c>
      <c r="B73" s="70" t="s">
        <v>9</v>
      </c>
      <c r="C73" s="116">
        <v>2.5153909465020576</v>
      </c>
      <c r="D73" s="113">
        <v>0.27407407407407408</v>
      </c>
      <c r="E73" s="70">
        <v>1239</v>
      </c>
    </row>
    <row r="74" spans="1:5" x14ac:dyDescent="0.3">
      <c r="A74" s="71" t="s">
        <v>10</v>
      </c>
      <c r="B74" s="71" t="s">
        <v>9</v>
      </c>
      <c r="C74" s="116">
        <v>6.9942857142857155</v>
      </c>
      <c r="D74" s="114">
        <v>0.72000000000000008</v>
      </c>
      <c r="E74" s="71">
        <v>340</v>
      </c>
    </row>
    <row r="75" spans="1:5" x14ac:dyDescent="0.3">
      <c r="A75" s="70" t="s">
        <v>10</v>
      </c>
      <c r="B75" s="70" t="s">
        <v>9</v>
      </c>
      <c r="C75" s="116">
        <v>8.2679289940828422</v>
      </c>
      <c r="D75" s="113">
        <v>0.65538461538461545</v>
      </c>
      <c r="E75" s="70">
        <v>820</v>
      </c>
    </row>
    <row r="76" spans="1:5" x14ac:dyDescent="0.3">
      <c r="A76" s="71" t="s">
        <v>144</v>
      </c>
      <c r="B76" s="71" t="s">
        <v>9</v>
      </c>
      <c r="C76" s="116">
        <v>9.6485950413223129</v>
      </c>
      <c r="D76" s="114">
        <v>0.49090909090909091</v>
      </c>
      <c r="E76" s="71">
        <v>1081</v>
      </c>
    </row>
    <row r="77" spans="1:5" x14ac:dyDescent="0.3">
      <c r="A77" s="70" t="s">
        <v>144</v>
      </c>
      <c r="B77" s="70" t="s">
        <v>9</v>
      </c>
      <c r="C77" s="116">
        <v>3.0706666666666669</v>
      </c>
      <c r="D77" s="113">
        <v>0.62666666666666671</v>
      </c>
      <c r="E77" s="70">
        <v>735</v>
      </c>
    </row>
    <row r="78" spans="1:5" x14ac:dyDescent="0.3">
      <c r="A78" s="71" t="s">
        <v>10</v>
      </c>
      <c r="B78" s="71" t="s">
        <v>9</v>
      </c>
      <c r="C78" s="116">
        <v>22.454671280276816</v>
      </c>
      <c r="D78" s="114">
        <v>0.83529411764705885</v>
      </c>
      <c r="E78" s="71">
        <v>2285</v>
      </c>
    </row>
    <row r="79" spans="1:5" x14ac:dyDescent="0.3">
      <c r="A79" s="70" t="s">
        <v>10</v>
      </c>
      <c r="B79" s="70" t="s">
        <v>9</v>
      </c>
      <c r="C79" s="116">
        <v>42.807142857142864</v>
      </c>
      <c r="D79" s="113">
        <v>0.65000000000000013</v>
      </c>
      <c r="E79" s="70">
        <v>1844</v>
      </c>
    </row>
    <row r="80" spans="1:5" x14ac:dyDescent="0.3">
      <c r="A80" s="71" t="s">
        <v>144</v>
      </c>
      <c r="B80" s="71" t="s">
        <v>9</v>
      </c>
      <c r="C80" s="116">
        <v>19.636480000000002</v>
      </c>
      <c r="D80" s="114">
        <v>0.55200000000000005</v>
      </c>
      <c r="E80" s="71">
        <v>2668</v>
      </c>
    </row>
    <row r="81" spans="1:5" x14ac:dyDescent="0.3">
      <c r="A81" s="70" t="s">
        <v>144</v>
      </c>
      <c r="B81" s="70" t="s">
        <v>9</v>
      </c>
      <c r="C81" s="116">
        <v>26.383999999999997</v>
      </c>
      <c r="D81" s="113">
        <v>0.77599999999999991</v>
      </c>
      <c r="E81" s="70">
        <v>1700</v>
      </c>
    </row>
    <row r="82" spans="1:5" x14ac:dyDescent="0.3">
      <c r="A82" s="71" t="s">
        <v>10</v>
      </c>
      <c r="B82" s="71" t="s">
        <v>9</v>
      </c>
      <c r="C82" s="116">
        <v>54.622720000000008</v>
      </c>
      <c r="D82" s="114">
        <v>0.6080000000000001</v>
      </c>
      <c r="E82" s="71">
        <v>2246</v>
      </c>
    </row>
    <row r="83" spans="1:5" x14ac:dyDescent="0.3">
      <c r="A83" s="70" t="s">
        <v>10</v>
      </c>
      <c r="B83" s="70" t="s">
        <v>9</v>
      </c>
      <c r="C83" s="116">
        <v>75.632000000000005</v>
      </c>
      <c r="D83" s="113">
        <v>0.58000000000000007</v>
      </c>
      <c r="E83" s="70">
        <v>5216</v>
      </c>
    </row>
    <row r="84" spans="1:5" x14ac:dyDescent="0.3">
      <c r="A84" s="71" t="s">
        <v>144</v>
      </c>
      <c r="B84" s="71" t="s">
        <v>9</v>
      </c>
      <c r="C84" s="116">
        <v>3.1980641975308637</v>
      </c>
      <c r="D84" s="114">
        <v>0.75111111111111106</v>
      </c>
      <c r="E84" s="71">
        <v>1916</v>
      </c>
    </row>
    <row r="85" spans="1:5" x14ac:dyDescent="0.3">
      <c r="A85" s="70" t="s">
        <v>10</v>
      </c>
      <c r="B85" s="70" t="s">
        <v>9</v>
      </c>
      <c r="C85" s="116">
        <v>47.468571428571423</v>
      </c>
      <c r="D85" s="113">
        <v>0.6</v>
      </c>
      <c r="E85" s="70">
        <v>2769</v>
      </c>
    </row>
    <row r="86" spans="1:5" x14ac:dyDescent="0.3">
      <c r="A86" s="71" t="s">
        <v>10</v>
      </c>
      <c r="B86" s="71" t="s">
        <v>9</v>
      </c>
      <c r="C86" s="116">
        <v>133.80864000000003</v>
      </c>
      <c r="D86" s="114">
        <v>0.6080000000000001</v>
      </c>
      <c r="E86" s="71">
        <v>5502</v>
      </c>
    </row>
    <row r="87" spans="1:5" x14ac:dyDescent="0.3">
      <c r="A87" s="70" t="s">
        <v>10</v>
      </c>
      <c r="B87" s="70" t="s">
        <v>9</v>
      </c>
      <c r="C87" s="116">
        <v>74.888520710059169</v>
      </c>
      <c r="D87" s="113">
        <v>0.7846153846153846</v>
      </c>
      <c r="E87" s="70">
        <v>6204</v>
      </c>
    </row>
    <row r="88" spans="1:5" x14ac:dyDescent="0.3">
      <c r="A88" s="71" t="s">
        <v>10</v>
      </c>
      <c r="B88" s="71" t="s">
        <v>9</v>
      </c>
      <c r="C88" s="116">
        <v>105.01728395061727</v>
      </c>
      <c r="D88" s="114">
        <v>0.68888888888888888</v>
      </c>
      <c r="E88" s="71">
        <v>6860</v>
      </c>
    </row>
    <row r="89" spans="1:5" x14ac:dyDescent="0.3">
      <c r="A89" s="70" t="s">
        <v>10</v>
      </c>
      <c r="B89" s="70" t="s">
        <v>9</v>
      </c>
      <c r="C89" s="116">
        <v>154.41175308641974</v>
      </c>
      <c r="D89" s="113">
        <v>0.75111111111111106</v>
      </c>
      <c r="E89" s="70">
        <v>9251</v>
      </c>
    </row>
    <row r="90" spans="1:5" x14ac:dyDescent="0.3">
      <c r="A90" s="71" t="s">
        <v>10</v>
      </c>
      <c r="B90" s="71" t="s">
        <v>9</v>
      </c>
      <c r="C90" s="116">
        <v>140.78498765432101</v>
      </c>
      <c r="D90" s="114">
        <v>0.56444444444444453</v>
      </c>
      <c r="E90" s="71">
        <v>11224</v>
      </c>
    </row>
    <row r="91" spans="1:5" x14ac:dyDescent="0.3">
      <c r="A91" s="70" t="s">
        <v>10</v>
      </c>
      <c r="B91" s="70" t="s">
        <v>9</v>
      </c>
      <c r="C91" s="116">
        <v>159.68622222222226</v>
      </c>
      <c r="D91" s="113">
        <v>0.34666666666666673</v>
      </c>
      <c r="E91" s="70">
        <v>13819</v>
      </c>
    </row>
    <row r="92" spans="1:5" x14ac:dyDescent="0.3">
      <c r="A92" s="71" t="s">
        <v>10</v>
      </c>
      <c r="B92" s="71" t="s">
        <v>28</v>
      </c>
      <c r="C92" s="116">
        <v>5.6160000000000005</v>
      </c>
      <c r="D92" s="114">
        <v>0.4</v>
      </c>
      <c r="E92" s="71">
        <v>1053</v>
      </c>
    </row>
    <row r="93" spans="1:5" x14ac:dyDescent="0.3">
      <c r="A93" s="70" t="s">
        <v>10</v>
      </c>
      <c r="B93" s="70" t="s">
        <v>43</v>
      </c>
      <c r="C93" s="116">
        <v>7.1074380165289261E-2</v>
      </c>
      <c r="D93" s="113">
        <v>0.78181818181818186</v>
      </c>
      <c r="E93" s="70">
        <v>5</v>
      </c>
    </row>
    <row r="94" spans="1:5" x14ac:dyDescent="0.3">
      <c r="A94" s="71" t="s">
        <v>10</v>
      </c>
      <c r="B94" s="71" t="s">
        <v>43</v>
      </c>
      <c r="C94" s="116">
        <v>0.26</v>
      </c>
      <c r="D94" s="114">
        <v>0.7</v>
      </c>
      <c r="E94" s="71">
        <v>13</v>
      </c>
    </row>
    <row r="95" spans="1:5" x14ac:dyDescent="0.3">
      <c r="A95" s="70" t="s">
        <v>10</v>
      </c>
      <c r="B95" s="70" t="s">
        <v>43</v>
      </c>
      <c r="C95" s="116">
        <v>5.8539944903581262E-2</v>
      </c>
      <c r="D95" s="113">
        <v>0.77272727272727271</v>
      </c>
      <c r="E95" s="70">
        <v>5</v>
      </c>
    </row>
    <row r="96" spans="1:5" x14ac:dyDescent="0.3">
      <c r="A96" s="71" t="s">
        <v>10</v>
      </c>
      <c r="B96" s="71" t="s">
        <v>43</v>
      </c>
      <c r="C96" s="116">
        <v>2.7880147412273678E-2</v>
      </c>
      <c r="D96" s="114">
        <v>0.73417721518987344</v>
      </c>
      <c r="E96" s="71">
        <v>3</v>
      </c>
    </row>
    <row r="97" spans="1:5" x14ac:dyDescent="0.3">
      <c r="A97" s="70" t="s">
        <v>10</v>
      </c>
      <c r="B97" s="70" t="s">
        <v>43</v>
      </c>
      <c r="C97" s="116">
        <v>3.1836734693877551E-2</v>
      </c>
      <c r="D97" s="113">
        <v>0.74285714285714288</v>
      </c>
      <c r="E97" s="70">
        <v>3</v>
      </c>
    </row>
    <row r="98" spans="1:5" x14ac:dyDescent="0.3">
      <c r="A98" s="71" t="s">
        <v>10</v>
      </c>
      <c r="B98" s="71" t="s">
        <v>43</v>
      </c>
      <c r="C98" s="116">
        <v>1.04E-2</v>
      </c>
      <c r="D98" s="114">
        <v>0.52</v>
      </c>
      <c r="E98" s="71">
        <v>5</v>
      </c>
    </row>
    <row r="99" spans="1:5" x14ac:dyDescent="0.3">
      <c r="A99" s="70" t="s">
        <v>10</v>
      </c>
      <c r="B99" s="70" t="s">
        <v>43</v>
      </c>
      <c r="C99" s="116">
        <v>1.4160766347355268E-2</v>
      </c>
      <c r="D99" s="113">
        <v>0.69387755102040816</v>
      </c>
      <c r="E99" s="70">
        <v>1</v>
      </c>
    </row>
    <row r="100" spans="1:5" x14ac:dyDescent="0.3">
      <c r="A100" s="71" t="s">
        <v>10</v>
      </c>
      <c r="B100" s="71" t="s">
        <v>43</v>
      </c>
      <c r="C100" s="116">
        <v>1.0939357907253271E-2</v>
      </c>
      <c r="D100" s="114">
        <v>0.7931034482758621</v>
      </c>
      <c r="E100" s="71">
        <v>2</v>
      </c>
    </row>
    <row r="101" spans="1:5" x14ac:dyDescent="0.3">
      <c r="A101" s="70" t="s">
        <v>10</v>
      </c>
      <c r="B101" s="70" t="s">
        <v>43</v>
      </c>
      <c r="C101" s="116">
        <v>1.6835016835016835E-2</v>
      </c>
      <c r="D101" s="113">
        <v>0.83333333333333337</v>
      </c>
      <c r="E101" s="70">
        <v>2</v>
      </c>
    </row>
    <row r="102" spans="1:5" x14ac:dyDescent="0.3">
      <c r="A102" s="71" t="s">
        <v>10</v>
      </c>
      <c r="B102" s="71" t="s">
        <v>43</v>
      </c>
      <c r="C102" s="116">
        <v>3.3455076698319943E-3</v>
      </c>
      <c r="D102" s="114">
        <v>0.61891891891891893</v>
      </c>
      <c r="E102" s="71">
        <v>2</v>
      </c>
    </row>
    <row r="103" spans="1:5" x14ac:dyDescent="0.3">
      <c r="A103" s="70" t="s">
        <v>10</v>
      </c>
      <c r="B103" s="70" t="s">
        <v>43</v>
      </c>
      <c r="C103" s="116">
        <v>4.8469387755102046E-2</v>
      </c>
      <c r="D103" s="113">
        <v>0.6785714285714286</v>
      </c>
      <c r="E103" s="70">
        <v>5</v>
      </c>
    </row>
    <row r="104" spans="1:5" x14ac:dyDescent="0.3">
      <c r="A104" s="71" t="s">
        <v>10</v>
      </c>
      <c r="B104" s="71" t="s">
        <v>43</v>
      </c>
      <c r="C104" s="116">
        <v>1.6666666666666666E-2</v>
      </c>
      <c r="D104" s="114">
        <v>0.25</v>
      </c>
      <c r="E104" s="71">
        <v>8</v>
      </c>
    </row>
    <row r="105" spans="1:5" x14ac:dyDescent="0.3">
      <c r="A105" s="70" t="s">
        <v>10</v>
      </c>
      <c r="B105" s="70" t="s">
        <v>43</v>
      </c>
      <c r="C105" s="116">
        <v>0.48888888888888887</v>
      </c>
      <c r="D105" s="113">
        <v>0.66666666666666663</v>
      </c>
      <c r="E105" s="70">
        <v>33</v>
      </c>
    </row>
    <row r="106" spans="1:5" x14ac:dyDescent="0.3">
      <c r="A106" s="71" t="s">
        <v>10</v>
      </c>
      <c r="B106" s="71" t="s">
        <v>20</v>
      </c>
      <c r="C106" s="116">
        <v>8.6112000000000008E-2</v>
      </c>
      <c r="D106" s="114">
        <v>0.55200000000000005</v>
      </c>
      <c r="E106" s="71">
        <v>39</v>
      </c>
    </row>
    <row r="107" spans="1:5" x14ac:dyDescent="0.3">
      <c r="A107" s="70" t="s">
        <v>10</v>
      </c>
      <c r="B107" s="70" t="s">
        <v>21</v>
      </c>
      <c r="C107" s="116">
        <v>1.9262782401902497E-3</v>
      </c>
      <c r="D107" s="113">
        <v>0.55862068965517242</v>
      </c>
      <c r="E107" s="70">
        <v>1</v>
      </c>
    </row>
    <row r="108" spans="1:5" x14ac:dyDescent="0.3">
      <c r="A108" s="71" t="s">
        <v>10</v>
      </c>
      <c r="B108" s="71" t="s">
        <v>21</v>
      </c>
      <c r="C108" s="116">
        <v>5.0204081632653063E-3</v>
      </c>
      <c r="D108" s="114">
        <v>0.70285714285714285</v>
      </c>
      <c r="E108" s="71">
        <v>5</v>
      </c>
    </row>
    <row r="109" spans="1:5" x14ac:dyDescent="0.3">
      <c r="A109" s="70" t="s">
        <v>10</v>
      </c>
      <c r="B109" s="70" t="s">
        <v>21</v>
      </c>
      <c r="C109" s="116">
        <v>0.12239999999999999</v>
      </c>
      <c r="D109" s="113">
        <v>0.36</v>
      </c>
      <c r="E109" s="70">
        <v>51</v>
      </c>
    </row>
    <row r="110" spans="1:5" x14ac:dyDescent="0.3">
      <c r="A110" s="71" t="s">
        <v>10</v>
      </c>
      <c r="B110" s="71" t="s">
        <v>21</v>
      </c>
      <c r="C110" s="116">
        <v>5.1067518420110425E-2</v>
      </c>
      <c r="D110" s="114">
        <v>0.67919799498746869</v>
      </c>
      <c r="E110" s="71">
        <v>30</v>
      </c>
    </row>
    <row r="111" spans="1:5" x14ac:dyDescent="0.3">
      <c r="A111" s="70" t="s">
        <v>10</v>
      </c>
      <c r="B111" s="70" t="s">
        <v>21</v>
      </c>
      <c r="C111" s="116">
        <v>9.5024990388312178E-2</v>
      </c>
      <c r="D111" s="113">
        <v>0.65490196078431373</v>
      </c>
      <c r="E111" s="70">
        <v>74</v>
      </c>
    </row>
    <row r="112" spans="1:5" x14ac:dyDescent="0.3">
      <c r="A112" s="71" t="s">
        <v>10</v>
      </c>
      <c r="B112" s="71" t="s">
        <v>21</v>
      </c>
      <c r="C112" s="116">
        <v>0.10678299953731245</v>
      </c>
      <c r="D112" s="114">
        <v>0.71382113821138216</v>
      </c>
      <c r="E112" s="71">
        <v>92</v>
      </c>
    </row>
    <row r="113" spans="1:5" x14ac:dyDescent="0.3">
      <c r="A113" s="70" t="s">
        <v>10</v>
      </c>
      <c r="B113" s="70" t="s">
        <v>21</v>
      </c>
      <c r="C113" s="116">
        <v>0.47030400000000006</v>
      </c>
      <c r="D113" s="113">
        <v>0.55200000000000005</v>
      </c>
      <c r="E113" s="70">
        <v>213</v>
      </c>
    </row>
    <row r="114" spans="1:5" x14ac:dyDescent="0.3">
      <c r="A114" s="71" t="s">
        <v>10</v>
      </c>
      <c r="B114" s="71" t="s">
        <v>25</v>
      </c>
      <c r="C114" s="116">
        <v>3.2307692307692302E-3</v>
      </c>
      <c r="D114" s="114">
        <v>0.7</v>
      </c>
      <c r="E114" s="71">
        <v>3</v>
      </c>
    </row>
    <row r="115" spans="1:5" x14ac:dyDescent="0.3">
      <c r="A115" s="70" t="s">
        <v>10</v>
      </c>
      <c r="B115" s="70" t="s">
        <v>25</v>
      </c>
      <c r="C115" s="116">
        <v>4.7400000000000005E-2</v>
      </c>
      <c r="D115" s="113">
        <v>0.79</v>
      </c>
      <c r="E115" s="70">
        <v>3</v>
      </c>
    </row>
    <row r="116" spans="1:5" x14ac:dyDescent="0.3">
      <c r="A116" s="71" t="s">
        <v>10</v>
      </c>
      <c r="B116" s="71" t="s">
        <v>25</v>
      </c>
      <c r="C116" s="116">
        <v>0.1683673469387755</v>
      </c>
      <c r="D116" s="114">
        <v>0.7857142857142857</v>
      </c>
      <c r="E116" s="71">
        <v>15</v>
      </c>
    </row>
    <row r="117" spans="1:5" x14ac:dyDescent="0.3">
      <c r="A117" s="70" t="s">
        <v>10</v>
      </c>
      <c r="B117" s="70" t="s">
        <v>25</v>
      </c>
      <c r="C117" s="116">
        <v>0.42710743801652895</v>
      </c>
      <c r="D117" s="113">
        <v>0.61818181818181817</v>
      </c>
      <c r="E117" s="70">
        <v>38</v>
      </c>
    </row>
    <row r="118" spans="1:5" x14ac:dyDescent="0.3">
      <c r="A118" s="71" t="s">
        <v>10</v>
      </c>
      <c r="B118" s="71" t="s">
        <v>38</v>
      </c>
      <c r="C118" s="116">
        <v>9.555555555555555E-3</v>
      </c>
      <c r="D118" s="114">
        <v>0.57333333333333336</v>
      </c>
      <c r="E118" s="71">
        <v>5</v>
      </c>
    </row>
    <row r="119" spans="1:5" x14ac:dyDescent="0.3">
      <c r="A119" s="70" t="s">
        <v>10</v>
      </c>
      <c r="B119" s="70" t="s">
        <v>38</v>
      </c>
      <c r="C119" s="116">
        <v>1.56E-3</v>
      </c>
      <c r="D119" s="113">
        <v>0.624</v>
      </c>
      <c r="E119" s="70">
        <v>1</v>
      </c>
    </row>
    <row r="120" spans="1:5" x14ac:dyDescent="0.3">
      <c r="A120" s="71" t="s">
        <v>10</v>
      </c>
      <c r="B120" s="71" t="s">
        <v>38</v>
      </c>
      <c r="C120" s="116">
        <v>1.6040905770635498E-3</v>
      </c>
      <c r="D120" s="114">
        <v>0.59351351351351345</v>
      </c>
      <c r="E120" s="71">
        <v>1</v>
      </c>
    </row>
    <row r="121" spans="1:5" x14ac:dyDescent="0.3">
      <c r="A121" s="70" t="s">
        <v>10</v>
      </c>
      <c r="B121" s="70" t="s">
        <v>38</v>
      </c>
      <c r="C121" s="116">
        <v>1.2960000000000001E-3</v>
      </c>
      <c r="D121" s="113">
        <v>0.64800000000000002</v>
      </c>
      <c r="E121" s="70">
        <v>1</v>
      </c>
    </row>
    <row r="122" spans="1:5" x14ac:dyDescent="0.3">
      <c r="A122" s="71" t="s">
        <v>97</v>
      </c>
      <c r="B122" s="71" t="s">
        <v>38</v>
      </c>
      <c r="C122" s="116">
        <v>0</v>
      </c>
      <c r="D122" s="114">
        <v>-0.20888888888888901</v>
      </c>
      <c r="E122" s="71">
        <v>0</v>
      </c>
    </row>
    <row r="123" spans="1:5" x14ac:dyDescent="0.3">
      <c r="A123" s="70" t="s">
        <v>97</v>
      </c>
      <c r="B123" s="70" t="s">
        <v>38</v>
      </c>
      <c r="C123" s="116">
        <v>0</v>
      </c>
      <c r="D123" s="113">
        <v>0.58588235294117641</v>
      </c>
      <c r="E123" s="70">
        <v>0</v>
      </c>
    </row>
    <row r="124" spans="1:5" x14ac:dyDescent="0.3">
      <c r="A124" s="71" t="s">
        <v>10</v>
      </c>
      <c r="B124" s="71" t="s">
        <v>38</v>
      </c>
      <c r="C124" s="116">
        <v>1.0493827160493827E-2</v>
      </c>
      <c r="D124" s="114">
        <v>0.37777777777777777</v>
      </c>
      <c r="E124" s="71">
        <v>5</v>
      </c>
    </row>
    <row r="125" spans="1:5" x14ac:dyDescent="0.3">
      <c r="A125" s="70" t="s">
        <v>10</v>
      </c>
      <c r="B125" s="70" t="s">
        <v>38</v>
      </c>
      <c r="C125" s="116">
        <v>5.4201183431952663E-3</v>
      </c>
      <c r="D125" s="113">
        <v>0.70461538461538464</v>
      </c>
      <c r="E125" s="70">
        <v>5</v>
      </c>
    </row>
    <row r="126" spans="1:5" x14ac:dyDescent="0.3">
      <c r="A126" s="71" t="s">
        <v>10</v>
      </c>
      <c r="B126" s="71" t="s">
        <v>38</v>
      </c>
      <c r="C126" s="116">
        <v>9.6313912009512483E-3</v>
      </c>
      <c r="D126" s="114">
        <v>0.55862068965517242</v>
      </c>
      <c r="E126" s="71">
        <v>5</v>
      </c>
    </row>
    <row r="127" spans="1:5" x14ac:dyDescent="0.3">
      <c r="A127" s="70" t="s">
        <v>10</v>
      </c>
      <c r="B127" s="70" t="s">
        <v>38</v>
      </c>
      <c r="C127" s="116">
        <v>0.7088888888888889</v>
      </c>
      <c r="D127" s="113">
        <v>0.73333333333333328</v>
      </c>
      <c r="E127" s="70">
        <v>58</v>
      </c>
    </row>
    <row r="128" spans="1:5" x14ac:dyDescent="0.3">
      <c r="A128" s="71" t="s">
        <v>10</v>
      </c>
      <c r="B128" s="71" t="s">
        <v>22</v>
      </c>
      <c r="C128" s="116">
        <v>5.0784000000000003E-2</v>
      </c>
      <c r="D128" s="114">
        <v>0.55200000000000005</v>
      </c>
      <c r="E128" s="71">
        <v>23</v>
      </c>
    </row>
    <row r="129" spans="1:5" x14ac:dyDescent="0.3">
      <c r="A129" s="70" t="s">
        <v>10</v>
      </c>
      <c r="B129" s="70" t="s">
        <v>33</v>
      </c>
      <c r="C129" s="116">
        <v>5.0204081632653063E-3</v>
      </c>
      <c r="D129" s="113">
        <v>0.70285714285714285</v>
      </c>
      <c r="E129" s="70">
        <v>5</v>
      </c>
    </row>
    <row r="130" spans="1:5" x14ac:dyDescent="0.3">
      <c r="A130" s="71" t="s">
        <v>10</v>
      </c>
      <c r="B130" s="71" t="s">
        <v>13</v>
      </c>
      <c r="C130" s="116">
        <v>7.1074380165289261E-2</v>
      </c>
      <c r="D130" s="114">
        <v>0.78181818181818186</v>
      </c>
      <c r="E130" s="71">
        <v>5</v>
      </c>
    </row>
    <row r="131" spans="1:5" x14ac:dyDescent="0.3">
      <c r="A131" s="70" t="s">
        <v>10</v>
      </c>
      <c r="B131" s="70" t="s">
        <v>13</v>
      </c>
      <c r="C131" s="116">
        <v>1.1707988980716254E-2</v>
      </c>
      <c r="D131" s="113">
        <v>0.77272727272727271</v>
      </c>
      <c r="E131" s="70">
        <v>1</v>
      </c>
    </row>
    <row r="132" spans="1:5" x14ac:dyDescent="0.3">
      <c r="A132" s="71" t="s">
        <v>10</v>
      </c>
      <c r="B132" s="71" t="s">
        <v>13</v>
      </c>
      <c r="C132" s="116">
        <v>0.24937499999999999</v>
      </c>
      <c r="D132" s="114">
        <v>0.47499999999999998</v>
      </c>
      <c r="E132" s="71">
        <v>21</v>
      </c>
    </row>
    <row r="133" spans="1:5" x14ac:dyDescent="0.3">
      <c r="A133" s="70" t="s">
        <v>10</v>
      </c>
      <c r="B133" s="70" t="s">
        <v>17</v>
      </c>
      <c r="C133" s="116">
        <v>0.18679012345679011</v>
      </c>
      <c r="D133" s="113">
        <v>0.37777777777777777</v>
      </c>
      <c r="E133" s="70">
        <v>89</v>
      </c>
    </row>
    <row r="134" spans="1:5" x14ac:dyDescent="0.3">
      <c r="A134" s="71" t="s">
        <v>10</v>
      </c>
      <c r="B134" s="71" t="s">
        <v>17</v>
      </c>
      <c r="C134" s="116">
        <v>9.555555555555555E-3</v>
      </c>
      <c r="D134" s="114">
        <v>0.57333333333333336</v>
      </c>
      <c r="E134" s="71">
        <v>5</v>
      </c>
    </row>
    <row r="135" spans="1:5" x14ac:dyDescent="0.3">
      <c r="A135" s="70" t="s">
        <v>10</v>
      </c>
      <c r="B135" s="70" t="s">
        <v>17</v>
      </c>
      <c r="C135" s="116">
        <v>1.6040905770635498E-3</v>
      </c>
      <c r="D135" s="113">
        <v>0.59351351351351345</v>
      </c>
      <c r="E135" s="70">
        <v>1</v>
      </c>
    </row>
    <row r="136" spans="1:5" x14ac:dyDescent="0.3">
      <c r="A136" s="71" t="s">
        <v>10</v>
      </c>
      <c r="B136" s="71" t="s">
        <v>17</v>
      </c>
      <c r="C136" s="116">
        <v>1.2960000000000001E-3</v>
      </c>
      <c r="D136" s="114">
        <v>0.64800000000000002</v>
      </c>
      <c r="E136" s="71">
        <v>1</v>
      </c>
    </row>
    <row r="137" spans="1:5" x14ac:dyDescent="0.3">
      <c r="A137" s="70" t="s">
        <v>10</v>
      </c>
      <c r="B137" s="70" t="s">
        <v>17</v>
      </c>
      <c r="C137" s="116">
        <v>4.0666666666666657E-2</v>
      </c>
      <c r="D137" s="113">
        <v>0.81333333333333324</v>
      </c>
      <c r="E137" s="70">
        <v>3</v>
      </c>
    </row>
    <row r="138" spans="1:5" x14ac:dyDescent="0.3">
      <c r="A138" s="71" t="s">
        <v>10</v>
      </c>
      <c r="B138" s="71" t="s">
        <v>17</v>
      </c>
      <c r="C138" s="116">
        <v>3.25207100591716E-3</v>
      </c>
      <c r="D138" s="114">
        <v>0.70461538461538464</v>
      </c>
      <c r="E138" s="71">
        <v>3</v>
      </c>
    </row>
    <row r="139" spans="1:5" x14ac:dyDescent="0.3">
      <c r="A139" s="70" t="s">
        <v>10</v>
      </c>
      <c r="B139" s="70" t="s">
        <v>17</v>
      </c>
      <c r="C139" s="116">
        <v>5.9881656804733736E-2</v>
      </c>
      <c r="D139" s="113">
        <v>0.77846153846153854</v>
      </c>
      <c r="E139" s="70">
        <v>5</v>
      </c>
    </row>
    <row r="140" spans="1:5" x14ac:dyDescent="0.3">
      <c r="A140" s="71" t="s">
        <v>10</v>
      </c>
      <c r="B140" s="71" t="s">
        <v>17</v>
      </c>
      <c r="C140" s="116">
        <v>4.110726643598616E-2</v>
      </c>
      <c r="D140" s="114">
        <v>0.69882352941176473</v>
      </c>
      <c r="E140" s="71">
        <v>5</v>
      </c>
    </row>
    <row r="141" spans="1:5" x14ac:dyDescent="0.3">
      <c r="A141" s="70" t="s">
        <v>10</v>
      </c>
      <c r="B141" s="70" t="s">
        <v>17</v>
      </c>
      <c r="C141" s="116">
        <v>7.8000000000000005E-3</v>
      </c>
      <c r="D141" s="113">
        <v>0.624</v>
      </c>
      <c r="E141" s="70">
        <v>5</v>
      </c>
    </row>
    <row r="142" spans="1:5" x14ac:dyDescent="0.3">
      <c r="A142" s="71" t="s">
        <v>10</v>
      </c>
      <c r="B142" s="71" t="s">
        <v>17</v>
      </c>
      <c r="C142" s="116">
        <v>9.6313912009512483E-3</v>
      </c>
      <c r="D142" s="114">
        <v>0.55862068965517242</v>
      </c>
      <c r="E142" s="71">
        <v>5</v>
      </c>
    </row>
    <row r="143" spans="1:5" x14ac:dyDescent="0.3">
      <c r="A143" s="70" t="s">
        <v>10</v>
      </c>
      <c r="B143" s="70" t="s">
        <v>17</v>
      </c>
      <c r="C143" s="116">
        <v>0.12361474435196196</v>
      </c>
      <c r="D143" s="113">
        <v>0.77931034482758621</v>
      </c>
      <c r="E143" s="70">
        <v>23</v>
      </c>
    </row>
    <row r="144" spans="1:5" x14ac:dyDescent="0.3">
      <c r="A144" s="71" t="s">
        <v>10</v>
      </c>
      <c r="B144" s="71" t="s">
        <v>17</v>
      </c>
      <c r="C144" s="116">
        <v>0.19102132435465768</v>
      </c>
      <c r="D144" s="114">
        <v>0.8222222222222223</v>
      </c>
      <c r="E144" s="71">
        <v>23</v>
      </c>
    </row>
    <row r="145" spans="1:5" x14ac:dyDescent="0.3">
      <c r="A145" s="70" t="s">
        <v>10</v>
      </c>
      <c r="B145" s="70" t="s">
        <v>17</v>
      </c>
      <c r="C145" s="116">
        <v>0.20864197530864195</v>
      </c>
      <c r="D145" s="113">
        <v>0.75111111111111106</v>
      </c>
      <c r="E145" s="70">
        <v>25</v>
      </c>
    </row>
    <row r="146" spans="1:5" x14ac:dyDescent="0.3">
      <c r="A146" s="71" t="s">
        <v>10</v>
      </c>
      <c r="B146" s="71" t="s">
        <v>17</v>
      </c>
      <c r="C146" s="116">
        <v>6.1637831603229533E-2</v>
      </c>
      <c r="D146" s="114">
        <v>0.65490196078431373</v>
      </c>
      <c r="E146" s="71">
        <v>48</v>
      </c>
    </row>
    <row r="147" spans="1:5" x14ac:dyDescent="0.3">
      <c r="A147" s="70" t="s">
        <v>10</v>
      </c>
      <c r="B147" s="70" t="s">
        <v>17</v>
      </c>
      <c r="C147" s="116">
        <v>5.7711111111111109E-2</v>
      </c>
      <c r="D147" s="113">
        <v>0.70666666666666667</v>
      </c>
      <c r="E147" s="70">
        <v>49</v>
      </c>
    </row>
    <row r="148" spans="1:5" x14ac:dyDescent="0.3">
      <c r="A148" s="71" t="s">
        <v>10</v>
      </c>
      <c r="B148" s="71" t="s">
        <v>17</v>
      </c>
      <c r="C148" s="116">
        <v>0.44568047337278099</v>
      </c>
      <c r="D148" s="114">
        <v>0.82769230769230762</v>
      </c>
      <c r="E148" s="71">
        <v>35</v>
      </c>
    </row>
    <row r="149" spans="1:5" x14ac:dyDescent="0.3">
      <c r="A149" s="70" t="s">
        <v>10</v>
      </c>
      <c r="B149" s="70" t="s">
        <v>17</v>
      </c>
      <c r="C149" s="116">
        <v>0.3001662049861496</v>
      </c>
      <c r="D149" s="113">
        <v>0.8147368421052632</v>
      </c>
      <c r="E149" s="70">
        <v>35</v>
      </c>
    </row>
    <row r="150" spans="1:5" x14ac:dyDescent="0.3">
      <c r="A150" s="71" t="s">
        <v>10</v>
      </c>
      <c r="B150" s="71" t="s">
        <v>17</v>
      </c>
      <c r="C150" s="116">
        <v>0.49299999999999999</v>
      </c>
      <c r="D150" s="114">
        <v>0.67999999999999994</v>
      </c>
      <c r="E150" s="71">
        <v>58</v>
      </c>
    </row>
    <row r="151" spans="1:5" x14ac:dyDescent="0.3">
      <c r="A151" s="70" t="s">
        <v>10</v>
      </c>
      <c r="B151" s="70" t="s">
        <v>17</v>
      </c>
      <c r="C151" s="116">
        <v>0.34666666666666668</v>
      </c>
      <c r="D151" s="113">
        <v>0.2</v>
      </c>
      <c r="E151" s="70">
        <v>208</v>
      </c>
    </row>
    <row r="152" spans="1:5" x14ac:dyDescent="0.3">
      <c r="A152" s="71" t="s">
        <v>10</v>
      </c>
      <c r="B152" s="71" t="s">
        <v>17</v>
      </c>
      <c r="C152" s="116">
        <v>8.133061224489796E-2</v>
      </c>
      <c r="D152" s="114">
        <v>0.70285714285714285</v>
      </c>
      <c r="E152" s="71">
        <v>81</v>
      </c>
    </row>
    <row r="153" spans="1:5" x14ac:dyDescent="0.3">
      <c r="A153" s="70" t="s">
        <v>10</v>
      </c>
      <c r="B153" s="70" t="s">
        <v>17</v>
      </c>
      <c r="C153" s="116">
        <v>0.17022506140036808</v>
      </c>
      <c r="D153" s="113">
        <v>0.67919799498746869</v>
      </c>
      <c r="E153" s="70">
        <v>100</v>
      </c>
    </row>
    <row r="154" spans="1:5" x14ac:dyDescent="0.3">
      <c r="A154" s="71" t="s">
        <v>10</v>
      </c>
      <c r="B154" s="71" t="s">
        <v>17</v>
      </c>
      <c r="C154" s="116">
        <v>0.27500000000000002</v>
      </c>
      <c r="D154" s="114">
        <v>0.8</v>
      </c>
      <c r="E154" s="71">
        <v>55</v>
      </c>
    </row>
    <row r="155" spans="1:5" x14ac:dyDescent="0.3">
      <c r="A155" s="70" t="s">
        <v>10</v>
      </c>
      <c r="B155" s="70" t="s">
        <v>17</v>
      </c>
      <c r="C155" s="116">
        <v>0.28924800000000006</v>
      </c>
      <c r="D155" s="113">
        <v>0.55200000000000005</v>
      </c>
      <c r="E155" s="70">
        <v>131</v>
      </c>
    </row>
    <row r="156" spans="1:5" x14ac:dyDescent="0.3">
      <c r="A156" s="71" t="s">
        <v>10</v>
      </c>
      <c r="B156" s="71" t="s">
        <v>17</v>
      </c>
      <c r="C156" s="116">
        <v>7.8700826446280985</v>
      </c>
      <c r="D156" s="114">
        <v>0.65090909090909088</v>
      </c>
      <c r="E156" s="71">
        <v>665</v>
      </c>
    </row>
    <row r="157" spans="1:5" x14ac:dyDescent="0.3">
      <c r="A157" s="70" t="s">
        <v>10</v>
      </c>
      <c r="B157" s="70" t="s">
        <v>14</v>
      </c>
      <c r="C157" s="116">
        <v>1.04E-2</v>
      </c>
      <c r="D157" s="113">
        <v>0.52</v>
      </c>
      <c r="E157" s="70">
        <v>5</v>
      </c>
    </row>
    <row r="158" spans="1:5" x14ac:dyDescent="0.3">
      <c r="A158" s="71" t="s">
        <v>10</v>
      </c>
      <c r="B158" s="71" t="s">
        <v>14</v>
      </c>
      <c r="C158" s="116">
        <v>1.4160766347355268E-2</v>
      </c>
      <c r="D158" s="114">
        <v>0.69387755102040816</v>
      </c>
      <c r="E158" s="71">
        <v>1</v>
      </c>
    </row>
    <row r="159" spans="1:5" x14ac:dyDescent="0.3">
      <c r="A159" s="70" t="s">
        <v>10</v>
      </c>
      <c r="B159" s="70" t="s">
        <v>14</v>
      </c>
      <c r="C159" s="116">
        <v>2.0710059171597634E-3</v>
      </c>
      <c r="D159" s="113">
        <v>0.53846153846153844</v>
      </c>
      <c r="E159" s="70">
        <v>1</v>
      </c>
    </row>
    <row r="160" spans="1:5" x14ac:dyDescent="0.3">
      <c r="A160" s="71" t="s">
        <v>10</v>
      </c>
      <c r="B160" s="71" t="s">
        <v>14</v>
      </c>
      <c r="C160" s="116">
        <v>7.1074380165289261E-2</v>
      </c>
      <c r="D160" s="114">
        <v>0.78181818181818186</v>
      </c>
      <c r="E160" s="71">
        <v>5</v>
      </c>
    </row>
    <row r="161" spans="1:5" x14ac:dyDescent="0.3">
      <c r="A161" s="70" t="s">
        <v>10</v>
      </c>
      <c r="B161" s="70" t="s">
        <v>14</v>
      </c>
      <c r="C161" s="116">
        <v>1.0416666666666666E-2</v>
      </c>
      <c r="D161" s="113">
        <v>0.25</v>
      </c>
      <c r="E161" s="70">
        <v>5</v>
      </c>
    </row>
    <row r="162" spans="1:5" x14ac:dyDescent="0.3">
      <c r="A162" s="71" t="s">
        <v>10</v>
      </c>
      <c r="B162" s="71" t="s">
        <v>14</v>
      </c>
      <c r="C162" s="116">
        <v>0.31428571428571428</v>
      </c>
      <c r="D162" s="114">
        <v>0.7857142857142857</v>
      </c>
      <c r="E162" s="71">
        <v>28</v>
      </c>
    </row>
    <row r="163" spans="1:5" x14ac:dyDescent="0.3">
      <c r="A163" s="70" t="s">
        <v>10</v>
      </c>
      <c r="B163" s="70" t="s">
        <v>14</v>
      </c>
      <c r="C163" s="116">
        <v>2.149375</v>
      </c>
      <c r="D163" s="113">
        <v>0.47499999999999998</v>
      </c>
      <c r="E163" s="70">
        <v>181</v>
      </c>
    </row>
    <row r="164" spans="1:5" x14ac:dyDescent="0.3">
      <c r="A164" s="71" t="s">
        <v>10</v>
      </c>
      <c r="B164" s="71" t="s">
        <v>12</v>
      </c>
      <c r="C164" s="116">
        <v>2.0800000000000003E-3</v>
      </c>
      <c r="D164" s="114">
        <v>0.52</v>
      </c>
      <c r="E164" s="71">
        <v>1</v>
      </c>
    </row>
    <row r="165" spans="1:5" x14ac:dyDescent="0.3">
      <c r="A165" s="70" t="s">
        <v>10</v>
      </c>
      <c r="B165" s="70" t="s">
        <v>12</v>
      </c>
      <c r="C165" s="116">
        <v>1.7214532871972319E-3</v>
      </c>
      <c r="D165" s="113">
        <v>0.58529411764705885</v>
      </c>
      <c r="E165" s="70">
        <v>1</v>
      </c>
    </row>
    <row r="166" spans="1:5" x14ac:dyDescent="0.3">
      <c r="A166" s="71" t="s">
        <v>10</v>
      </c>
      <c r="B166" s="71" t="s">
        <v>12</v>
      </c>
      <c r="C166" s="116">
        <v>2.7614305115436851E-3</v>
      </c>
      <c r="D166" s="114">
        <v>0.64893617021276595</v>
      </c>
      <c r="E166" s="71">
        <v>2</v>
      </c>
    </row>
    <row r="167" spans="1:5" x14ac:dyDescent="0.3">
      <c r="A167" s="70" t="s">
        <v>10</v>
      </c>
      <c r="B167" s="70" t="s">
        <v>12</v>
      </c>
      <c r="C167" s="116">
        <v>3.1836734693877551E-2</v>
      </c>
      <c r="D167" s="113">
        <v>0.74285714285714288</v>
      </c>
      <c r="E167" s="70">
        <v>3</v>
      </c>
    </row>
    <row r="168" spans="1:5" x14ac:dyDescent="0.3">
      <c r="A168" s="71" t="s">
        <v>10</v>
      </c>
      <c r="B168" s="71" t="s">
        <v>12</v>
      </c>
      <c r="C168" s="116">
        <v>5.0182615047479912E-3</v>
      </c>
      <c r="D168" s="114">
        <v>0.61891891891891893</v>
      </c>
      <c r="E168" s="71">
        <v>3</v>
      </c>
    </row>
    <row r="169" spans="1:5" x14ac:dyDescent="0.3">
      <c r="A169" s="70" t="s">
        <v>10</v>
      </c>
      <c r="B169" s="70" t="s">
        <v>12</v>
      </c>
      <c r="C169" s="116">
        <v>7.9000000000000001E-2</v>
      </c>
      <c r="D169" s="113">
        <v>0.79</v>
      </c>
      <c r="E169" s="70">
        <v>5</v>
      </c>
    </row>
    <row r="170" spans="1:5" x14ac:dyDescent="0.3">
      <c r="A170" s="71" t="s">
        <v>10</v>
      </c>
      <c r="B170" s="71" t="s">
        <v>12</v>
      </c>
      <c r="C170" s="116">
        <v>5.4696789536266353E-2</v>
      </c>
      <c r="D170" s="114">
        <v>0.7931034482758621</v>
      </c>
      <c r="E170" s="71">
        <v>10</v>
      </c>
    </row>
    <row r="171" spans="1:5" x14ac:dyDescent="0.3">
      <c r="A171" s="70" t="s">
        <v>10</v>
      </c>
      <c r="B171" s="70" t="s">
        <v>12</v>
      </c>
      <c r="C171" s="116">
        <v>9.4809688581314874E-2</v>
      </c>
      <c r="D171" s="113">
        <v>0.80588235294117649</v>
      </c>
      <c r="E171" s="70">
        <v>10</v>
      </c>
    </row>
    <row r="172" spans="1:5" x14ac:dyDescent="0.3">
      <c r="A172" s="71" t="s">
        <v>10</v>
      </c>
      <c r="B172" s="71" t="s">
        <v>12</v>
      </c>
      <c r="C172" s="116">
        <v>1.1789427564200495E-2</v>
      </c>
      <c r="D172" s="114">
        <v>0.69439728353140917</v>
      </c>
      <c r="E172" s="71">
        <v>10</v>
      </c>
    </row>
    <row r="173" spans="1:5" x14ac:dyDescent="0.3">
      <c r="A173" s="70" t="s">
        <v>10</v>
      </c>
      <c r="B173" s="70" t="s">
        <v>12</v>
      </c>
      <c r="C173" s="116">
        <v>0.40888888888888891</v>
      </c>
      <c r="D173" s="113">
        <v>0.76666666666666672</v>
      </c>
      <c r="E173" s="70">
        <v>24</v>
      </c>
    </row>
    <row r="174" spans="1:5" x14ac:dyDescent="0.3">
      <c r="A174" s="71" t="s">
        <v>10</v>
      </c>
      <c r="B174" s="71" t="s">
        <v>12</v>
      </c>
      <c r="C174" s="116">
        <v>0.39656249999999998</v>
      </c>
      <c r="D174" s="114">
        <v>0.58750000000000002</v>
      </c>
      <c r="E174" s="71">
        <v>270</v>
      </c>
    </row>
    <row r="175" spans="1:5" x14ac:dyDescent="0.3">
      <c r="A175" s="70" t="s">
        <v>10</v>
      </c>
      <c r="B175" s="70" t="s">
        <v>12</v>
      </c>
      <c r="C175" s="116">
        <v>3.0367999999999999</v>
      </c>
      <c r="D175" s="113">
        <v>0.73</v>
      </c>
      <c r="E175" s="70">
        <v>208</v>
      </c>
    </row>
    <row r="176" spans="1:5" x14ac:dyDescent="0.3">
      <c r="A176" s="71" t="s">
        <v>10</v>
      </c>
      <c r="B176" s="71" t="s">
        <v>12</v>
      </c>
      <c r="C176" s="116">
        <v>2.0538375260374937</v>
      </c>
      <c r="D176" s="114">
        <v>0.73417721518987344</v>
      </c>
      <c r="E176" s="71">
        <v>221</v>
      </c>
    </row>
    <row r="177" spans="1:5" x14ac:dyDescent="0.3">
      <c r="A177" s="70" t="s">
        <v>10</v>
      </c>
      <c r="B177" s="70" t="s">
        <v>12</v>
      </c>
      <c r="C177" s="116">
        <v>1.0665873959571939</v>
      </c>
      <c r="D177" s="113">
        <v>0.7931034482758621</v>
      </c>
      <c r="E177" s="70">
        <v>195</v>
      </c>
    </row>
    <row r="178" spans="1:5" x14ac:dyDescent="0.3">
      <c r="A178" s="71" t="s">
        <v>10</v>
      </c>
      <c r="B178" s="71" t="s">
        <v>12</v>
      </c>
      <c r="C178" s="116">
        <v>0.25495833333333334</v>
      </c>
      <c r="D178" s="114">
        <v>0.72499999999999998</v>
      </c>
      <c r="E178" s="71">
        <v>211</v>
      </c>
    </row>
    <row r="179" spans="1:5" x14ac:dyDescent="0.3">
      <c r="A179" s="70" t="s">
        <v>10</v>
      </c>
      <c r="B179" s="70" t="s">
        <v>12</v>
      </c>
      <c r="C179" s="116">
        <v>3.4269054560599748</v>
      </c>
      <c r="D179" s="113">
        <v>0.69387755102040816</v>
      </c>
      <c r="E179" s="70">
        <v>242</v>
      </c>
    </row>
    <row r="180" spans="1:5" x14ac:dyDescent="0.3">
      <c r="A180" s="71" t="s">
        <v>10</v>
      </c>
      <c r="B180" s="71" t="s">
        <v>12</v>
      </c>
      <c r="C180" s="116">
        <v>4.1446280991735538</v>
      </c>
      <c r="D180" s="114">
        <v>0.77272727272727271</v>
      </c>
      <c r="E180" s="71">
        <v>354</v>
      </c>
    </row>
    <row r="181" spans="1:5" x14ac:dyDescent="0.3">
      <c r="A181" s="70" t="s">
        <v>10</v>
      </c>
      <c r="B181" s="70" t="s">
        <v>12</v>
      </c>
      <c r="C181" s="116">
        <v>5.2042666666666673</v>
      </c>
      <c r="D181" s="113">
        <v>0.68</v>
      </c>
      <c r="E181" s="70">
        <v>574</v>
      </c>
    </row>
    <row r="182" spans="1:5" x14ac:dyDescent="0.3">
      <c r="A182" s="71" t="s">
        <v>10</v>
      </c>
      <c r="B182" s="71" t="s">
        <v>12</v>
      </c>
      <c r="C182" s="116">
        <v>0.56107692307692303</v>
      </c>
      <c r="D182" s="114">
        <v>0.7</v>
      </c>
      <c r="E182" s="71">
        <v>521</v>
      </c>
    </row>
    <row r="183" spans="1:5" x14ac:dyDescent="0.3">
      <c r="A183" s="70" t="s">
        <v>10</v>
      </c>
      <c r="B183" s="70" t="s">
        <v>12</v>
      </c>
      <c r="C183" s="116">
        <v>1.7439446366782005</v>
      </c>
      <c r="D183" s="113">
        <v>0.82352941176470584</v>
      </c>
      <c r="E183" s="70">
        <v>180</v>
      </c>
    </row>
    <row r="184" spans="1:5" x14ac:dyDescent="0.3">
      <c r="A184" s="71" t="s">
        <v>10</v>
      </c>
      <c r="B184" s="71" t="s">
        <v>12</v>
      </c>
      <c r="C184" s="116">
        <v>5.5737499999999995</v>
      </c>
      <c r="D184" s="114">
        <v>0.7</v>
      </c>
      <c r="E184" s="71">
        <v>637</v>
      </c>
    </row>
    <row r="185" spans="1:5" x14ac:dyDescent="0.3">
      <c r="A185" s="70" t="s">
        <v>10</v>
      </c>
      <c r="B185" s="70" t="s">
        <v>12</v>
      </c>
      <c r="C185" s="116">
        <v>2.48046875</v>
      </c>
      <c r="D185" s="113">
        <v>0.79374999999999996</v>
      </c>
      <c r="E185" s="70">
        <v>250</v>
      </c>
    </row>
    <row r="186" spans="1:5" x14ac:dyDescent="0.3">
      <c r="A186" s="71" t="s">
        <v>10</v>
      </c>
      <c r="B186" s="71" t="s">
        <v>12</v>
      </c>
      <c r="C186" s="116">
        <v>2.1506399999999997</v>
      </c>
      <c r="D186" s="114">
        <v>0.57999999999999996</v>
      </c>
      <c r="E186" s="71">
        <v>927</v>
      </c>
    </row>
    <row r="187" spans="1:5" x14ac:dyDescent="0.3">
      <c r="A187" s="70" t="s">
        <v>10</v>
      </c>
      <c r="B187" s="70" t="s">
        <v>12</v>
      </c>
      <c r="C187" s="116">
        <v>6.3960330578512394</v>
      </c>
      <c r="D187" s="113">
        <v>0.50909090909090904</v>
      </c>
      <c r="E187" s="70">
        <v>691</v>
      </c>
    </row>
    <row r="188" spans="1:5" x14ac:dyDescent="0.3">
      <c r="A188" s="71" t="s">
        <v>10</v>
      </c>
      <c r="B188" s="71" t="s">
        <v>12</v>
      </c>
      <c r="C188" s="116">
        <v>29.511111111111113</v>
      </c>
      <c r="D188" s="114">
        <v>0.66666666666666663</v>
      </c>
      <c r="E188" s="71">
        <v>1992</v>
      </c>
    </row>
    <row r="189" spans="1:5" x14ac:dyDescent="0.3">
      <c r="A189" s="70" t="s">
        <v>10</v>
      </c>
      <c r="B189" s="70" t="s">
        <v>12</v>
      </c>
      <c r="C189" s="116">
        <v>8.1040816326530614</v>
      </c>
      <c r="D189" s="113">
        <v>0.6785714285714286</v>
      </c>
      <c r="E189" s="70">
        <v>836</v>
      </c>
    </row>
    <row r="190" spans="1:5" x14ac:dyDescent="0.3">
      <c r="A190" s="71" t="s">
        <v>10</v>
      </c>
      <c r="B190" s="71" t="s">
        <v>12</v>
      </c>
      <c r="C190" s="116">
        <v>27.56</v>
      </c>
      <c r="D190" s="114">
        <v>0.7</v>
      </c>
      <c r="E190" s="71">
        <v>1378</v>
      </c>
    </row>
    <row r="191" spans="1:5" x14ac:dyDescent="0.3">
      <c r="A191" s="70" t="s">
        <v>10</v>
      </c>
      <c r="B191" s="70" t="s">
        <v>12</v>
      </c>
      <c r="C191" s="116">
        <v>24.301666666666666</v>
      </c>
      <c r="D191" s="113">
        <v>0.7</v>
      </c>
      <c r="E191" s="70">
        <v>2083</v>
      </c>
    </row>
    <row r="192" spans="1:5" x14ac:dyDescent="0.3">
      <c r="A192" s="71" t="s">
        <v>10</v>
      </c>
      <c r="B192" s="71" t="s">
        <v>12</v>
      </c>
      <c r="C192" s="116">
        <v>27.008000000000003</v>
      </c>
      <c r="D192" s="114">
        <v>0.64</v>
      </c>
      <c r="E192" s="71">
        <v>2110</v>
      </c>
    </row>
    <row r="193" spans="1:5" x14ac:dyDescent="0.3">
      <c r="A193" s="70" t="s">
        <v>10</v>
      </c>
      <c r="B193" s="70" t="s">
        <v>12</v>
      </c>
      <c r="C193" s="116">
        <v>45.54</v>
      </c>
      <c r="D193" s="113">
        <v>0.7</v>
      </c>
      <c r="E193" s="70">
        <v>2277</v>
      </c>
    </row>
    <row r="194" spans="1:5" x14ac:dyDescent="0.3">
      <c r="A194" s="71" t="s">
        <v>10</v>
      </c>
      <c r="B194" s="71" t="s">
        <v>12</v>
      </c>
      <c r="C194" s="116">
        <v>45.275999999999996</v>
      </c>
      <c r="D194" s="114">
        <v>0.7</v>
      </c>
      <c r="E194" s="71">
        <v>3234</v>
      </c>
    </row>
    <row r="195" spans="1:5" x14ac:dyDescent="0.3">
      <c r="A195" s="70" t="s">
        <v>10</v>
      </c>
      <c r="B195" s="70" t="s">
        <v>12</v>
      </c>
      <c r="C195" s="116">
        <v>46.357142857142854</v>
      </c>
      <c r="D195" s="113">
        <v>0.7857142857142857</v>
      </c>
      <c r="E195" s="70">
        <v>4130</v>
      </c>
    </row>
    <row r="196" spans="1:5" x14ac:dyDescent="0.3">
      <c r="A196" s="71" t="s">
        <v>10</v>
      </c>
      <c r="B196" s="71" t="s">
        <v>12</v>
      </c>
      <c r="C196" s="116">
        <v>87.28125</v>
      </c>
      <c r="D196" s="114">
        <v>0.47499999999999998</v>
      </c>
      <c r="E196" s="71">
        <v>7350</v>
      </c>
    </row>
    <row r="197" spans="1:5" x14ac:dyDescent="0.3">
      <c r="A197" s="70" t="s">
        <v>10</v>
      </c>
      <c r="B197" s="70" t="s">
        <v>12</v>
      </c>
      <c r="C197" s="116">
        <v>102.13999999999999</v>
      </c>
      <c r="D197" s="113">
        <v>0.7</v>
      </c>
      <c r="E197" s="70">
        <v>5107</v>
      </c>
    </row>
    <row r="198" spans="1:5" x14ac:dyDescent="0.3">
      <c r="A198" s="71" t="s">
        <v>10</v>
      </c>
      <c r="B198" s="71" t="s">
        <v>12</v>
      </c>
      <c r="C198" s="116">
        <v>71.813553719008269</v>
      </c>
      <c r="D198" s="114">
        <v>0.78181818181818186</v>
      </c>
      <c r="E198" s="71">
        <v>5052</v>
      </c>
    </row>
    <row r="199" spans="1:5" x14ac:dyDescent="0.3">
      <c r="A199" s="70" t="s">
        <v>10</v>
      </c>
      <c r="B199" s="70" t="s">
        <v>12</v>
      </c>
      <c r="C199" s="116">
        <v>114.64462809917354</v>
      </c>
      <c r="D199" s="113">
        <v>0.61818181818181817</v>
      </c>
      <c r="E199" s="70">
        <v>10200</v>
      </c>
    </row>
    <row r="200" spans="1:5" x14ac:dyDescent="0.3">
      <c r="A200" s="71" t="s">
        <v>97</v>
      </c>
      <c r="B200" s="71" t="s">
        <v>96</v>
      </c>
      <c r="C200" s="116">
        <v>0.514892578125</v>
      </c>
      <c r="D200" s="114">
        <v>0.578125</v>
      </c>
      <c r="E200" s="71">
        <v>57</v>
      </c>
    </row>
    <row r="201" spans="1:5" x14ac:dyDescent="0.3">
      <c r="A201" s="70" t="s">
        <v>97</v>
      </c>
      <c r="B201" s="70" t="s">
        <v>96</v>
      </c>
      <c r="C201" s="116">
        <v>8.3199999999999996E-2</v>
      </c>
      <c r="D201" s="113">
        <v>0.48</v>
      </c>
      <c r="E201" s="70">
        <v>13</v>
      </c>
    </row>
    <row r="202" spans="1:5" x14ac:dyDescent="0.3">
      <c r="A202" s="71" t="s">
        <v>97</v>
      </c>
      <c r="B202" s="71" t="s">
        <v>96</v>
      </c>
      <c r="C202" s="116">
        <v>9.994834710743801E-2</v>
      </c>
      <c r="D202" s="114">
        <v>0.48863636363636365</v>
      </c>
      <c r="E202" s="71">
        <v>18</v>
      </c>
    </row>
    <row r="203" spans="1:5" x14ac:dyDescent="0.3">
      <c r="A203" s="70" t="s">
        <v>97</v>
      </c>
      <c r="B203" s="70" t="s">
        <v>96</v>
      </c>
      <c r="C203" s="116">
        <v>0.36000000000000004</v>
      </c>
      <c r="D203" s="113">
        <v>0.45</v>
      </c>
      <c r="E203" s="70">
        <v>48</v>
      </c>
    </row>
    <row r="204" spans="1:5" x14ac:dyDescent="0.3">
      <c r="A204" s="71" t="s">
        <v>97</v>
      </c>
      <c r="B204" s="71" t="s">
        <v>96</v>
      </c>
      <c r="C204" s="116">
        <v>0.25</v>
      </c>
      <c r="D204" s="114">
        <v>0.1</v>
      </c>
      <c r="E204" s="71">
        <v>125</v>
      </c>
    </row>
    <row r="205" spans="1:5" x14ac:dyDescent="0.3">
      <c r="A205" s="70" t="s">
        <v>97</v>
      </c>
      <c r="B205" s="70" t="s">
        <v>96</v>
      </c>
      <c r="C205" s="116">
        <v>0.51674411152058963</v>
      </c>
      <c r="D205" s="113">
        <v>0.54430379746835444</v>
      </c>
      <c r="E205" s="70">
        <v>75</v>
      </c>
    </row>
    <row r="206" spans="1:5" x14ac:dyDescent="0.3">
      <c r="A206" s="71" t="s">
        <v>97</v>
      </c>
      <c r="B206" s="71" t="s">
        <v>96</v>
      </c>
      <c r="C206" s="116">
        <v>7.03125E-2</v>
      </c>
      <c r="D206" s="114">
        <v>6.25E-2</v>
      </c>
      <c r="E206" s="71">
        <v>54</v>
      </c>
    </row>
    <row r="207" spans="1:5" x14ac:dyDescent="0.3">
      <c r="A207" s="70" t="s">
        <v>97</v>
      </c>
      <c r="B207" s="70" t="s">
        <v>96</v>
      </c>
      <c r="C207" s="116">
        <v>0</v>
      </c>
      <c r="D207" s="113">
        <v>0</v>
      </c>
      <c r="E207" s="70">
        <v>97</v>
      </c>
    </row>
    <row r="208" spans="1:5" x14ac:dyDescent="0.3">
      <c r="A208" s="71" t="s">
        <v>97</v>
      </c>
      <c r="B208" s="71" t="s">
        <v>96</v>
      </c>
      <c r="C208" s="116">
        <v>-0.45375000000000004</v>
      </c>
      <c r="D208" s="114">
        <v>-0.27500000000000002</v>
      </c>
      <c r="E208" s="71">
        <v>66</v>
      </c>
    </row>
    <row r="209" spans="1:5" x14ac:dyDescent="0.3">
      <c r="A209" s="70" t="s">
        <v>97</v>
      </c>
      <c r="B209" s="70" t="s">
        <v>96</v>
      </c>
      <c r="C209" s="116">
        <v>0.62131732032276232</v>
      </c>
      <c r="D209" s="113">
        <v>0.58904109589041098</v>
      </c>
      <c r="E209" s="70">
        <v>77</v>
      </c>
    </row>
    <row r="210" spans="1:5" x14ac:dyDescent="0.3">
      <c r="A210" s="71" t="s">
        <v>97</v>
      </c>
      <c r="B210" s="71" t="s">
        <v>96</v>
      </c>
      <c r="C210" s="116">
        <v>1.6</v>
      </c>
      <c r="D210" s="114">
        <v>0.66666666666666663</v>
      </c>
      <c r="E210" s="71">
        <v>108</v>
      </c>
    </row>
    <row r="211" spans="1:5" x14ac:dyDescent="0.3">
      <c r="A211" s="70" t="s">
        <v>97</v>
      </c>
      <c r="B211" s="70" t="s">
        <v>96</v>
      </c>
      <c r="C211" s="116">
        <v>2.2412109375</v>
      </c>
      <c r="D211" s="113">
        <v>0.53125</v>
      </c>
      <c r="E211" s="70">
        <v>135</v>
      </c>
    </row>
    <row r="212" spans="1:5" x14ac:dyDescent="0.3">
      <c r="A212" s="71" t="s">
        <v>97</v>
      </c>
      <c r="B212" s="71" t="s">
        <v>96</v>
      </c>
      <c r="C212" s="116">
        <v>1.453287197231834</v>
      </c>
      <c r="D212" s="114">
        <v>0.52941176470588236</v>
      </c>
      <c r="E212" s="71">
        <v>140</v>
      </c>
    </row>
    <row r="213" spans="1:5" x14ac:dyDescent="0.3">
      <c r="A213" s="70" t="s">
        <v>97</v>
      </c>
      <c r="B213" s="70" t="s">
        <v>96</v>
      </c>
      <c r="C213" s="116">
        <v>0</v>
      </c>
      <c r="D213" s="113">
        <v>0</v>
      </c>
      <c r="E213" s="70">
        <v>184</v>
      </c>
    </row>
    <row r="214" spans="1:5" x14ac:dyDescent="0.3">
      <c r="A214" s="71" t="s">
        <v>97</v>
      </c>
      <c r="B214" s="71" t="s">
        <v>96</v>
      </c>
      <c r="C214" s="116">
        <v>1.3115196491819869</v>
      </c>
      <c r="D214" s="114">
        <v>0.41558441558441561</v>
      </c>
      <c r="E214" s="71">
        <v>243</v>
      </c>
    </row>
    <row r="215" spans="1:5" x14ac:dyDescent="0.3">
      <c r="A215" s="70" t="s">
        <v>97</v>
      </c>
      <c r="B215" s="70" t="s">
        <v>96</v>
      </c>
      <c r="C215" s="116">
        <v>3.2</v>
      </c>
      <c r="D215" s="113">
        <v>0.66666666666666663</v>
      </c>
      <c r="E215" s="70">
        <v>216</v>
      </c>
    </row>
    <row r="216" spans="1:5" x14ac:dyDescent="0.3">
      <c r="A216" s="71" t="s">
        <v>97</v>
      </c>
      <c r="B216" s="71" t="s">
        <v>96</v>
      </c>
      <c r="C216" s="116">
        <v>1.6352000000000002</v>
      </c>
      <c r="D216" s="114">
        <v>0.56000000000000005</v>
      </c>
      <c r="E216" s="71">
        <v>219</v>
      </c>
    </row>
    <row r="217" spans="1:5" x14ac:dyDescent="0.3">
      <c r="A217" s="70" t="s">
        <v>97</v>
      </c>
      <c r="B217" s="70" t="s">
        <v>96</v>
      </c>
      <c r="C217" s="116">
        <v>1.1266666666666667</v>
      </c>
      <c r="D217" s="113">
        <v>0.43333333333333335</v>
      </c>
      <c r="E217" s="70">
        <v>234</v>
      </c>
    </row>
    <row r="218" spans="1:5" x14ac:dyDescent="0.3">
      <c r="A218" s="71" t="s">
        <v>97</v>
      </c>
      <c r="B218" s="71" t="s">
        <v>96</v>
      </c>
      <c r="C218" s="116">
        <v>-0.77142857142857146</v>
      </c>
      <c r="D218" s="114">
        <v>-0.2</v>
      </c>
      <c r="E218" s="71">
        <v>135</v>
      </c>
    </row>
    <row r="219" spans="1:5" x14ac:dyDescent="0.3">
      <c r="A219" s="70" t="s">
        <v>97</v>
      </c>
      <c r="B219" s="70" t="s">
        <v>96</v>
      </c>
      <c r="C219" s="116">
        <v>0.86250000000000004</v>
      </c>
      <c r="D219" s="113">
        <v>0.25</v>
      </c>
      <c r="E219" s="70">
        <v>207</v>
      </c>
    </row>
    <row r="220" spans="1:5" x14ac:dyDescent="0.3">
      <c r="A220" s="71" t="s">
        <v>97</v>
      </c>
      <c r="B220" s="71" t="s">
        <v>96</v>
      </c>
      <c r="C220" s="116">
        <v>1.7535999999999998</v>
      </c>
      <c r="D220" s="114">
        <v>0.48</v>
      </c>
      <c r="E220" s="71">
        <v>274</v>
      </c>
    </row>
    <row r="221" spans="1:5" x14ac:dyDescent="0.3">
      <c r="A221" s="70" t="s">
        <v>97</v>
      </c>
      <c r="B221" s="70" t="s">
        <v>96</v>
      </c>
      <c r="C221" s="116">
        <v>1.1294117647058823</v>
      </c>
      <c r="D221" s="113">
        <v>0.47058823529411764</v>
      </c>
      <c r="E221" s="70">
        <v>204</v>
      </c>
    </row>
    <row r="222" spans="1:5" x14ac:dyDescent="0.3">
      <c r="A222" s="71" t="s">
        <v>97</v>
      </c>
      <c r="B222" s="71" t="s">
        <v>96</v>
      </c>
      <c r="C222" s="116">
        <v>3.5081481481481482</v>
      </c>
      <c r="D222" s="114">
        <v>0.53333333333333333</v>
      </c>
      <c r="E222" s="71">
        <v>296</v>
      </c>
    </row>
    <row r="223" spans="1:5" x14ac:dyDescent="0.3">
      <c r="A223" s="70" t="s">
        <v>97</v>
      </c>
      <c r="B223" s="70" t="s">
        <v>96</v>
      </c>
      <c r="C223" s="116">
        <v>3.5155555555555553</v>
      </c>
      <c r="D223" s="113">
        <v>0.46666666666666667</v>
      </c>
      <c r="E223" s="70">
        <v>339</v>
      </c>
    </row>
    <row r="224" spans="1:5" x14ac:dyDescent="0.3">
      <c r="A224" s="71" t="s">
        <v>97</v>
      </c>
      <c r="B224" s="71" t="s">
        <v>96</v>
      </c>
      <c r="C224" s="116">
        <v>2.4826199367997699</v>
      </c>
      <c r="D224" s="114">
        <v>0.49152542372881358</v>
      </c>
      <c r="E224" s="71">
        <v>298</v>
      </c>
    </row>
    <row r="225" spans="1:5" x14ac:dyDescent="0.3">
      <c r="A225" s="70" t="s">
        <v>97</v>
      </c>
      <c r="B225" s="70" t="s">
        <v>96</v>
      </c>
      <c r="C225" s="116">
        <v>1.0761245674740485</v>
      </c>
      <c r="D225" s="113">
        <v>0.29411764705882354</v>
      </c>
      <c r="E225" s="70">
        <v>311</v>
      </c>
    </row>
    <row r="226" spans="1:5" x14ac:dyDescent="0.3">
      <c r="A226" s="71" t="s">
        <v>97</v>
      </c>
      <c r="B226" s="71" t="s">
        <v>96</v>
      </c>
      <c r="C226" s="116">
        <v>4.6514285714285721</v>
      </c>
      <c r="D226" s="114">
        <v>0.4</v>
      </c>
      <c r="E226" s="71">
        <v>407</v>
      </c>
    </row>
    <row r="227" spans="1:5" x14ac:dyDescent="0.3">
      <c r="A227" s="70" t="s">
        <v>97</v>
      </c>
      <c r="B227" s="70" t="s">
        <v>96</v>
      </c>
      <c r="C227" s="116">
        <v>0.65799999999999992</v>
      </c>
      <c r="D227" s="113">
        <v>0.1</v>
      </c>
      <c r="E227" s="70">
        <v>329</v>
      </c>
    </row>
    <row r="228" spans="1:5" x14ac:dyDescent="0.3">
      <c r="A228" s="71" t="s">
        <v>97</v>
      </c>
      <c r="B228" s="71" t="s">
        <v>96</v>
      </c>
      <c r="C228" s="116">
        <v>6.9666666666666668</v>
      </c>
      <c r="D228" s="114">
        <v>0.5</v>
      </c>
      <c r="E228" s="71">
        <v>418</v>
      </c>
    </row>
    <row r="229" spans="1:5" x14ac:dyDescent="0.3">
      <c r="A229" s="70" t="s">
        <v>97</v>
      </c>
      <c r="B229" s="70" t="s">
        <v>96</v>
      </c>
      <c r="C229" s="116">
        <v>2.9171597633136095</v>
      </c>
      <c r="D229" s="113">
        <v>0.44615384615384618</v>
      </c>
      <c r="E229" s="70">
        <v>425</v>
      </c>
    </row>
    <row r="230" spans="1:5" x14ac:dyDescent="0.3">
      <c r="A230" s="71" t="s">
        <v>97</v>
      </c>
      <c r="B230" s="71" t="s">
        <v>96</v>
      </c>
      <c r="C230" s="116">
        <v>5.3370247933884292</v>
      </c>
      <c r="D230" s="114">
        <v>0.42727272727272725</v>
      </c>
      <c r="E230" s="71">
        <v>687</v>
      </c>
    </row>
    <row r="231" spans="1:5" x14ac:dyDescent="0.3">
      <c r="A231" s="70" t="s">
        <v>97</v>
      </c>
      <c r="B231" s="70" t="s">
        <v>96</v>
      </c>
      <c r="C231" s="116">
        <v>4</v>
      </c>
      <c r="D231" s="113">
        <v>0.4</v>
      </c>
      <c r="E231" s="70">
        <v>450</v>
      </c>
    </row>
    <row r="232" spans="1:5" x14ac:dyDescent="0.3">
      <c r="A232" s="71" t="s">
        <v>97</v>
      </c>
      <c r="B232" s="71" t="s">
        <v>96</v>
      </c>
      <c r="C232" s="116">
        <v>6.75</v>
      </c>
      <c r="D232" s="114">
        <v>0.5</v>
      </c>
      <c r="E232" s="71">
        <v>810</v>
      </c>
    </row>
    <row r="233" spans="1:5" ht="15" thickBot="1" x14ac:dyDescent="0.35">
      <c r="A233" s="72" t="s">
        <v>10</v>
      </c>
      <c r="B233" s="72" t="s">
        <v>41</v>
      </c>
      <c r="C233" s="116">
        <v>1.0493827160493827E-2</v>
      </c>
      <c r="D233" s="115">
        <v>0.37777777777777777</v>
      </c>
      <c r="E233" s="72">
        <v>5</v>
      </c>
    </row>
  </sheetData>
  <pageMargins left="0.7" right="0.7" top="0.75" bottom="0.75" header="0.3" footer="0.3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8D98-5B36-42C1-9ECE-B1B849CB96DB}">
  <dimension ref="A4:B8"/>
  <sheetViews>
    <sheetView zoomScale="85" zoomScaleNormal="85" workbookViewId="0">
      <selection activeCell="B19" sqref="B19"/>
    </sheetView>
  </sheetViews>
  <sheetFormatPr defaultRowHeight="14.4" x14ac:dyDescent="0.3"/>
  <cols>
    <col min="1" max="1" width="17.109375" bestFit="1" customWidth="1"/>
    <col min="2" max="2" width="22.77734375" bestFit="1" customWidth="1"/>
    <col min="3" max="3" width="23.5546875" bestFit="1" customWidth="1"/>
    <col min="4" max="16" width="15.77734375" bestFit="1" customWidth="1"/>
    <col min="17" max="18" width="11.44140625" bestFit="1" customWidth="1"/>
    <col min="19" max="21" width="13.21875" bestFit="1" customWidth="1"/>
    <col min="22" max="22" width="10.6640625" bestFit="1" customWidth="1"/>
    <col min="23" max="23" width="13.5546875" bestFit="1" customWidth="1"/>
    <col min="24" max="24" width="17.21875" bestFit="1" customWidth="1"/>
    <col min="25" max="25" width="13.21875" bestFit="1" customWidth="1"/>
    <col min="26" max="26" width="11.88671875" bestFit="1" customWidth="1"/>
    <col min="27" max="27" width="13.21875" bestFit="1" customWidth="1"/>
    <col min="28" max="28" width="12.5546875" bestFit="1" customWidth="1"/>
    <col min="29" max="29" width="16.6640625" bestFit="1" customWidth="1"/>
    <col min="30" max="30" width="20.33203125" bestFit="1" customWidth="1"/>
    <col min="31" max="31" width="13.21875" bestFit="1" customWidth="1"/>
    <col min="32" max="32" width="16.44140625" bestFit="1" customWidth="1"/>
    <col min="33" max="33" width="13.21875" bestFit="1" customWidth="1"/>
    <col min="34" max="34" width="16.44140625" bestFit="1" customWidth="1"/>
    <col min="35" max="35" width="11.44140625" bestFit="1" customWidth="1"/>
    <col min="36" max="36" width="16.44140625" bestFit="1" customWidth="1"/>
    <col min="37" max="37" width="20.109375" bestFit="1" customWidth="1"/>
    <col min="38" max="38" width="17" bestFit="1" customWidth="1"/>
    <col min="39" max="39" width="20.6640625" bestFit="1" customWidth="1"/>
    <col min="40" max="42" width="20.88671875" bestFit="1" customWidth="1"/>
    <col min="43" max="43" width="24.5546875" bestFit="1" customWidth="1"/>
    <col min="44" max="46" width="24" bestFit="1" customWidth="1"/>
    <col min="47" max="47" width="27.6640625" bestFit="1" customWidth="1"/>
    <col min="48" max="50" width="15.44140625" bestFit="1" customWidth="1"/>
    <col min="51" max="51" width="13.33203125" bestFit="1" customWidth="1"/>
    <col min="52" max="52" width="9.109375" bestFit="1" customWidth="1"/>
    <col min="53" max="53" width="12.5546875" bestFit="1" customWidth="1"/>
    <col min="54" max="55" width="15.88671875" bestFit="1" customWidth="1"/>
    <col min="56" max="56" width="19.5546875" bestFit="1" customWidth="1"/>
    <col min="57" max="57" width="13.6640625" bestFit="1" customWidth="1"/>
    <col min="58" max="58" width="17.33203125" bestFit="1" customWidth="1"/>
    <col min="59" max="59" width="24.6640625" bestFit="1" customWidth="1"/>
    <col min="60" max="60" width="28.33203125" bestFit="1" customWidth="1"/>
    <col min="61" max="61" width="16.5546875" bestFit="1" customWidth="1"/>
    <col min="62" max="62" width="20.21875" bestFit="1" customWidth="1"/>
    <col min="63" max="66" width="27" bestFit="1" customWidth="1"/>
    <col min="67" max="67" width="30.77734375" bestFit="1" customWidth="1"/>
    <col min="68" max="70" width="17.44140625" bestFit="1" customWidth="1"/>
    <col min="71" max="71" width="21.109375" bestFit="1" customWidth="1"/>
    <col min="72" max="74" width="18.77734375" bestFit="1" customWidth="1"/>
    <col min="75" max="75" width="22.5546875" bestFit="1" customWidth="1"/>
    <col min="76" max="76" width="16.33203125" bestFit="1" customWidth="1"/>
    <col min="77" max="77" width="20" bestFit="1" customWidth="1"/>
    <col min="78" max="81" width="19.21875" bestFit="1" customWidth="1"/>
    <col min="82" max="82" width="23" bestFit="1" customWidth="1"/>
    <col min="83" max="86" width="24" bestFit="1" customWidth="1"/>
    <col min="87" max="87" width="27.6640625" bestFit="1" customWidth="1"/>
    <col min="88" max="93" width="23.44140625" bestFit="1" customWidth="1"/>
    <col min="94" max="94" width="27.33203125" bestFit="1" customWidth="1"/>
    <col min="95" max="96" width="31.21875" bestFit="1" customWidth="1"/>
    <col min="97" max="97" width="34.88671875" bestFit="1" customWidth="1"/>
    <col min="98" max="100" width="17" bestFit="1" customWidth="1"/>
    <col min="101" max="101" width="20.6640625" bestFit="1" customWidth="1"/>
    <col min="102" max="105" width="17.6640625" bestFit="1" customWidth="1"/>
    <col min="106" max="106" width="21.33203125" bestFit="1" customWidth="1"/>
    <col min="107" max="112" width="20.6640625" bestFit="1" customWidth="1"/>
    <col min="113" max="113" width="24.33203125" bestFit="1" customWidth="1"/>
    <col min="114" max="118" width="20.6640625" bestFit="1" customWidth="1"/>
    <col min="119" max="119" width="24.33203125" bestFit="1" customWidth="1"/>
    <col min="120" max="123" width="20.6640625" bestFit="1" customWidth="1"/>
    <col min="124" max="124" width="24.33203125" bestFit="1" customWidth="1"/>
    <col min="125" max="128" width="20.6640625" bestFit="1" customWidth="1"/>
    <col min="129" max="129" width="24.33203125" bestFit="1" customWidth="1"/>
    <col min="130" max="135" width="20.109375" bestFit="1" customWidth="1"/>
    <col min="136" max="136" width="23.77734375" bestFit="1" customWidth="1"/>
    <col min="137" max="141" width="23" bestFit="1" customWidth="1"/>
    <col min="142" max="142" width="26.77734375" bestFit="1" customWidth="1"/>
    <col min="143" max="146" width="23" bestFit="1" customWidth="1"/>
    <col min="147" max="147" width="26.77734375" bestFit="1" customWidth="1"/>
    <col min="148" max="151" width="23" bestFit="1" customWidth="1"/>
    <col min="152" max="152" width="26.77734375" bestFit="1" customWidth="1"/>
    <col min="153" max="153" width="17.77734375" bestFit="1" customWidth="1"/>
    <col min="154" max="154" width="21.44140625" bestFit="1" customWidth="1"/>
    <col min="155" max="155" width="11.33203125" bestFit="1" customWidth="1"/>
    <col min="156" max="156" width="15" bestFit="1" customWidth="1"/>
    <col min="157" max="157" width="13.21875" bestFit="1" customWidth="1"/>
    <col min="158" max="158" width="16.88671875" bestFit="1" customWidth="1"/>
    <col min="159" max="159" width="11.33203125" bestFit="1" customWidth="1"/>
    <col min="160" max="160" width="15" bestFit="1" customWidth="1"/>
    <col min="161" max="161" width="9.44140625" bestFit="1" customWidth="1"/>
    <col min="162" max="162" width="12.88671875" bestFit="1" customWidth="1"/>
    <col min="163" max="163" width="22.5546875" bestFit="1" customWidth="1"/>
    <col min="164" max="164" width="26.21875" bestFit="1" customWidth="1"/>
    <col min="165" max="165" width="11.109375" bestFit="1" customWidth="1"/>
    <col min="166" max="166" width="14.77734375" bestFit="1" customWidth="1"/>
    <col min="167" max="167" width="19" bestFit="1" customWidth="1"/>
    <col min="168" max="168" width="22.88671875" bestFit="1" customWidth="1"/>
    <col min="169" max="169" width="9.6640625" bestFit="1" customWidth="1"/>
    <col min="170" max="170" width="13.21875" bestFit="1" customWidth="1"/>
    <col min="171" max="171" width="10.33203125" bestFit="1" customWidth="1"/>
    <col min="172" max="172" width="12.21875" bestFit="1" customWidth="1"/>
    <col min="173" max="173" width="17.44140625" bestFit="1" customWidth="1"/>
    <col min="174" max="174" width="21.109375" bestFit="1" customWidth="1"/>
    <col min="175" max="175" width="12.109375" bestFit="1" customWidth="1"/>
    <col min="176" max="176" width="15.77734375" bestFit="1" customWidth="1"/>
    <col min="177" max="177" width="12.109375" bestFit="1" customWidth="1"/>
    <col min="178" max="178" width="15.77734375" bestFit="1" customWidth="1"/>
    <col min="179" max="179" width="10.33203125" bestFit="1" customWidth="1"/>
    <col min="180" max="180" width="13.6640625" bestFit="1" customWidth="1"/>
    <col min="181" max="181" width="18.5546875" bestFit="1" customWidth="1"/>
    <col min="182" max="182" width="22.33203125" bestFit="1" customWidth="1"/>
    <col min="183" max="183" width="19.21875" bestFit="1" customWidth="1"/>
    <col min="184" max="184" width="23" bestFit="1" customWidth="1"/>
    <col min="185" max="189" width="19.5546875" bestFit="1" customWidth="1"/>
    <col min="190" max="190" width="23.21875" bestFit="1" customWidth="1"/>
    <col min="191" max="195" width="22.21875" bestFit="1" customWidth="1"/>
    <col min="196" max="196" width="25.88671875" bestFit="1" customWidth="1"/>
    <col min="197" max="197" width="14.33203125" bestFit="1" customWidth="1"/>
    <col min="198" max="198" width="18.109375" bestFit="1" customWidth="1"/>
    <col min="199" max="199" width="15.6640625" bestFit="1" customWidth="1"/>
    <col min="200" max="200" width="19.33203125" bestFit="1" customWidth="1"/>
    <col min="201" max="201" width="17.33203125" bestFit="1" customWidth="1"/>
    <col min="202" max="202" width="21" bestFit="1" customWidth="1"/>
    <col min="203" max="203" width="13.77734375" bestFit="1" customWidth="1"/>
    <col min="204" max="204" width="17.44140625" bestFit="1" customWidth="1"/>
    <col min="205" max="205" width="11.44140625" bestFit="1" customWidth="1"/>
  </cols>
  <sheetData>
    <row r="4" spans="1:2" x14ac:dyDescent="0.3">
      <c r="A4" s="13" t="s">
        <v>5</v>
      </c>
      <c r="B4" t="s">
        <v>372</v>
      </c>
    </row>
    <row r="5" spans="1:2" x14ac:dyDescent="0.3">
      <c r="A5" t="s">
        <v>144</v>
      </c>
      <c r="B5" s="58">
        <v>11127</v>
      </c>
    </row>
    <row r="6" spans="1:2" x14ac:dyDescent="0.3">
      <c r="A6" t="s">
        <v>97</v>
      </c>
      <c r="B6" s="58">
        <v>7699</v>
      </c>
    </row>
    <row r="7" spans="1:2" x14ac:dyDescent="0.3">
      <c r="A7" t="s">
        <v>10</v>
      </c>
      <c r="B7" s="58">
        <v>132354</v>
      </c>
    </row>
    <row r="8" spans="1:2" x14ac:dyDescent="0.3">
      <c r="A8" t="s">
        <v>228</v>
      </c>
      <c r="B8" s="58">
        <v>151180</v>
      </c>
    </row>
  </sheetData>
  <pageMargins left="0.7" right="0.7" top="0.75" bottom="0.75" header="0.3" footer="0.3"/>
  <pageSetup paperSize="9" orientation="portrait" horizontalDpi="300" verticalDpi="0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1E16-06A4-4ED5-9143-217DD10E5C06}">
  <dimension ref="A1:L295"/>
  <sheetViews>
    <sheetView topLeftCell="A264" workbookViewId="0">
      <selection activeCell="I272" sqref="I272"/>
    </sheetView>
  </sheetViews>
  <sheetFormatPr defaultRowHeight="14.4" x14ac:dyDescent="0.3"/>
  <cols>
    <col min="1" max="1" width="13.6640625" customWidth="1"/>
    <col min="2" max="2" width="15" customWidth="1"/>
    <col min="3" max="3" width="16.109375" customWidth="1"/>
    <col min="4" max="4" width="15.21875" customWidth="1"/>
    <col min="5" max="5" width="16" customWidth="1"/>
    <col min="6" max="6" width="13.6640625" customWidth="1"/>
    <col min="7" max="7" width="18" customWidth="1"/>
    <col min="8" max="8" width="15" customWidth="1"/>
    <col min="9" max="9" width="14.88671875" customWidth="1"/>
    <col min="10" max="10" width="12.33203125" customWidth="1"/>
    <col min="11" max="11" width="10.88671875" customWidth="1"/>
    <col min="12" max="12" width="23.5546875" customWidth="1"/>
  </cols>
  <sheetData>
    <row r="1" spans="1:9" x14ac:dyDescent="0.3">
      <c r="A1" t="s">
        <v>2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5</v>
      </c>
    </row>
    <row r="2" spans="1:9" hidden="1" x14ac:dyDescent="0.3">
      <c r="A2" t="s">
        <v>9</v>
      </c>
      <c r="B2">
        <v>0</v>
      </c>
      <c r="C2">
        <v>1</v>
      </c>
      <c r="D2">
        <v>0</v>
      </c>
      <c r="E2">
        <v>1</v>
      </c>
      <c r="F2">
        <v>38</v>
      </c>
      <c r="G2">
        <v>0</v>
      </c>
      <c r="H2">
        <v>0</v>
      </c>
      <c r="I2" t="s">
        <v>10</v>
      </c>
    </row>
    <row r="3" spans="1:9" hidden="1" x14ac:dyDescent="0.3">
      <c r="A3" t="s">
        <v>9</v>
      </c>
      <c r="B3">
        <v>0</v>
      </c>
      <c r="C3">
        <v>0</v>
      </c>
      <c r="D3">
        <v>0</v>
      </c>
      <c r="E3">
        <v>0</v>
      </c>
      <c r="F3">
        <v>12</v>
      </c>
      <c r="G3">
        <v>0</v>
      </c>
      <c r="H3">
        <v>0</v>
      </c>
      <c r="I3" t="s">
        <v>10</v>
      </c>
    </row>
    <row r="4" spans="1:9" hidden="1" x14ac:dyDescent="0.3">
      <c r="A4" t="s">
        <v>9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 t="s">
        <v>10</v>
      </c>
    </row>
    <row r="5" spans="1:9" hidden="1" x14ac:dyDescent="0.3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97</v>
      </c>
    </row>
    <row r="6" spans="1:9" hidden="1" x14ac:dyDescent="0.3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97</v>
      </c>
    </row>
    <row r="7" spans="1:9" hidden="1" x14ac:dyDescent="0.3">
      <c r="A7" t="s">
        <v>9</v>
      </c>
      <c r="B7">
        <v>2</v>
      </c>
      <c r="C7">
        <v>34</v>
      </c>
      <c r="D7">
        <v>36</v>
      </c>
      <c r="E7">
        <v>2</v>
      </c>
      <c r="F7">
        <v>0</v>
      </c>
      <c r="G7">
        <v>0</v>
      </c>
      <c r="H7">
        <v>0</v>
      </c>
      <c r="I7" t="s">
        <v>10</v>
      </c>
    </row>
    <row r="8" spans="1:9" hidden="1" x14ac:dyDescent="0.3">
      <c r="A8" t="s">
        <v>9</v>
      </c>
      <c r="B8">
        <v>5</v>
      </c>
      <c r="C8">
        <v>0</v>
      </c>
      <c r="D8">
        <v>0</v>
      </c>
      <c r="E8">
        <v>2</v>
      </c>
      <c r="F8">
        <v>52</v>
      </c>
      <c r="G8">
        <v>0</v>
      </c>
      <c r="H8">
        <v>0</v>
      </c>
      <c r="I8" t="s">
        <v>10</v>
      </c>
    </row>
    <row r="9" spans="1:9" hidden="1" x14ac:dyDescent="0.3">
      <c r="A9" t="s">
        <v>9</v>
      </c>
      <c r="B9">
        <v>5</v>
      </c>
      <c r="C9">
        <v>7</v>
      </c>
      <c r="D9">
        <v>3</v>
      </c>
      <c r="E9">
        <v>8</v>
      </c>
      <c r="F9">
        <v>0</v>
      </c>
      <c r="G9">
        <v>0</v>
      </c>
      <c r="H9">
        <v>0</v>
      </c>
      <c r="I9" t="s">
        <v>144</v>
      </c>
    </row>
    <row r="10" spans="1:9" hidden="1" x14ac:dyDescent="0.3">
      <c r="A10" t="s">
        <v>9</v>
      </c>
      <c r="B10">
        <v>7</v>
      </c>
      <c r="C10">
        <v>2</v>
      </c>
      <c r="D10">
        <v>3</v>
      </c>
      <c r="E10">
        <v>1</v>
      </c>
      <c r="F10">
        <v>8</v>
      </c>
      <c r="G10">
        <v>0</v>
      </c>
      <c r="H10">
        <v>0</v>
      </c>
      <c r="I10" t="s">
        <v>10</v>
      </c>
    </row>
    <row r="11" spans="1:9" hidden="1" x14ac:dyDescent="0.3">
      <c r="A11" t="s">
        <v>9</v>
      </c>
      <c r="B11">
        <v>10</v>
      </c>
      <c r="C11">
        <v>10</v>
      </c>
      <c r="D11">
        <v>12</v>
      </c>
      <c r="E11">
        <v>13</v>
      </c>
      <c r="F11">
        <v>36</v>
      </c>
      <c r="G11">
        <v>34</v>
      </c>
      <c r="H11">
        <v>0</v>
      </c>
      <c r="I11" t="s">
        <v>10</v>
      </c>
    </row>
    <row r="12" spans="1:9" hidden="1" x14ac:dyDescent="0.3">
      <c r="A12" t="s">
        <v>9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144</v>
      </c>
    </row>
    <row r="13" spans="1:9" hidden="1" x14ac:dyDescent="0.3">
      <c r="A13" t="s">
        <v>9</v>
      </c>
      <c r="B13">
        <v>12</v>
      </c>
      <c r="C13">
        <v>12</v>
      </c>
      <c r="D13">
        <v>9</v>
      </c>
      <c r="E13">
        <v>10</v>
      </c>
      <c r="F13">
        <v>13</v>
      </c>
      <c r="G13">
        <v>13</v>
      </c>
      <c r="H13">
        <v>15</v>
      </c>
      <c r="I13" t="s">
        <v>144</v>
      </c>
    </row>
    <row r="14" spans="1:9" hidden="1" x14ac:dyDescent="0.3">
      <c r="A14" t="s">
        <v>9</v>
      </c>
      <c r="B14">
        <v>15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10</v>
      </c>
    </row>
    <row r="15" spans="1:9" hidden="1" x14ac:dyDescent="0.3">
      <c r="A15" t="s">
        <v>9</v>
      </c>
      <c r="B15">
        <v>15</v>
      </c>
      <c r="C15">
        <v>15</v>
      </c>
      <c r="D15">
        <v>7</v>
      </c>
      <c r="E15">
        <v>8</v>
      </c>
      <c r="F15">
        <v>27</v>
      </c>
      <c r="G15">
        <v>12</v>
      </c>
      <c r="H15">
        <v>177</v>
      </c>
      <c r="I15" t="s">
        <v>10</v>
      </c>
    </row>
    <row r="16" spans="1:9" hidden="1" x14ac:dyDescent="0.3">
      <c r="A16" t="s">
        <v>9</v>
      </c>
      <c r="B16">
        <v>15</v>
      </c>
      <c r="C16">
        <v>10</v>
      </c>
      <c r="D16">
        <v>8</v>
      </c>
      <c r="E16">
        <v>10</v>
      </c>
      <c r="F16">
        <v>25</v>
      </c>
      <c r="G16">
        <v>10</v>
      </c>
      <c r="H16">
        <v>3</v>
      </c>
      <c r="I16" t="s">
        <v>144</v>
      </c>
    </row>
    <row r="17" spans="1:9" hidden="1" x14ac:dyDescent="0.3">
      <c r="A17" t="s">
        <v>9</v>
      </c>
      <c r="B17">
        <v>15</v>
      </c>
      <c r="C17">
        <v>17</v>
      </c>
      <c r="D17">
        <v>15</v>
      </c>
      <c r="E17">
        <v>20</v>
      </c>
      <c r="F17">
        <v>35</v>
      </c>
      <c r="G17">
        <v>24</v>
      </c>
      <c r="H17">
        <v>15</v>
      </c>
      <c r="I17" t="s">
        <v>144</v>
      </c>
    </row>
    <row r="18" spans="1:9" hidden="1" x14ac:dyDescent="0.3">
      <c r="A18" t="s">
        <v>9</v>
      </c>
      <c r="B18">
        <v>19</v>
      </c>
      <c r="C18">
        <v>41</v>
      </c>
      <c r="D18">
        <v>40</v>
      </c>
      <c r="E18">
        <v>23</v>
      </c>
      <c r="F18">
        <v>70</v>
      </c>
      <c r="G18">
        <v>22</v>
      </c>
      <c r="H18">
        <v>25</v>
      </c>
      <c r="I18" t="s">
        <v>144</v>
      </c>
    </row>
    <row r="19" spans="1:9" hidden="1" x14ac:dyDescent="0.3">
      <c r="A19" t="s">
        <v>9</v>
      </c>
      <c r="B19">
        <v>20</v>
      </c>
      <c r="C19">
        <v>25</v>
      </c>
      <c r="D19">
        <v>60</v>
      </c>
      <c r="E19">
        <v>45</v>
      </c>
      <c r="F19">
        <v>55</v>
      </c>
      <c r="G19">
        <v>130</v>
      </c>
      <c r="H19">
        <v>0</v>
      </c>
      <c r="I19" t="s">
        <v>144</v>
      </c>
    </row>
    <row r="20" spans="1:9" hidden="1" x14ac:dyDescent="0.3">
      <c r="A20" t="s">
        <v>9</v>
      </c>
      <c r="B20">
        <v>23</v>
      </c>
      <c r="C20">
        <v>20</v>
      </c>
      <c r="D20">
        <v>15</v>
      </c>
      <c r="E20">
        <v>10</v>
      </c>
      <c r="F20">
        <v>13</v>
      </c>
      <c r="G20">
        <v>20</v>
      </c>
      <c r="H20">
        <v>15</v>
      </c>
      <c r="I20" t="s">
        <v>144</v>
      </c>
    </row>
    <row r="21" spans="1:9" hidden="1" x14ac:dyDescent="0.3">
      <c r="A21" t="s">
        <v>9</v>
      </c>
      <c r="B21">
        <v>25</v>
      </c>
      <c r="C21">
        <v>30</v>
      </c>
      <c r="D21">
        <v>10</v>
      </c>
      <c r="E21">
        <v>20</v>
      </c>
      <c r="F21">
        <v>43</v>
      </c>
      <c r="G21">
        <v>55</v>
      </c>
      <c r="H21">
        <v>10</v>
      </c>
      <c r="I21" t="s">
        <v>144</v>
      </c>
    </row>
    <row r="22" spans="1:9" hidden="1" x14ac:dyDescent="0.3">
      <c r="A22" t="s">
        <v>9</v>
      </c>
      <c r="B22">
        <v>32</v>
      </c>
      <c r="C22">
        <v>20</v>
      </c>
      <c r="D22">
        <v>24</v>
      </c>
      <c r="E22">
        <v>49</v>
      </c>
      <c r="F22">
        <v>40</v>
      </c>
      <c r="G22">
        <v>69</v>
      </c>
      <c r="H22">
        <v>59</v>
      </c>
      <c r="I22" t="s">
        <v>10</v>
      </c>
    </row>
    <row r="23" spans="1:9" hidden="1" x14ac:dyDescent="0.3">
      <c r="A23" t="s">
        <v>9</v>
      </c>
      <c r="B23">
        <v>35</v>
      </c>
      <c r="C23">
        <v>55</v>
      </c>
      <c r="D23">
        <v>2</v>
      </c>
      <c r="E23">
        <v>10</v>
      </c>
      <c r="F23">
        <v>62</v>
      </c>
      <c r="G23">
        <v>57</v>
      </c>
      <c r="H23">
        <v>315</v>
      </c>
      <c r="I23" t="s">
        <v>144</v>
      </c>
    </row>
    <row r="24" spans="1:9" hidden="1" x14ac:dyDescent="0.3">
      <c r="A24" t="s">
        <v>9</v>
      </c>
      <c r="B24">
        <v>36</v>
      </c>
      <c r="C24">
        <v>40</v>
      </c>
      <c r="D24">
        <v>45</v>
      </c>
      <c r="E24">
        <v>141</v>
      </c>
      <c r="F24">
        <v>156</v>
      </c>
      <c r="G24">
        <v>73</v>
      </c>
      <c r="H24">
        <v>39</v>
      </c>
      <c r="I24" t="s">
        <v>10</v>
      </c>
    </row>
    <row r="25" spans="1:9" hidden="1" x14ac:dyDescent="0.3">
      <c r="A25" t="s">
        <v>9</v>
      </c>
      <c r="B25">
        <v>36</v>
      </c>
      <c r="C25">
        <v>49</v>
      </c>
      <c r="D25">
        <v>38</v>
      </c>
      <c r="E25">
        <v>69</v>
      </c>
      <c r="F25">
        <v>39</v>
      </c>
      <c r="G25">
        <v>46</v>
      </c>
      <c r="H25">
        <v>8</v>
      </c>
      <c r="I25" t="s">
        <v>10</v>
      </c>
    </row>
    <row r="26" spans="1:9" hidden="1" x14ac:dyDescent="0.3">
      <c r="A26" t="s">
        <v>9</v>
      </c>
      <c r="B26">
        <v>38</v>
      </c>
      <c r="C26">
        <v>16</v>
      </c>
      <c r="D26">
        <v>36</v>
      </c>
      <c r="E26">
        <v>79</v>
      </c>
      <c r="F26">
        <v>23</v>
      </c>
      <c r="G26">
        <v>78</v>
      </c>
      <c r="H26">
        <v>124</v>
      </c>
      <c r="I26" t="s">
        <v>10</v>
      </c>
    </row>
    <row r="27" spans="1:9" hidden="1" x14ac:dyDescent="0.3">
      <c r="A27" t="s">
        <v>9</v>
      </c>
      <c r="B27">
        <v>40</v>
      </c>
      <c r="C27">
        <v>30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144</v>
      </c>
    </row>
    <row r="28" spans="1:9" hidden="1" x14ac:dyDescent="0.3">
      <c r="A28" t="s">
        <v>9</v>
      </c>
      <c r="B28">
        <v>41</v>
      </c>
      <c r="C28">
        <v>106</v>
      </c>
      <c r="D28">
        <v>81</v>
      </c>
      <c r="E28">
        <v>215</v>
      </c>
      <c r="F28">
        <v>255</v>
      </c>
      <c r="G28">
        <v>72</v>
      </c>
      <c r="H28">
        <v>21</v>
      </c>
      <c r="I28" t="s">
        <v>10</v>
      </c>
    </row>
    <row r="29" spans="1:9" hidden="1" x14ac:dyDescent="0.3">
      <c r="A29" t="s">
        <v>9</v>
      </c>
      <c r="B29">
        <v>41</v>
      </c>
      <c r="C29">
        <v>68</v>
      </c>
      <c r="D29">
        <v>183</v>
      </c>
      <c r="E29">
        <v>73</v>
      </c>
      <c r="F29">
        <v>79</v>
      </c>
      <c r="G29">
        <v>314</v>
      </c>
      <c r="H29">
        <v>156</v>
      </c>
      <c r="I29" t="s">
        <v>10</v>
      </c>
    </row>
    <row r="30" spans="1:9" hidden="1" x14ac:dyDescent="0.3">
      <c r="A30" t="s">
        <v>9</v>
      </c>
      <c r="B30">
        <v>45</v>
      </c>
      <c r="C30">
        <v>3</v>
      </c>
      <c r="D30">
        <v>10</v>
      </c>
      <c r="E30">
        <v>21</v>
      </c>
      <c r="F30">
        <v>1</v>
      </c>
      <c r="G30">
        <v>40</v>
      </c>
      <c r="H30">
        <v>41</v>
      </c>
      <c r="I30" t="s">
        <v>10</v>
      </c>
    </row>
    <row r="31" spans="1:9" hidden="1" x14ac:dyDescent="0.3">
      <c r="A31" t="s">
        <v>9</v>
      </c>
      <c r="B31">
        <v>45</v>
      </c>
      <c r="C31">
        <v>50</v>
      </c>
      <c r="D31">
        <v>80</v>
      </c>
      <c r="E31">
        <v>50</v>
      </c>
      <c r="F31">
        <v>120</v>
      </c>
      <c r="G31">
        <v>103</v>
      </c>
      <c r="H31">
        <v>69</v>
      </c>
      <c r="I31" t="s">
        <v>144</v>
      </c>
    </row>
    <row r="32" spans="1:9" hidden="1" x14ac:dyDescent="0.3">
      <c r="A32" t="s">
        <v>9</v>
      </c>
      <c r="B32">
        <v>51</v>
      </c>
      <c r="C32">
        <v>78</v>
      </c>
      <c r="D32">
        <v>193</v>
      </c>
      <c r="E32">
        <v>0</v>
      </c>
      <c r="F32">
        <v>0</v>
      </c>
      <c r="G32">
        <v>0</v>
      </c>
      <c r="H32">
        <v>0</v>
      </c>
      <c r="I32" t="s">
        <v>10</v>
      </c>
    </row>
    <row r="33" spans="1:9" hidden="1" x14ac:dyDescent="0.3">
      <c r="A33" t="s">
        <v>9</v>
      </c>
      <c r="B33">
        <v>58</v>
      </c>
      <c r="C33">
        <v>75</v>
      </c>
      <c r="D33">
        <v>39</v>
      </c>
      <c r="E33">
        <v>16</v>
      </c>
      <c r="F33">
        <v>21</v>
      </c>
      <c r="G33">
        <v>60</v>
      </c>
      <c r="H33">
        <v>64</v>
      </c>
      <c r="I33" t="s">
        <v>10</v>
      </c>
    </row>
    <row r="34" spans="1:9" hidden="1" x14ac:dyDescent="0.3">
      <c r="A34" t="s">
        <v>9</v>
      </c>
      <c r="B34">
        <v>60</v>
      </c>
      <c r="C34">
        <v>68</v>
      </c>
      <c r="D34">
        <v>315</v>
      </c>
      <c r="E34">
        <v>56</v>
      </c>
      <c r="F34">
        <v>132</v>
      </c>
      <c r="G34">
        <v>160</v>
      </c>
      <c r="H34">
        <v>168</v>
      </c>
      <c r="I34" t="s">
        <v>10</v>
      </c>
    </row>
    <row r="35" spans="1:9" hidden="1" x14ac:dyDescent="0.3">
      <c r="A35" t="s">
        <v>9</v>
      </c>
      <c r="B35">
        <v>61</v>
      </c>
      <c r="C35">
        <v>97</v>
      </c>
      <c r="D35">
        <v>29</v>
      </c>
      <c r="E35">
        <v>91</v>
      </c>
      <c r="F35">
        <v>62</v>
      </c>
      <c r="G35">
        <v>419</v>
      </c>
      <c r="H35">
        <v>37</v>
      </c>
      <c r="I35" t="s">
        <v>10</v>
      </c>
    </row>
    <row r="36" spans="1:9" hidden="1" x14ac:dyDescent="0.3">
      <c r="A36" t="s">
        <v>9</v>
      </c>
      <c r="B36">
        <v>62</v>
      </c>
      <c r="C36">
        <v>36</v>
      </c>
      <c r="D36">
        <v>46</v>
      </c>
      <c r="E36">
        <v>34</v>
      </c>
      <c r="F36">
        <v>1</v>
      </c>
      <c r="G36">
        <v>1</v>
      </c>
      <c r="H36">
        <v>4</v>
      </c>
      <c r="I36" t="s">
        <v>10</v>
      </c>
    </row>
    <row r="37" spans="1:9" hidden="1" x14ac:dyDescent="0.3">
      <c r="A37" t="s">
        <v>9</v>
      </c>
      <c r="B37">
        <v>65</v>
      </c>
      <c r="C37">
        <v>50</v>
      </c>
      <c r="D37">
        <v>95</v>
      </c>
      <c r="E37">
        <v>89</v>
      </c>
      <c r="F37">
        <v>66</v>
      </c>
      <c r="G37">
        <v>30</v>
      </c>
      <c r="H37">
        <v>0</v>
      </c>
      <c r="I37" t="s">
        <v>144</v>
      </c>
    </row>
    <row r="38" spans="1:9" hidden="1" x14ac:dyDescent="0.3">
      <c r="A38" t="s">
        <v>9</v>
      </c>
      <c r="B38">
        <v>70</v>
      </c>
      <c r="C38">
        <v>55</v>
      </c>
      <c r="D38">
        <v>30</v>
      </c>
      <c r="E38">
        <v>55</v>
      </c>
      <c r="F38">
        <v>168</v>
      </c>
      <c r="G38">
        <v>213</v>
      </c>
      <c r="H38">
        <v>230</v>
      </c>
      <c r="I38" t="s">
        <v>144</v>
      </c>
    </row>
    <row r="39" spans="1:9" hidden="1" x14ac:dyDescent="0.3">
      <c r="A39" t="s">
        <v>9</v>
      </c>
      <c r="B39">
        <v>80</v>
      </c>
      <c r="C39">
        <v>71</v>
      </c>
      <c r="D39">
        <v>200</v>
      </c>
      <c r="E39">
        <v>114</v>
      </c>
      <c r="F39">
        <v>210</v>
      </c>
      <c r="G39">
        <v>116</v>
      </c>
      <c r="H39">
        <v>408</v>
      </c>
      <c r="I39" t="s">
        <v>10</v>
      </c>
    </row>
    <row r="40" spans="1:9" hidden="1" x14ac:dyDescent="0.3">
      <c r="A40" t="s">
        <v>9</v>
      </c>
      <c r="B40">
        <v>85</v>
      </c>
      <c r="C40">
        <v>34</v>
      </c>
      <c r="D40">
        <v>33</v>
      </c>
      <c r="E40">
        <v>10</v>
      </c>
      <c r="F40">
        <v>0</v>
      </c>
      <c r="G40">
        <v>0</v>
      </c>
      <c r="H40">
        <v>0</v>
      </c>
      <c r="I40" t="s">
        <v>144</v>
      </c>
    </row>
    <row r="41" spans="1:9" hidden="1" x14ac:dyDescent="0.3">
      <c r="A41" t="s">
        <v>9</v>
      </c>
      <c r="B41">
        <v>94</v>
      </c>
      <c r="C41">
        <v>138</v>
      </c>
      <c r="D41">
        <v>124</v>
      </c>
      <c r="E41">
        <v>72</v>
      </c>
      <c r="F41">
        <v>10</v>
      </c>
      <c r="G41">
        <v>0</v>
      </c>
      <c r="H41">
        <v>0</v>
      </c>
      <c r="I41" t="s">
        <v>10</v>
      </c>
    </row>
    <row r="42" spans="1:9" hidden="1" x14ac:dyDescent="0.3">
      <c r="A42" t="s">
        <v>9</v>
      </c>
      <c r="B42">
        <v>112</v>
      </c>
      <c r="C42">
        <v>98</v>
      </c>
      <c r="D42">
        <v>92</v>
      </c>
      <c r="E42">
        <v>235</v>
      </c>
      <c r="F42">
        <v>176</v>
      </c>
      <c r="G42">
        <v>88</v>
      </c>
      <c r="H42">
        <v>28</v>
      </c>
      <c r="I42" t="s">
        <v>10</v>
      </c>
    </row>
    <row r="43" spans="1:9" hidden="1" x14ac:dyDescent="0.3">
      <c r="A43" t="s">
        <v>9</v>
      </c>
      <c r="B43">
        <v>116</v>
      </c>
      <c r="C43">
        <v>164</v>
      </c>
      <c r="D43">
        <v>319</v>
      </c>
      <c r="E43">
        <v>251</v>
      </c>
      <c r="F43">
        <v>207</v>
      </c>
      <c r="G43">
        <v>182</v>
      </c>
      <c r="H43">
        <v>54</v>
      </c>
      <c r="I43" t="s">
        <v>10</v>
      </c>
    </row>
    <row r="44" spans="1:9" hidden="1" x14ac:dyDescent="0.3">
      <c r="A44" t="s">
        <v>9</v>
      </c>
      <c r="B44">
        <v>124</v>
      </c>
      <c r="C44">
        <v>4</v>
      </c>
      <c r="D44">
        <v>127</v>
      </c>
      <c r="E44">
        <v>35</v>
      </c>
      <c r="F44">
        <v>38</v>
      </c>
      <c r="G44">
        <v>12</v>
      </c>
      <c r="H44">
        <v>0</v>
      </c>
      <c r="I44" t="s">
        <v>10</v>
      </c>
    </row>
    <row r="45" spans="1:9" hidden="1" x14ac:dyDescent="0.3">
      <c r="A45" t="s">
        <v>9</v>
      </c>
      <c r="B45">
        <v>163</v>
      </c>
      <c r="C45">
        <v>33</v>
      </c>
      <c r="D45">
        <v>68</v>
      </c>
      <c r="E45">
        <v>32</v>
      </c>
      <c r="F45">
        <v>138</v>
      </c>
      <c r="G45">
        <v>386</v>
      </c>
      <c r="H45">
        <v>233</v>
      </c>
      <c r="I45" t="s">
        <v>10</v>
      </c>
    </row>
    <row r="46" spans="1:9" hidden="1" x14ac:dyDescent="0.3">
      <c r="A46" t="s">
        <v>9</v>
      </c>
      <c r="B46">
        <v>200</v>
      </c>
      <c r="C46">
        <v>233</v>
      </c>
      <c r="D46">
        <v>150</v>
      </c>
      <c r="E46">
        <v>200</v>
      </c>
      <c r="F46">
        <v>148</v>
      </c>
      <c r="G46">
        <v>150</v>
      </c>
      <c r="H46">
        <v>170</v>
      </c>
      <c r="I46" t="s">
        <v>144</v>
      </c>
    </row>
    <row r="47" spans="1:9" hidden="1" x14ac:dyDescent="0.3">
      <c r="A47" t="s">
        <v>9</v>
      </c>
      <c r="B47">
        <v>230</v>
      </c>
      <c r="C47">
        <v>215</v>
      </c>
      <c r="D47">
        <v>150</v>
      </c>
      <c r="E47">
        <v>20</v>
      </c>
      <c r="F47">
        <v>80</v>
      </c>
      <c r="G47">
        <v>40</v>
      </c>
      <c r="H47">
        <v>50</v>
      </c>
      <c r="I47" t="s">
        <v>144</v>
      </c>
    </row>
    <row r="48" spans="1:9" hidden="1" x14ac:dyDescent="0.3">
      <c r="A48" t="s">
        <v>9</v>
      </c>
      <c r="B48">
        <v>268</v>
      </c>
      <c r="C48">
        <v>253</v>
      </c>
      <c r="D48">
        <v>178</v>
      </c>
      <c r="E48">
        <v>360</v>
      </c>
      <c r="F48">
        <v>816</v>
      </c>
      <c r="G48">
        <v>410</v>
      </c>
      <c r="H48">
        <v>301</v>
      </c>
      <c r="I48" t="s">
        <v>10</v>
      </c>
    </row>
    <row r="49" spans="1:9" hidden="1" x14ac:dyDescent="0.3">
      <c r="A49" t="s">
        <v>9</v>
      </c>
      <c r="B49">
        <v>299</v>
      </c>
      <c r="C49">
        <v>83</v>
      </c>
      <c r="D49">
        <v>176</v>
      </c>
      <c r="E49">
        <v>400</v>
      </c>
      <c r="F49">
        <v>427</v>
      </c>
      <c r="G49">
        <v>459</v>
      </c>
      <c r="H49">
        <v>369</v>
      </c>
      <c r="I49" t="s">
        <v>10</v>
      </c>
    </row>
    <row r="50" spans="1:9" hidden="1" x14ac:dyDescent="0.3">
      <c r="A50" t="s">
        <v>9</v>
      </c>
      <c r="B50">
        <v>315</v>
      </c>
      <c r="C50">
        <v>467</v>
      </c>
      <c r="D50">
        <v>580</v>
      </c>
      <c r="E50">
        <v>443</v>
      </c>
      <c r="F50">
        <v>521</v>
      </c>
      <c r="G50">
        <v>342</v>
      </c>
      <c r="H50">
        <v>155</v>
      </c>
      <c r="I50" t="s">
        <v>144</v>
      </c>
    </row>
    <row r="51" spans="1:9" hidden="1" x14ac:dyDescent="0.3">
      <c r="A51" t="s">
        <v>9</v>
      </c>
      <c r="B51">
        <v>332</v>
      </c>
      <c r="C51">
        <v>280</v>
      </c>
      <c r="D51">
        <v>309</v>
      </c>
      <c r="E51">
        <v>280</v>
      </c>
      <c r="F51">
        <v>255</v>
      </c>
      <c r="G51">
        <v>244</v>
      </c>
      <c r="H51">
        <v>158</v>
      </c>
      <c r="I51" t="s">
        <v>144</v>
      </c>
    </row>
    <row r="52" spans="1:9" hidden="1" x14ac:dyDescent="0.3">
      <c r="A52" t="s">
        <v>9</v>
      </c>
      <c r="B52">
        <v>382</v>
      </c>
      <c r="C52">
        <v>425</v>
      </c>
      <c r="D52">
        <v>323</v>
      </c>
      <c r="E52">
        <v>238</v>
      </c>
      <c r="F52">
        <v>484</v>
      </c>
      <c r="G52">
        <v>394</v>
      </c>
      <c r="H52">
        <v>213</v>
      </c>
      <c r="I52" t="s">
        <v>10</v>
      </c>
    </row>
    <row r="53" spans="1:9" hidden="1" x14ac:dyDescent="0.3">
      <c r="A53" t="s">
        <v>9</v>
      </c>
      <c r="B53">
        <v>405</v>
      </c>
      <c r="C53">
        <v>534</v>
      </c>
      <c r="D53">
        <v>987</v>
      </c>
      <c r="E53">
        <v>1917</v>
      </c>
      <c r="F53">
        <v>1047</v>
      </c>
      <c r="G53">
        <v>326</v>
      </c>
      <c r="H53">
        <v>857</v>
      </c>
      <c r="I53" t="s">
        <v>10</v>
      </c>
    </row>
    <row r="54" spans="1:9" hidden="1" x14ac:dyDescent="0.3">
      <c r="A54" t="s">
        <v>9</v>
      </c>
      <c r="B54">
        <v>487</v>
      </c>
      <c r="C54">
        <v>450</v>
      </c>
      <c r="D54">
        <v>954</v>
      </c>
      <c r="E54">
        <v>25</v>
      </c>
      <c r="F54">
        <v>0</v>
      </c>
      <c r="G54">
        <v>0</v>
      </c>
      <c r="H54">
        <v>0</v>
      </c>
      <c r="I54" t="s">
        <v>144</v>
      </c>
    </row>
    <row r="55" spans="1:9" hidden="1" x14ac:dyDescent="0.3">
      <c r="A55" t="s">
        <v>9</v>
      </c>
      <c r="B55">
        <v>527</v>
      </c>
      <c r="C55">
        <v>203</v>
      </c>
      <c r="D55">
        <v>395</v>
      </c>
      <c r="E55">
        <v>499</v>
      </c>
      <c r="F55">
        <v>915</v>
      </c>
      <c r="G55">
        <v>230</v>
      </c>
      <c r="H55">
        <v>532</v>
      </c>
      <c r="I55" t="s">
        <v>10</v>
      </c>
    </row>
    <row r="56" spans="1:9" hidden="1" x14ac:dyDescent="0.3">
      <c r="A56" t="s">
        <v>9</v>
      </c>
      <c r="B56">
        <v>604</v>
      </c>
      <c r="C56">
        <v>339</v>
      </c>
      <c r="D56">
        <v>853</v>
      </c>
      <c r="E56">
        <v>2331</v>
      </c>
      <c r="F56">
        <v>1049</v>
      </c>
      <c r="G56">
        <v>326</v>
      </c>
      <c r="H56">
        <v>708</v>
      </c>
      <c r="I56" t="s">
        <v>10</v>
      </c>
    </row>
    <row r="57" spans="1:9" hidden="1" x14ac:dyDescent="0.3">
      <c r="A57" t="s">
        <v>9</v>
      </c>
      <c r="B57">
        <v>728</v>
      </c>
      <c r="C57">
        <v>871</v>
      </c>
      <c r="D57">
        <v>913</v>
      </c>
      <c r="E57">
        <v>1800</v>
      </c>
      <c r="F57">
        <v>1315</v>
      </c>
      <c r="G57">
        <v>577</v>
      </c>
      <c r="H57">
        <v>573</v>
      </c>
      <c r="I57" t="s">
        <v>10</v>
      </c>
    </row>
    <row r="58" spans="1:9" hidden="1" x14ac:dyDescent="0.3">
      <c r="A58" t="s">
        <v>9</v>
      </c>
      <c r="B58">
        <v>787</v>
      </c>
      <c r="C58">
        <v>478</v>
      </c>
      <c r="D58">
        <v>1235</v>
      </c>
      <c r="E58">
        <v>1450</v>
      </c>
      <c r="F58">
        <v>1728</v>
      </c>
      <c r="G58">
        <v>1182</v>
      </c>
      <c r="H58">
        <v>999</v>
      </c>
      <c r="I58" t="s">
        <v>10</v>
      </c>
    </row>
    <row r="59" spans="1:9" hidden="1" x14ac:dyDescent="0.3">
      <c r="A59" t="s">
        <v>9</v>
      </c>
      <c r="B59">
        <v>962</v>
      </c>
      <c r="C59">
        <v>1465</v>
      </c>
      <c r="D59">
        <v>1334</v>
      </c>
      <c r="E59">
        <v>2383</v>
      </c>
      <c r="F59">
        <v>1525</v>
      </c>
      <c r="G59">
        <v>1582</v>
      </c>
      <c r="H59">
        <v>1539</v>
      </c>
      <c r="I59" t="s">
        <v>10</v>
      </c>
    </row>
    <row r="60" spans="1:9" hidden="1" x14ac:dyDescent="0.3">
      <c r="A60" t="s">
        <v>9</v>
      </c>
      <c r="B60">
        <v>1064</v>
      </c>
      <c r="C60">
        <v>1153</v>
      </c>
      <c r="D60">
        <v>1979</v>
      </c>
      <c r="E60">
        <v>2901</v>
      </c>
      <c r="F60">
        <v>2434</v>
      </c>
      <c r="G60">
        <v>1693</v>
      </c>
      <c r="H60">
        <v>1311</v>
      </c>
      <c r="I60" t="s">
        <v>10</v>
      </c>
    </row>
    <row r="61" spans="1:9" hidden="1" x14ac:dyDescent="0.3">
      <c r="A61" t="s">
        <v>9</v>
      </c>
      <c r="B61">
        <v>2132</v>
      </c>
      <c r="C61">
        <v>2648</v>
      </c>
      <c r="D61">
        <v>2712</v>
      </c>
      <c r="E61">
        <v>1775</v>
      </c>
      <c r="F61">
        <v>2302</v>
      </c>
      <c r="G61">
        <v>2250</v>
      </c>
      <c r="H61">
        <v>2532</v>
      </c>
      <c r="I61" t="s">
        <v>10</v>
      </c>
    </row>
    <row r="62" spans="1:9" hidden="1" x14ac:dyDescent="0.3">
      <c r="A62" t="s">
        <v>28</v>
      </c>
      <c r="B62">
        <v>496</v>
      </c>
      <c r="C62">
        <v>557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10</v>
      </c>
    </row>
    <row r="63" spans="1:9" hidden="1" x14ac:dyDescent="0.3">
      <c r="A63" t="s">
        <v>17</v>
      </c>
      <c r="B63">
        <v>530</v>
      </c>
      <c r="C63">
        <v>135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10</v>
      </c>
    </row>
    <row r="64" spans="1:9" hidden="1" x14ac:dyDescent="0.3">
      <c r="A64" t="s">
        <v>17</v>
      </c>
      <c r="B64">
        <v>0</v>
      </c>
      <c r="C64">
        <v>89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10</v>
      </c>
    </row>
    <row r="65" spans="1:9" hidden="1" x14ac:dyDescent="0.3">
      <c r="A65" t="s">
        <v>21</v>
      </c>
      <c r="B65">
        <v>135</v>
      </c>
      <c r="C65">
        <v>78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10</v>
      </c>
    </row>
    <row r="66" spans="1:9" hidden="1" x14ac:dyDescent="0.3">
      <c r="A66" t="s">
        <v>17</v>
      </c>
      <c r="B66">
        <v>76</v>
      </c>
      <c r="C66">
        <v>55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10</v>
      </c>
    </row>
    <row r="67" spans="1:9" hidden="1" x14ac:dyDescent="0.3">
      <c r="A67" t="s">
        <v>14</v>
      </c>
      <c r="B67">
        <v>135</v>
      </c>
      <c r="C67">
        <v>46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10</v>
      </c>
    </row>
    <row r="68" spans="1:9" hidden="1" x14ac:dyDescent="0.3">
      <c r="A68" t="s">
        <v>17</v>
      </c>
      <c r="B68">
        <v>55</v>
      </c>
      <c r="C68">
        <v>45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10</v>
      </c>
    </row>
    <row r="69" spans="1:9" hidden="1" x14ac:dyDescent="0.3">
      <c r="A69" t="s">
        <v>21</v>
      </c>
      <c r="B69">
        <v>57</v>
      </c>
      <c r="C69">
        <v>35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10</v>
      </c>
    </row>
    <row r="70" spans="1:9" hidden="1" x14ac:dyDescent="0.3">
      <c r="A70" t="s">
        <v>38</v>
      </c>
      <c r="B70">
        <v>23</v>
      </c>
      <c r="C70">
        <v>35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10</v>
      </c>
    </row>
    <row r="71" spans="1:9" hidden="1" x14ac:dyDescent="0.3">
      <c r="A71" t="s">
        <v>96</v>
      </c>
      <c r="B71">
        <v>79</v>
      </c>
      <c r="C71">
        <v>29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97</v>
      </c>
    </row>
    <row r="72" spans="1:9" hidden="1" x14ac:dyDescent="0.3">
      <c r="A72" t="s">
        <v>17</v>
      </c>
      <c r="B72">
        <v>53</v>
      </c>
      <c r="C72">
        <v>28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10</v>
      </c>
    </row>
    <row r="73" spans="1:9" hidden="1" x14ac:dyDescent="0.3">
      <c r="A73" t="s">
        <v>21</v>
      </c>
      <c r="B73">
        <v>26</v>
      </c>
      <c r="C73">
        <v>25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10</v>
      </c>
    </row>
    <row r="74" spans="1:9" hidden="1" x14ac:dyDescent="0.3">
      <c r="A74" t="s">
        <v>17</v>
      </c>
      <c r="B74">
        <v>35</v>
      </c>
      <c r="C74">
        <v>23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10</v>
      </c>
    </row>
    <row r="75" spans="1:9" hidden="1" x14ac:dyDescent="0.3">
      <c r="A75" t="s">
        <v>21</v>
      </c>
      <c r="B75">
        <v>53</v>
      </c>
      <c r="C75">
        <v>21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10</v>
      </c>
    </row>
    <row r="76" spans="1:9" hidden="1" x14ac:dyDescent="0.3">
      <c r="A76" t="s">
        <v>25</v>
      </c>
      <c r="B76">
        <v>23</v>
      </c>
      <c r="C76">
        <v>15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10</v>
      </c>
    </row>
    <row r="77" spans="1:9" hidden="1" x14ac:dyDescent="0.3">
      <c r="A77" t="s">
        <v>13</v>
      </c>
      <c r="B77">
        <v>6</v>
      </c>
      <c r="C77">
        <v>15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10</v>
      </c>
    </row>
    <row r="78" spans="1:9" hidden="1" x14ac:dyDescent="0.3">
      <c r="A78" t="s">
        <v>17</v>
      </c>
      <c r="B78">
        <v>33</v>
      </c>
      <c r="C78">
        <v>15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10</v>
      </c>
    </row>
    <row r="79" spans="1:9" hidden="1" x14ac:dyDescent="0.3">
      <c r="A79" t="s">
        <v>17</v>
      </c>
      <c r="B79">
        <v>35</v>
      </c>
      <c r="C79">
        <v>14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10</v>
      </c>
    </row>
    <row r="80" spans="1:9" hidden="1" x14ac:dyDescent="0.3">
      <c r="A80" t="s">
        <v>43</v>
      </c>
      <c r="B80">
        <v>0</v>
      </c>
      <c r="C80">
        <v>13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10</v>
      </c>
    </row>
    <row r="81" spans="1:9" x14ac:dyDescent="0.3">
      <c r="A81" t="s">
        <v>20</v>
      </c>
      <c r="B81">
        <v>26</v>
      </c>
      <c r="C81">
        <v>13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10</v>
      </c>
    </row>
    <row r="82" spans="1:9" hidden="1" x14ac:dyDescent="0.3">
      <c r="A82" t="s">
        <v>17</v>
      </c>
      <c r="B82">
        <v>13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10</v>
      </c>
    </row>
    <row r="83" spans="1:9" hidden="1" x14ac:dyDescent="0.3">
      <c r="A83" t="s">
        <v>17</v>
      </c>
      <c r="B83">
        <v>13</v>
      </c>
      <c r="C83">
        <v>10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10</v>
      </c>
    </row>
    <row r="84" spans="1:9" hidden="1" x14ac:dyDescent="0.3">
      <c r="A84" t="s">
        <v>22</v>
      </c>
      <c r="B84">
        <v>15</v>
      </c>
      <c r="C84">
        <v>8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10</v>
      </c>
    </row>
    <row r="85" spans="1:9" hidden="1" x14ac:dyDescent="0.3">
      <c r="A85" t="s">
        <v>96</v>
      </c>
      <c r="B85">
        <v>70</v>
      </c>
      <c r="C85">
        <v>7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97</v>
      </c>
    </row>
    <row r="86" spans="1:9" hidden="1" x14ac:dyDescent="0.3">
      <c r="A86" t="s">
        <v>43</v>
      </c>
      <c r="B86">
        <v>0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10</v>
      </c>
    </row>
    <row r="87" spans="1:9" hidden="1" x14ac:dyDescent="0.3">
      <c r="A87" t="s">
        <v>43</v>
      </c>
      <c r="B87">
        <v>0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10</v>
      </c>
    </row>
    <row r="88" spans="1:9" hidden="1" x14ac:dyDescent="0.3">
      <c r="A88" t="s">
        <v>43</v>
      </c>
      <c r="B88">
        <v>0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10</v>
      </c>
    </row>
    <row r="89" spans="1:9" hidden="1" x14ac:dyDescent="0.3">
      <c r="A89" t="s">
        <v>43</v>
      </c>
      <c r="B89">
        <v>28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10</v>
      </c>
    </row>
    <row r="90" spans="1:9" hidden="1" x14ac:dyDescent="0.3">
      <c r="A90" t="s">
        <v>38</v>
      </c>
      <c r="B90">
        <v>0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10</v>
      </c>
    </row>
    <row r="91" spans="1:9" hidden="1" x14ac:dyDescent="0.3">
      <c r="A91" t="s">
        <v>33</v>
      </c>
      <c r="B91">
        <v>0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10</v>
      </c>
    </row>
    <row r="92" spans="1:9" hidden="1" x14ac:dyDescent="0.3">
      <c r="A92" t="s">
        <v>13</v>
      </c>
      <c r="B92">
        <v>0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10</v>
      </c>
    </row>
    <row r="93" spans="1:9" hidden="1" x14ac:dyDescent="0.3">
      <c r="A93" t="s">
        <v>17</v>
      </c>
      <c r="B93">
        <v>0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10</v>
      </c>
    </row>
    <row r="94" spans="1:9" hidden="1" x14ac:dyDescent="0.3">
      <c r="A94" t="s">
        <v>14</v>
      </c>
      <c r="B94">
        <v>0</v>
      </c>
      <c r="C94">
        <v>5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10</v>
      </c>
    </row>
    <row r="95" spans="1:9" hidden="1" x14ac:dyDescent="0.3">
      <c r="A95" t="s">
        <v>14</v>
      </c>
      <c r="B95">
        <v>23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10</v>
      </c>
    </row>
    <row r="96" spans="1:9" hidden="1" x14ac:dyDescent="0.3">
      <c r="A96" t="s">
        <v>43</v>
      </c>
      <c r="B96">
        <v>0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10</v>
      </c>
    </row>
    <row r="97" spans="1:9" hidden="1" x14ac:dyDescent="0.3">
      <c r="A97" t="s">
        <v>43</v>
      </c>
      <c r="B97">
        <v>0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10</v>
      </c>
    </row>
    <row r="98" spans="1:9" hidden="1" x14ac:dyDescent="0.3">
      <c r="A98" t="s">
        <v>21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10</v>
      </c>
    </row>
    <row r="99" spans="1:9" hidden="1" x14ac:dyDescent="0.3">
      <c r="A99" t="s">
        <v>38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10</v>
      </c>
    </row>
    <row r="100" spans="1:9" hidden="1" x14ac:dyDescent="0.3">
      <c r="A100" t="s">
        <v>38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10</v>
      </c>
    </row>
    <row r="101" spans="1:9" hidden="1" x14ac:dyDescent="0.3">
      <c r="A101" t="s">
        <v>38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10</v>
      </c>
    </row>
    <row r="102" spans="1:9" hidden="1" x14ac:dyDescent="0.3">
      <c r="A102" t="s">
        <v>96</v>
      </c>
      <c r="B102">
        <v>134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97</v>
      </c>
    </row>
    <row r="103" spans="1:9" hidden="1" x14ac:dyDescent="0.3">
      <c r="A103" t="s">
        <v>43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10</v>
      </c>
    </row>
    <row r="104" spans="1:9" hidden="1" x14ac:dyDescent="0.3">
      <c r="A104" t="s">
        <v>43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10</v>
      </c>
    </row>
    <row r="105" spans="1:9" hidden="1" x14ac:dyDescent="0.3">
      <c r="A105" t="s">
        <v>43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10</v>
      </c>
    </row>
    <row r="106" spans="1:9" hidden="1" x14ac:dyDescent="0.3">
      <c r="A106" t="s">
        <v>43</v>
      </c>
      <c r="B106">
        <v>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10</v>
      </c>
    </row>
    <row r="107" spans="1:9" hidden="1" x14ac:dyDescent="0.3">
      <c r="A107" t="s">
        <v>43</v>
      </c>
      <c r="B107">
        <v>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10</v>
      </c>
    </row>
    <row r="108" spans="1:9" hidden="1" x14ac:dyDescent="0.3">
      <c r="A108" t="s">
        <v>43</v>
      </c>
      <c r="B108">
        <v>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10</v>
      </c>
    </row>
    <row r="109" spans="1:9" hidden="1" x14ac:dyDescent="0.3">
      <c r="A109" t="s">
        <v>21</v>
      </c>
      <c r="B109">
        <v>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10</v>
      </c>
    </row>
    <row r="110" spans="1:9" hidden="1" x14ac:dyDescent="0.3">
      <c r="A110" t="s">
        <v>21</v>
      </c>
      <c r="B110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10</v>
      </c>
    </row>
    <row r="111" spans="1:9" hidden="1" x14ac:dyDescent="0.3">
      <c r="A111" t="s">
        <v>25</v>
      </c>
      <c r="B111">
        <v>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10</v>
      </c>
    </row>
    <row r="112" spans="1:9" hidden="1" x14ac:dyDescent="0.3">
      <c r="A112" t="s">
        <v>25</v>
      </c>
      <c r="B112">
        <v>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10</v>
      </c>
    </row>
    <row r="113" spans="1:9" hidden="1" x14ac:dyDescent="0.3">
      <c r="A113" t="s">
        <v>25</v>
      </c>
      <c r="B113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10</v>
      </c>
    </row>
    <row r="114" spans="1:9" hidden="1" x14ac:dyDescent="0.3">
      <c r="A114" t="s">
        <v>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97</v>
      </c>
    </row>
    <row r="115" spans="1:9" hidden="1" x14ac:dyDescent="0.3">
      <c r="A115" t="s">
        <v>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97</v>
      </c>
    </row>
    <row r="116" spans="1:9" hidden="1" x14ac:dyDescent="0.3">
      <c r="A116" t="s">
        <v>38</v>
      </c>
      <c r="B116">
        <v>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10</v>
      </c>
    </row>
    <row r="117" spans="1:9" hidden="1" x14ac:dyDescent="0.3">
      <c r="A117" t="s">
        <v>38</v>
      </c>
      <c r="B117">
        <v>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10</v>
      </c>
    </row>
    <row r="118" spans="1:9" hidden="1" x14ac:dyDescent="0.3">
      <c r="A118" t="s">
        <v>38</v>
      </c>
      <c r="B118">
        <v>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10</v>
      </c>
    </row>
    <row r="119" spans="1:9" hidden="1" x14ac:dyDescent="0.3">
      <c r="A119" t="s">
        <v>13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10</v>
      </c>
    </row>
    <row r="120" spans="1:9" hidden="1" x14ac:dyDescent="0.3">
      <c r="A120" t="s">
        <v>17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10</v>
      </c>
    </row>
    <row r="121" spans="1:9" hidden="1" x14ac:dyDescent="0.3">
      <c r="A121" t="s">
        <v>17</v>
      </c>
      <c r="B121">
        <v>42</v>
      </c>
      <c r="C121">
        <v>47</v>
      </c>
      <c r="D121">
        <v>12</v>
      </c>
      <c r="E121">
        <v>7</v>
      </c>
      <c r="F121">
        <v>71</v>
      </c>
      <c r="G121">
        <v>29</v>
      </c>
      <c r="H121">
        <v>31</v>
      </c>
      <c r="I121" t="s">
        <v>10</v>
      </c>
    </row>
    <row r="122" spans="1:9" hidden="1" x14ac:dyDescent="0.3">
      <c r="A122" t="s">
        <v>17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10</v>
      </c>
    </row>
    <row r="123" spans="1:9" hidden="1" x14ac:dyDescent="0.3">
      <c r="A123" t="s">
        <v>17</v>
      </c>
      <c r="B123">
        <v>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10</v>
      </c>
    </row>
    <row r="124" spans="1:9" hidden="1" x14ac:dyDescent="0.3">
      <c r="A124" t="s">
        <v>17</v>
      </c>
      <c r="B124">
        <v>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10</v>
      </c>
    </row>
    <row r="125" spans="1:9" hidden="1" x14ac:dyDescent="0.3">
      <c r="A125" t="s">
        <v>17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10</v>
      </c>
    </row>
    <row r="126" spans="1:9" hidden="1" x14ac:dyDescent="0.3">
      <c r="A126" t="s">
        <v>17</v>
      </c>
      <c r="B126">
        <v>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10</v>
      </c>
    </row>
    <row r="127" spans="1:9" hidden="1" x14ac:dyDescent="0.3">
      <c r="A127" t="s">
        <v>17</v>
      </c>
      <c r="B127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10</v>
      </c>
    </row>
    <row r="128" spans="1:9" hidden="1" x14ac:dyDescent="0.3">
      <c r="A128" t="s">
        <v>17</v>
      </c>
      <c r="B128">
        <v>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10</v>
      </c>
    </row>
    <row r="129" spans="1:9" hidden="1" x14ac:dyDescent="0.3">
      <c r="A129" t="s">
        <v>17</v>
      </c>
      <c r="B129">
        <v>25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10</v>
      </c>
    </row>
    <row r="130" spans="1:9" hidden="1" x14ac:dyDescent="0.3">
      <c r="A130" t="s">
        <v>17</v>
      </c>
      <c r="B130">
        <v>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10</v>
      </c>
    </row>
    <row r="131" spans="1:9" hidden="1" x14ac:dyDescent="0.3">
      <c r="A131" t="s">
        <v>17</v>
      </c>
      <c r="B131">
        <v>35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10</v>
      </c>
    </row>
    <row r="132" spans="1:9" hidden="1" x14ac:dyDescent="0.3">
      <c r="A132" t="s">
        <v>17</v>
      </c>
      <c r="B132">
        <v>55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10</v>
      </c>
    </row>
    <row r="133" spans="1:9" hidden="1" x14ac:dyDescent="0.3">
      <c r="A133" t="s">
        <v>14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10</v>
      </c>
    </row>
    <row r="134" spans="1:9" hidden="1" x14ac:dyDescent="0.3">
      <c r="A134" t="s">
        <v>12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10</v>
      </c>
    </row>
    <row r="135" spans="1:9" hidden="1" x14ac:dyDescent="0.3">
      <c r="A135" t="s">
        <v>12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10</v>
      </c>
    </row>
    <row r="136" spans="1:9" hidden="1" x14ac:dyDescent="0.3">
      <c r="A136" t="s">
        <v>12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10</v>
      </c>
    </row>
    <row r="137" spans="1:9" hidden="1" x14ac:dyDescent="0.3">
      <c r="A137" t="s">
        <v>12</v>
      </c>
      <c r="B137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10</v>
      </c>
    </row>
    <row r="138" spans="1:9" hidden="1" x14ac:dyDescent="0.3">
      <c r="A138" t="s">
        <v>12</v>
      </c>
      <c r="B138">
        <v>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10</v>
      </c>
    </row>
    <row r="139" spans="1:9" hidden="1" x14ac:dyDescent="0.3">
      <c r="A139" t="s">
        <v>12</v>
      </c>
      <c r="B139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10</v>
      </c>
    </row>
    <row r="140" spans="1:9" hidden="1" x14ac:dyDescent="0.3">
      <c r="A140" t="s">
        <v>12</v>
      </c>
      <c r="B140">
        <v>10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10</v>
      </c>
    </row>
    <row r="141" spans="1:9" hidden="1" x14ac:dyDescent="0.3">
      <c r="A141" t="s">
        <v>12</v>
      </c>
      <c r="B141">
        <v>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10</v>
      </c>
    </row>
    <row r="142" spans="1:9" hidden="1" x14ac:dyDescent="0.3">
      <c r="A142" t="s">
        <v>12</v>
      </c>
      <c r="B142">
        <v>10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10</v>
      </c>
    </row>
    <row r="143" spans="1:9" hidden="1" x14ac:dyDescent="0.3">
      <c r="A143" t="s">
        <v>12</v>
      </c>
      <c r="B143">
        <v>24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10</v>
      </c>
    </row>
    <row r="144" spans="1:9" hidden="1" x14ac:dyDescent="0.3">
      <c r="A144" t="s">
        <v>12</v>
      </c>
      <c r="B144">
        <v>25</v>
      </c>
      <c r="C144">
        <v>30</v>
      </c>
      <c r="D144">
        <v>23</v>
      </c>
      <c r="E144">
        <v>22</v>
      </c>
      <c r="F144">
        <v>35</v>
      </c>
      <c r="G144">
        <v>135</v>
      </c>
      <c r="H144">
        <v>142</v>
      </c>
      <c r="I144" t="s">
        <v>10</v>
      </c>
    </row>
    <row r="145" spans="1:9" hidden="1" x14ac:dyDescent="0.3">
      <c r="A145" t="s">
        <v>12</v>
      </c>
      <c r="B145">
        <v>40</v>
      </c>
      <c r="C145">
        <v>33</v>
      </c>
      <c r="D145">
        <v>45</v>
      </c>
      <c r="E145">
        <v>20</v>
      </c>
      <c r="F145">
        <v>15</v>
      </c>
      <c r="G145">
        <v>55</v>
      </c>
      <c r="H145">
        <v>46</v>
      </c>
      <c r="I145" t="s">
        <v>10</v>
      </c>
    </row>
    <row r="146" spans="1:9" hidden="1" x14ac:dyDescent="0.3">
      <c r="A146" t="s">
        <v>12</v>
      </c>
      <c r="B146">
        <v>40</v>
      </c>
      <c r="C146">
        <v>32</v>
      </c>
      <c r="D146">
        <v>45</v>
      </c>
      <c r="E146">
        <v>13</v>
      </c>
      <c r="F146">
        <v>25</v>
      </c>
      <c r="G146">
        <v>66</v>
      </c>
      <c r="H146">
        <v>45</v>
      </c>
      <c r="I146" t="s">
        <v>10</v>
      </c>
    </row>
    <row r="147" spans="1:9" hidden="1" x14ac:dyDescent="0.3">
      <c r="A147" t="s">
        <v>12</v>
      </c>
      <c r="B147">
        <v>45</v>
      </c>
      <c r="C147">
        <v>35</v>
      </c>
      <c r="D147">
        <v>30</v>
      </c>
      <c r="E147">
        <v>20</v>
      </c>
      <c r="F147">
        <v>15</v>
      </c>
      <c r="G147">
        <v>50</v>
      </c>
      <c r="H147">
        <v>45</v>
      </c>
      <c r="I147" t="s">
        <v>10</v>
      </c>
    </row>
    <row r="148" spans="1:9" hidden="1" x14ac:dyDescent="0.3">
      <c r="A148" t="s">
        <v>12</v>
      </c>
      <c r="B148">
        <v>66</v>
      </c>
      <c r="C148">
        <v>35</v>
      </c>
      <c r="D148">
        <v>12</v>
      </c>
      <c r="E148">
        <v>15</v>
      </c>
      <c r="F148">
        <v>33</v>
      </c>
      <c r="G148">
        <v>50</v>
      </c>
      <c r="H148">
        <v>45</v>
      </c>
      <c r="I148" t="s">
        <v>10</v>
      </c>
    </row>
    <row r="149" spans="1:9" hidden="1" x14ac:dyDescent="0.3">
      <c r="A149" t="s">
        <v>12</v>
      </c>
      <c r="B149">
        <v>68</v>
      </c>
      <c r="C149">
        <v>55</v>
      </c>
      <c r="D149">
        <v>20</v>
      </c>
      <c r="E149">
        <v>25</v>
      </c>
      <c r="F149">
        <v>30</v>
      </c>
      <c r="G149">
        <v>44</v>
      </c>
      <c r="H149">
        <v>10</v>
      </c>
      <c r="I149" t="s">
        <v>10</v>
      </c>
    </row>
    <row r="150" spans="1:9" hidden="1" x14ac:dyDescent="0.3">
      <c r="A150" t="s">
        <v>12</v>
      </c>
      <c r="B150">
        <v>87</v>
      </c>
      <c r="C150">
        <v>65</v>
      </c>
      <c r="D150">
        <v>50</v>
      </c>
      <c r="E150">
        <v>67</v>
      </c>
      <c r="F150">
        <v>50</v>
      </c>
      <c r="G150">
        <v>35</v>
      </c>
      <c r="H150">
        <v>55</v>
      </c>
      <c r="I150" t="s">
        <v>10</v>
      </c>
    </row>
    <row r="151" spans="1:9" hidden="1" x14ac:dyDescent="0.3">
      <c r="A151" t="s">
        <v>12</v>
      </c>
      <c r="B151">
        <v>135</v>
      </c>
      <c r="C151">
        <v>100</v>
      </c>
      <c r="D151">
        <v>87</v>
      </c>
      <c r="E151">
        <v>15</v>
      </c>
      <c r="F151">
        <v>57</v>
      </c>
      <c r="G151">
        <v>180</v>
      </c>
      <c r="H151">
        <v>167</v>
      </c>
      <c r="I151" t="s">
        <v>10</v>
      </c>
    </row>
    <row r="152" spans="1:9" hidden="1" x14ac:dyDescent="0.3">
      <c r="A152" t="s">
        <v>12</v>
      </c>
      <c r="B152">
        <v>158</v>
      </c>
      <c r="C152">
        <v>113</v>
      </c>
      <c r="D152">
        <v>250</v>
      </c>
      <c r="E152">
        <v>0</v>
      </c>
      <c r="F152">
        <v>0</v>
      </c>
      <c r="G152">
        <v>0</v>
      </c>
      <c r="H152">
        <v>0</v>
      </c>
      <c r="I152" t="s">
        <v>10</v>
      </c>
    </row>
    <row r="153" spans="1:9" hidden="1" x14ac:dyDescent="0.3">
      <c r="A153" t="s">
        <v>12</v>
      </c>
      <c r="B153">
        <v>180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10</v>
      </c>
    </row>
    <row r="154" spans="1:9" hidden="1" x14ac:dyDescent="0.3">
      <c r="A154" t="s">
        <v>12</v>
      </c>
      <c r="B154">
        <v>189</v>
      </c>
      <c r="C154">
        <v>144</v>
      </c>
      <c r="D154">
        <v>64</v>
      </c>
      <c r="E154">
        <v>0</v>
      </c>
      <c r="F154">
        <v>87</v>
      </c>
      <c r="G154">
        <v>153</v>
      </c>
      <c r="H154">
        <v>145</v>
      </c>
      <c r="I154" t="s">
        <v>10</v>
      </c>
    </row>
    <row r="155" spans="1:9" hidden="1" x14ac:dyDescent="0.3">
      <c r="A155" t="s">
        <v>12</v>
      </c>
      <c r="B155">
        <v>200</v>
      </c>
      <c r="C155">
        <v>45</v>
      </c>
      <c r="D155">
        <v>5</v>
      </c>
      <c r="E155">
        <v>0</v>
      </c>
      <c r="F155">
        <v>0</v>
      </c>
      <c r="G155">
        <v>0</v>
      </c>
      <c r="H155">
        <v>0</v>
      </c>
      <c r="I155" t="s">
        <v>10</v>
      </c>
    </row>
    <row r="156" spans="1:9" hidden="1" x14ac:dyDescent="0.3">
      <c r="A156" t="s">
        <v>12</v>
      </c>
      <c r="B156">
        <v>230</v>
      </c>
      <c r="C156">
        <v>187</v>
      </c>
      <c r="D156">
        <v>135</v>
      </c>
      <c r="E156">
        <v>87</v>
      </c>
      <c r="F156">
        <v>53</v>
      </c>
      <c r="G156">
        <v>235</v>
      </c>
      <c r="H156">
        <v>200</v>
      </c>
      <c r="I156" t="s">
        <v>10</v>
      </c>
    </row>
    <row r="157" spans="1:9" hidden="1" x14ac:dyDescent="0.3">
      <c r="A157" t="s">
        <v>12</v>
      </c>
      <c r="B157">
        <v>230</v>
      </c>
      <c r="C157">
        <v>185</v>
      </c>
      <c r="D157">
        <v>74</v>
      </c>
      <c r="E157">
        <v>67</v>
      </c>
      <c r="F157">
        <v>55</v>
      </c>
      <c r="G157">
        <v>80</v>
      </c>
      <c r="H157">
        <v>250</v>
      </c>
      <c r="I157" t="s">
        <v>10</v>
      </c>
    </row>
    <row r="158" spans="1:9" hidden="1" x14ac:dyDescent="0.3">
      <c r="A158" t="s">
        <v>12</v>
      </c>
      <c r="B158">
        <v>342</v>
      </c>
      <c r="C158">
        <v>280</v>
      </c>
      <c r="D158">
        <v>133</v>
      </c>
      <c r="E158">
        <v>200</v>
      </c>
      <c r="F158">
        <v>187</v>
      </c>
      <c r="G158">
        <v>850</v>
      </c>
      <c r="H158">
        <v>345</v>
      </c>
      <c r="I158" t="s">
        <v>10</v>
      </c>
    </row>
    <row r="159" spans="1:9" hidden="1" x14ac:dyDescent="0.3">
      <c r="A159" t="s">
        <v>12</v>
      </c>
      <c r="B159">
        <v>360</v>
      </c>
      <c r="C159">
        <v>245</v>
      </c>
      <c r="D159">
        <v>133</v>
      </c>
      <c r="E159">
        <v>88</v>
      </c>
      <c r="F159">
        <v>10</v>
      </c>
      <c r="G159">
        <v>0</v>
      </c>
      <c r="H159">
        <v>0</v>
      </c>
      <c r="I159" t="s">
        <v>10</v>
      </c>
    </row>
    <row r="160" spans="1:9" hidden="1" x14ac:dyDescent="0.3">
      <c r="A160" t="s">
        <v>12</v>
      </c>
      <c r="B160">
        <v>433</v>
      </c>
      <c r="C160">
        <v>350</v>
      </c>
      <c r="D160">
        <v>235</v>
      </c>
      <c r="E160">
        <v>170</v>
      </c>
      <c r="F160">
        <v>55</v>
      </c>
      <c r="G160">
        <v>135</v>
      </c>
      <c r="H160">
        <v>120</v>
      </c>
      <c r="I160" t="s">
        <v>10</v>
      </c>
    </row>
    <row r="161" spans="1:9" hidden="1" x14ac:dyDescent="0.3">
      <c r="A161" t="s">
        <v>12</v>
      </c>
      <c r="B161">
        <v>444</v>
      </c>
      <c r="C161">
        <v>294</v>
      </c>
      <c r="D161">
        <v>180</v>
      </c>
      <c r="E161">
        <v>222</v>
      </c>
      <c r="F161">
        <v>493</v>
      </c>
      <c r="G161">
        <v>450</v>
      </c>
      <c r="H161">
        <v>0</v>
      </c>
      <c r="I161" t="s">
        <v>10</v>
      </c>
    </row>
    <row r="162" spans="1:9" hidden="1" x14ac:dyDescent="0.3">
      <c r="A162" t="s">
        <v>12</v>
      </c>
      <c r="B162">
        <v>450</v>
      </c>
      <c r="C162">
        <v>300</v>
      </c>
      <c r="D162">
        <v>230</v>
      </c>
      <c r="E162">
        <v>200</v>
      </c>
      <c r="F162">
        <v>225</v>
      </c>
      <c r="G162">
        <v>705</v>
      </c>
      <c r="H162">
        <v>680</v>
      </c>
      <c r="I162" t="s">
        <v>10</v>
      </c>
    </row>
    <row r="163" spans="1:9" hidden="1" x14ac:dyDescent="0.3">
      <c r="A163" t="s">
        <v>12</v>
      </c>
      <c r="B163">
        <v>530</v>
      </c>
      <c r="C163">
        <v>480</v>
      </c>
      <c r="D163">
        <v>257</v>
      </c>
      <c r="E163">
        <v>200</v>
      </c>
      <c r="F163">
        <v>230</v>
      </c>
      <c r="G163">
        <v>580</v>
      </c>
      <c r="H163">
        <v>578</v>
      </c>
      <c r="I163" t="s">
        <v>10</v>
      </c>
    </row>
    <row r="164" spans="1:9" hidden="1" x14ac:dyDescent="0.3">
      <c r="A164" t="s">
        <v>12</v>
      </c>
      <c r="B164">
        <v>860</v>
      </c>
      <c r="C164">
        <v>744</v>
      </c>
      <c r="D164">
        <v>343</v>
      </c>
      <c r="E164">
        <v>320</v>
      </c>
      <c r="F164">
        <v>287</v>
      </c>
      <c r="G164">
        <v>680</v>
      </c>
      <c r="H164">
        <v>623</v>
      </c>
      <c r="I164" t="s">
        <v>10</v>
      </c>
    </row>
    <row r="165" spans="1:9" hidden="1" x14ac:dyDescent="0.3">
      <c r="A165" t="s">
        <v>12</v>
      </c>
      <c r="B165">
        <v>890</v>
      </c>
      <c r="C165">
        <v>765</v>
      </c>
      <c r="D165">
        <v>521</v>
      </c>
      <c r="E165">
        <v>220</v>
      </c>
      <c r="F165">
        <v>349</v>
      </c>
      <c r="G165">
        <v>1385</v>
      </c>
      <c r="H165">
        <v>1290</v>
      </c>
      <c r="I165" t="s">
        <v>10</v>
      </c>
    </row>
    <row r="166" spans="1:9" hidden="1" x14ac:dyDescent="0.3">
      <c r="A166" t="s">
        <v>12</v>
      </c>
      <c r="B166">
        <v>1300</v>
      </c>
      <c r="C166">
        <v>1250</v>
      </c>
      <c r="D166">
        <v>800</v>
      </c>
      <c r="E166">
        <v>750</v>
      </c>
      <c r="F166">
        <v>1200</v>
      </c>
      <c r="G166">
        <v>2050</v>
      </c>
      <c r="H166">
        <v>1980</v>
      </c>
      <c r="I166" t="s">
        <v>10</v>
      </c>
    </row>
    <row r="167" spans="1:9" hidden="1" x14ac:dyDescent="0.3">
      <c r="A167" t="s">
        <v>12</v>
      </c>
      <c r="B167">
        <v>1350</v>
      </c>
      <c r="C167">
        <v>1200</v>
      </c>
      <c r="D167">
        <v>567</v>
      </c>
      <c r="E167">
        <v>200</v>
      </c>
      <c r="F167">
        <v>540</v>
      </c>
      <c r="G167">
        <v>1250</v>
      </c>
      <c r="H167">
        <v>890</v>
      </c>
      <c r="I167" t="s">
        <v>10</v>
      </c>
    </row>
    <row r="168" spans="1:9" hidden="1" x14ac:dyDescent="0.3">
      <c r="A168" t="s">
        <v>12</v>
      </c>
      <c r="B168">
        <v>1450</v>
      </c>
      <c r="C168">
        <v>834</v>
      </c>
      <c r="D168">
        <v>620</v>
      </c>
      <c r="E168">
        <v>348</v>
      </c>
      <c r="F168">
        <v>930</v>
      </c>
      <c r="G168">
        <v>870</v>
      </c>
      <c r="H168">
        <v>850</v>
      </c>
      <c r="I168" t="s">
        <v>10</v>
      </c>
    </row>
    <row r="169" spans="1:9" hidden="1" x14ac:dyDescent="0.3">
      <c r="A169" t="s">
        <v>12</v>
      </c>
      <c r="B169">
        <v>1578</v>
      </c>
      <c r="C169">
        <v>1450</v>
      </c>
      <c r="D169">
        <v>1135</v>
      </c>
      <c r="E169">
        <v>957</v>
      </c>
      <c r="F169">
        <v>2300</v>
      </c>
      <c r="G169">
        <v>2780</v>
      </c>
      <c r="H169">
        <v>2800</v>
      </c>
      <c r="I169" t="s">
        <v>10</v>
      </c>
    </row>
    <row r="170" spans="1:9" hidden="1" x14ac:dyDescent="0.3">
      <c r="A170" t="s">
        <v>96</v>
      </c>
      <c r="B170">
        <v>7</v>
      </c>
      <c r="C170">
        <v>25</v>
      </c>
      <c r="D170">
        <v>25</v>
      </c>
      <c r="E170">
        <v>0</v>
      </c>
      <c r="F170">
        <v>0</v>
      </c>
      <c r="G170">
        <v>0</v>
      </c>
      <c r="H170">
        <v>0</v>
      </c>
      <c r="I170" t="s">
        <v>97</v>
      </c>
    </row>
    <row r="171" spans="1:9" hidden="1" x14ac:dyDescent="0.3">
      <c r="A171" t="s">
        <v>14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10</v>
      </c>
    </row>
    <row r="172" spans="1:9" hidden="1" x14ac:dyDescent="0.3">
      <c r="A172" t="s">
        <v>14</v>
      </c>
      <c r="B172">
        <v>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10</v>
      </c>
    </row>
    <row r="173" spans="1:9" hidden="1" x14ac:dyDescent="0.3">
      <c r="A173" t="s">
        <v>96</v>
      </c>
      <c r="B173">
        <v>24</v>
      </c>
      <c r="C173">
        <v>21</v>
      </c>
      <c r="D173">
        <v>3</v>
      </c>
      <c r="E173">
        <v>0</v>
      </c>
      <c r="F173">
        <v>0</v>
      </c>
      <c r="G173">
        <v>0</v>
      </c>
      <c r="H173">
        <v>0</v>
      </c>
      <c r="I173" t="s">
        <v>97</v>
      </c>
    </row>
    <row r="174" spans="1:9" hidden="1" x14ac:dyDescent="0.3">
      <c r="A174" t="s">
        <v>96</v>
      </c>
      <c r="B174">
        <v>35</v>
      </c>
      <c r="C174">
        <v>85</v>
      </c>
      <c r="D174">
        <v>5</v>
      </c>
      <c r="E174">
        <v>0</v>
      </c>
      <c r="F174">
        <v>0</v>
      </c>
      <c r="G174">
        <v>0</v>
      </c>
      <c r="H174">
        <v>0</v>
      </c>
      <c r="I174" t="s">
        <v>97</v>
      </c>
    </row>
    <row r="175" spans="1:9" hidden="1" x14ac:dyDescent="0.3">
      <c r="A175" t="s">
        <v>96</v>
      </c>
      <c r="B175">
        <v>35</v>
      </c>
      <c r="C175">
        <v>35</v>
      </c>
      <c r="D175">
        <v>5</v>
      </c>
      <c r="E175">
        <v>0</v>
      </c>
      <c r="F175">
        <v>0</v>
      </c>
      <c r="G175">
        <v>0</v>
      </c>
      <c r="H175">
        <v>0</v>
      </c>
      <c r="I175" t="s">
        <v>97</v>
      </c>
    </row>
    <row r="176" spans="1:9" hidden="1" x14ac:dyDescent="0.3">
      <c r="A176" t="s">
        <v>14</v>
      </c>
      <c r="B176">
        <v>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10</v>
      </c>
    </row>
    <row r="177" spans="1:9" hidden="1" x14ac:dyDescent="0.3">
      <c r="A177" t="s">
        <v>96</v>
      </c>
      <c r="B177">
        <v>55</v>
      </c>
      <c r="C177">
        <v>35</v>
      </c>
      <c r="D177">
        <v>7</v>
      </c>
      <c r="E177">
        <v>0</v>
      </c>
      <c r="F177">
        <v>0</v>
      </c>
      <c r="G177">
        <v>0</v>
      </c>
      <c r="H177">
        <v>0</v>
      </c>
      <c r="I177" t="s">
        <v>97</v>
      </c>
    </row>
    <row r="178" spans="1:9" hidden="1" x14ac:dyDescent="0.3">
      <c r="A178" t="s">
        <v>96</v>
      </c>
      <c r="B178">
        <v>60</v>
      </c>
      <c r="C178">
        <v>5</v>
      </c>
      <c r="D178">
        <v>1</v>
      </c>
      <c r="E178">
        <v>0</v>
      </c>
      <c r="F178">
        <v>0</v>
      </c>
      <c r="G178">
        <v>0</v>
      </c>
      <c r="H178">
        <v>0</v>
      </c>
      <c r="I178" t="s">
        <v>97</v>
      </c>
    </row>
    <row r="179" spans="1:9" hidden="1" x14ac:dyDescent="0.3">
      <c r="A179" t="s">
        <v>96</v>
      </c>
      <c r="B179">
        <v>13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97</v>
      </c>
    </row>
    <row r="180" spans="1:9" hidden="1" x14ac:dyDescent="0.3">
      <c r="A180" t="s">
        <v>96</v>
      </c>
      <c r="B180">
        <v>18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97</v>
      </c>
    </row>
    <row r="181" spans="1:9" hidden="1" x14ac:dyDescent="0.3">
      <c r="A181" t="s">
        <v>96</v>
      </c>
      <c r="B181">
        <v>82</v>
      </c>
      <c r="C181">
        <v>33</v>
      </c>
      <c r="D181">
        <v>20</v>
      </c>
      <c r="E181">
        <v>0</v>
      </c>
      <c r="F181">
        <v>0</v>
      </c>
      <c r="G181">
        <v>0</v>
      </c>
      <c r="H181">
        <v>0</v>
      </c>
      <c r="I181" t="s">
        <v>97</v>
      </c>
    </row>
    <row r="182" spans="1:9" hidden="1" x14ac:dyDescent="0.3">
      <c r="A182" t="s">
        <v>96</v>
      </c>
      <c r="B182">
        <v>90</v>
      </c>
      <c r="C182">
        <v>35</v>
      </c>
      <c r="D182">
        <v>15</v>
      </c>
      <c r="E182">
        <v>0</v>
      </c>
      <c r="F182">
        <v>0</v>
      </c>
      <c r="G182">
        <v>0</v>
      </c>
      <c r="H182">
        <v>0</v>
      </c>
      <c r="I182" t="s">
        <v>97</v>
      </c>
    </row>
    <row r="183" spans="1:9" hidden="1" x14ac:dyDescent="0.3">
      <c r="A183" t="s">
        <v>96</v>
      </c>
      <c r="B183">
        <v>103</v>
      </c>
      <c r="C183">
        <v>77</v>
      </c>
      <c r="D183">
        <v>4</v>
      </c>
      <c r="E183">
        <v>0</v>
      </c>
      <c r="F183">
        <v>0</v>
      </c>
      <c r="G183">
        <v>0</v>
      </c>
      <c r="H183">
        <v>0</v>
      </c>
      <c r="I183" t="s">
        <v>97</v>
      </c>
    </row>
    <row r="184" spans="1:9" hidden="1" x14ac:dyDescent="0.3">
      <c r="A184" t="s">
        <v>96</v>
      </c>
      <c r="B184">
        <v>109</v>
      </c>
      <c r="C184">
        <v>102</v>
      </c>
      <c r="D184">
        <v>32</v>
      </c>
      <c r="E184">
        <v>0</v>
      </c>
      <c r="F184">
        <v>0</v>
      </c>
      <c r="G184">
        <v>0</v>
      </c>
      <c r="H184">
        <v>0</v>
      </c>
      <c r="I184" t="s">
        <v>97</v>
      </c>
    </row>
    <row r="185" spans="1:9" hidden="1" x14ac:dyDescent="0.3">
      <c r="A185" t="s">
        <v>96</v>
      </c>
      <c r="B185">
        <v>122</v>
      </c>
      <c r="C185">
        <v>91</v>
      </c>
      <c r="D185">
        <v>3</v>
      </c>
      <c r="E185">
        <v>0</v>
      </c>
      <c r="F185">
        <v>0</v>
      </c>
      <c r="G185">
        <v>0</v>
      </c>
      <c r="H185">
        <v>0</v>
      </c>
      <c r="I185" t="s">
        <v>97</v>
      </c>
    </row>
    <row r="186" spans="1:9" hidden="1" x14ac:dyDescent="0.3">
      <c r="A186" t="s">
        <v>96</v>
      </c>
      <c r="B186">
        <v>130</v>
      </c>
      <c r="C186">
        <v>77</v>
      </c>
      <c r="D186">
        <v>12</v>
      </c>
      <c r="E186">
        <v>0</v>
      </c>
      <c r="F186">
        <v>0</v>
      </c>
      <c r="G186">
        <v>0</v>
      </c>
      <c r="H186">
        <v>0</v>
      </c>
      <c r="I186" t="s">
        <v>97</v>
      </c>
    </row>
    <row r="187" spans="1:9" hidden="1" x14ac:dyDescent="0.3">
      <c r="A187" t="s">
        <v>96</v>
      </c>
      <c r="B187">
        <v>133</v>
      </c>
      <c r="C187">
        <v>93</v>
      </c>
      <c r="D187">
        <v>8</v>
      </c>
      <c r="E187">
        <v>0</v>
      </c>
      <c r="F187">
        <v>0</v>
      </c>
      <c r="G187">
        <v>0</v>
      </c>
      <c r="H187">
        <v>0</v>
      </c>
      <c r="I187" t="s">
        <v>97</v>
      </c>
    </row>
    <row r="188" spans="1:9" hidden="1" x14ac:dyDescent="0.3">
      <c r="A188" t="s">
        <v>96</v>
      </c>
      <c r="B188">
        <v>54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97</v>
      </c>
    </row>
    <row r="189" spans="1:9" hidden="1" x14ac:dyDescent="0.3">
      <c r="A189" t="s">
        <v>96</v>
      </c>
      <c r="B189">
        <v>135</v>
      </c>
      <c r="C189">
        <v>65</v>
      </c>
      <c r="D189">
        <v>7</v>
      </c>
      <c r="E189">
        <v>0</v>
      </c>
      <c r="F189">
        <v>0</v>
      </c>
      <c r="G189">
        <v>0</v>
      </c>
      <c r="H189">
        <v>0</v>
      </c>
      <c r="I189" t="s">
        <v>97</v>
      </c>
    </row>
    <row r="190" spans="1:9" hidden="1" x14ac:dyDescent="0.3">
      <c r="A190" t="s">
        <v>96</v>
      </c>
      <c r="B190">
        <v>147</v>
      </c>
      <c r="C190">
        <v>110</v>
      </c>
      <c r="D190">
        <v>17</v>
      </c>
      <c r="E190">
        <v>0</v>
      </c>
      <c r="F190">
        <v>0</v>
      </c>
      <c r="G190">
        <v>0</v>
      </c>
      <c r="H190">
        <v>0</v>
      </c>
      <c r="I190" t="s">
        <v>97</v>
      </c>
    </row>
    <row r="191" spans="1:9" hidden="1" x14ac:dyDescent="0.3">
      <c r="A191" t="s">
        <v>96</v>
      </c>
      <c r="B191">
        <v>150</v>
      </c>
      <c r="C191">
        <v>50</v>
      </c>
      <c r="D191">
        <v>4</v>
      </c>
      <c r="E191">
        <v>0</v>
      </c>
      <c r="F191">
        <v>0</v>
      </c>
      <c r="G191">
        <v>0</v>
      </c>
      <c r="H191">
        <v>0</v>
      </c>
      <c r="I191" t="s">
        <v>97</v>
      </c>
    </row>
    <row r="192" spans="1:9" hidden="1" x14ac:dyDescent="0.3">
      <c r="A192" t="s">
        <v>96</v>
      </c>
      <c r="B192">
        <v>153</v>
      </c>
      <c r="C192">
        <v>93</v>
      </c>
      <c r="D192">
        <v>50</v>
      </c>
      <c r="E192">
        <v>0</v>
      </c>
      <c r="F192">
        <v>0</v>
      </c>
      <c r="G192">
        <v>0</v>
      </c>
      <c r="H192">
        <v>0</v>
      </c>
      <c r="I192" t="s">
        <v>97</v>
      </c>
    </row>
    <row r="193" spans="1:9" hidden="1" x14ac:dyDescent="0.3">
      <c r="A193" t="s">
        <v>96</v>
      </c>
      <c r="B193">
        <v>173</v>
      </c>
      <c r="C193">
        <v>91</v>
      </c>
      <c r="D193">
        <v>75</v>
      </c>
      <c r="E193">
        <v>0</v>
      </c>
      <c r="F193">
        <v>0</v>
      </c>
      <c r="G193">
        <v>0</v>
      </c>
      <c r="H193">
        <v>0</v>
      </c>
      <c r="I193" t="s">
        <v>97</v>
      </c>
    </row>
    <row r="194" spans="1:9" hidden="1" x14ac:dyDescent="0.3">
      <c r="A194" t="s">
        <v>96</v>
      </c>
      <c r="B194">
        <v>194</v>
      </c>
      <c r="C194">
        <v>102</v>
      </c>
      <c r="D194">
        <v>2</v>
      </c>
      <c r="E194">
        <v>0</v>
      </c>
      <c r="F194">
        <v>0</v>
      </c>
      <c r="G194">
        <v>0</v>
      </c>
      <c r="H194">
        <v>0</v>
      </c>
      <c r="I194" t="s">
        <v>97</v>
      </c>
    </row>
    <row r="195" spans="1:9" hidden="1" x14ac:dyDescent="0.3">
      <c r="A195" t="s">
        <v>96</v>
      </c>
      <c r="B195">
        <v>208</v>
      </c>
      <c r="C195">
        <v>83</v>
      </c>
      <c r="D195">
        <v>20</v>
      </c>
      <c r="E195">
        <v>0</v>
      </c>
      <c r="F195">
        <v>0</v>
      </c>
      <c r="G195">
        <v>0</v>
      </c>
      <c r="H195">
        <v>0</v>
      </c>
      <c r="I195" t="s">
        <v>97</v>
      </c>
    </row>
    <row r="196" spans="1:9" hidden="1" x14ac:dyDescent="0.3">
      <c r="A196" t="s">
        <v>96</v>
      </c>
      <c r="B196">
        <v>210</v>
      </c>
      <c r="C196">
        <v>172</v>
      </c>
      <c r="D196">
        <v>25</v>
      </c>
      <c r="E196">
        <v>0</v>
      </c>
      <c r="F196">
        <v>0</v>
      </c>
      <c r="G196">
        <v>0</v>
      </c>
      <c r="H196">
        <v>0</v>
      </c>
      <c r="I196" t="s">
        <v>97</v>
      </c>
    </row>
    <row r="197" spans="1:9" hidden="1" x14ac:dyDescent="0.3">
      <c r="A197" t="s">
        <v>96</v>
      </c>
      <c r="B197">
        <v>235</v>
      </c>
      <c r="C197">
        <v>55</v>
      </c>
      <c r="D197">
        <v>39</v>
      </c>
      <c r="E197">
        <v>0</v>
      </c>
      <c r="F197">
        <v>0</v>
      </c>
      <c r="G197">
        <v>0</v>
      </c>
      <c r="H197">
        <v>0</v>
      </c>
      <c r="I197" t="s">
        <v>97</v>
      </c>
    </row>
    <row r="198" spans="1:9" hidden="1" x14ac:dyDescent="0.3">
      <c r="A198" t="s">
        <v>96</v>
      </c>
      <c r="B198">
        <v>235</v>
      </c>
      <c r="C198">
        <v>160</v>
      </c>
      <c r="D198">
        <v>23</v>
      </c>
      <c r="E198">
        <v>0</v>
      </c>
      <c r="F198">
        <v>0</v>
      </c>
      <c r="G198">
        <v>0</v>
      </c>
      <c r="H198">
        <v>0</v>
      </c>
      <c r="I198" t="s">
        <v>97</v>
      </c>
    </row>
    <row r="199" spans="1:9" hidden="1" x14ac:dyDescent="0.3">
      <c r="A199" t="s">
        <v>96</v>
      </c>
      <c r="B199">
        <v>240</v>
      </c>
      <c r="C199">
        <v>170</v>
      </c>
      <c r="D199">
        <v>15</v>
      </c>
      <c r="E199">
        <v>0</v>
      </c>
      <c r="F199">
        <v>0</v>
      </c>
      <c r="G199">
        <v>0</v>
      </c>
      <c r="H199">
        <v>0</v>
      </c>
      <c r="I199" t="s">
        <v>97</v>
      </c>
    </row>
    <row r="200" spans="1:9" hidden="1" x14ac:dyDescent="0.3">
      <c r="A200" t="s">
        <v>96</v>
      </c>
      <c r="B200">
        <v>289</v>
      </c>
      <c r="C200">
        <v>193</v>
      </c>
      <c r="D200">
        <v>205</v>
      </c>
      <c r="E200">
        <v>0</v>
      </c>
      <c r="F200">
        <v>0</v>
      </c>
      <c r="G200">
        <v>0</v>
      </c>
      <c r="H200">
        <v>0</v>
      </c>
      <c r="I200" t="s">
        <v>97</v>
      </c>
    </row>
    <row r="201" spans="1:9" hidden="1" x14ac:dyDescent="0.3">
      <c r="A201" t="s">
        <v>96</v>
      </c>
      <c r="B201">
        <v>312</v>
      </c>
      <c r="C201">
        <v>108</v>
      </c>
      <c r="D201">
        <v>30</v>
      </c>
      <c r="E201">
        <v>0</v>
      </c>
      <c r="F201">
        <v>0</v>
      </c>
      <c r="G201">
        <v>0</v>
      </c>
      <c r="H201">
        <v>0</v>
      </c>
      <c r="I201" t="s">
        <v>97</v>
      </c>
    </row>
    <row r="202" spans="1:9" hidden="1" x14ac:dyDescent="0.3">
      <c r="A202" t="s">
        <v>96</v>
      </c>
      <c r="B202">
        <v>430</v>
      </c>
      <c r="C202">
        <v>223</v>
      </c>
      <c r="D202">
        <v>157</v>
      </c>
      <c r="E202">
        <v>0</v>
      </c>
      <c r="F202">
        <v>0</v>
      </c>
      <c r="G202">
        <v>0</v>
      </c>
      <c r="H202">
        <v>0</v>
      </c>
      <c r="I202" t="s">
        <v>97</v>
      </c>
    </row>
    <row r="203" spans="1:9" hidden="1" x14ac:dyDescent="0.3">
      <c r="A203" t="s">
        <v>41</v>
      </c>
      <c r="B203">
        <v>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10</v>
      </c>
    </row>
    <row r="217" spans="1:8" x14ac:dyDescent="0.3">
      <c r="A217" t="s">
        <v>2</v>
      </c>
      <c r="B217" t="s">
        <v>231</v>
      </c>
      <c r="C217" t="s">
        <v>232</v>
      </c>
      <c r="G217" s="6"/>
      <c r="H217" s="6"/>
    </row>
    <row r="218" spans="1:8" x14ac:dyDescent="0.3">
      <c r="A218" t="s">
        <v>28</v>
      </c>
      <c r="B218">
        <v>496</v>
      </c>
      <c r="C218">
        <v>557</v>
      </c>
      <c r="F218" t="s">
        <v>286</v>
      </c>
      <c r="G218" t="s">
        <v>289</v>
      </c>
      <c r="H218" t="s">
        <v>290</v>
      </c>
    </row>
    <row r="219" spans="1:8" x14ac:dyDescent="0.3">
      <c r="A219" t="s">
        <v>43</v>
      </c>
      <c r="B219">
        <v>0</v>
      </c>
      <c r="C219">
        <v>13</v>
      </c>
      <c r="F219" t="s">
        <v>17</v>
      </c>
      <c r="G219">
        <v>885</v>
      </c>
      <c r="H219">
        <v>462</v>
      </c>
    </row>
    <row r="220" spans="1:8" x14ac:dyDescent="0.3">
      <c r="A220" t="s">
        <v>43</v>
      </c>
      <c r="B220">
        <v>0</v>
      </c>
      <c r="C220">
        <v>5</v>
      </c>
      <c r="F220" t="s">
        <v>28</v>
      </c>
      <c r="G220">
        <v>496</v>
      </c>
      <c r="H220">
        <v>557</v>
      </c>
    </row>
    <row r="221" spans="1:8" x14ac:dyDescent="0.3">
      <c r="A221" t="s">
        <v>43</v>
      </c>
      <c r="B221">
        <v>0</v>
      </c>
      <c r="C221">
        <v>5</v>
      </c>
      <c r="F221" t="s">
        <v>285</v>
      </c>
      <c r="G221">
        <v>249</v>
      </c>
      <c r="H221">
        <v>56</v>
      </c>
    </row>
    <row r="222" spans="1:8" x14ac:dyDescent="0.3">
      <c r="A222" t="s">
        <v>43</v>
      </c>
      <c r="B222">
        <v>0</v>
      </c>
      <c r="C222">
        <v>5</v>
      </c>
      <c r="F222" t="s">
        <v>43</v>
      </c>
      <c r="G222">
        <v>209</v>
      </c>
      <c r="H222">
        <v>0</v>
      </c>
    </row>
    <row r="223" spans="1:8" x14ac:dyDescent="0.3">
      <c r="A223" t="s">
        <v>43</v>
      </c>
      <c r="B223">
        <v>28</v>
      </c>
      <c r="C223">
        <v>5</v>
      </c>
      <c r="F223" t="s">
        <v>14</v>
      </c>
      <c r="G223">
        <v>295</v>
      </c>
      <c r="H223">
        <v>46</v>
      </c>
    </row>
    <row r="224" spans="1:8" x14ac:dyDescent="0.3">
      <c r="A224" t="s">
        <v>43</v>
      </c>
      <c r="B224">
        <v>0</v>
      </c>
      <c r="C224">
        <v>3</v>
      </c>
      <c r="F224" t="s">
        <v>21</v>
      </c>
      <c r="G224">
        <v>140</v>
      </c>
      <c r="H224">
        <v>62</v>
      </c>
    </row>
    <row r="225" spans="1:10" x14ac:dyDescent="0.3">
      <c r="A225" t="s">
        <v>43</v>
      </c>
      <c r="B225">
        <v>0</v>
      </c>
      <c r="C225">
        <v>3</v>
      </c>
      <c r="F225" t="s">
        <v>20</v>
      </c>
      <c r="G225">
        <v>53</v>
      </c>
      <c r="H225">
        <v>21</v>
      </c>
    </row>
    <row r="226" spans="1:10" x14ac:dyDescent="0.3">
      <c r="A226" t="s">
        <v>43</v>
      </c>
      <c r="B226">
        <v>1</v>
      </c>
      <c r="C226">
        <v>0</v>
      </c>
      <c r="F226" t="s">
        <v>25</v>
      </c>
      <c r="G226">
        <v>38</v>
      </c>
      <c r="H226">
        <v>41</v>
      </c>
    </row>
    <row r="227" spans="1:10" x14ac:dyDescent="0.3">
      <c r="A227" t="s">
        <v>43</v>
      </c>
      <c r="B227">
        <v>2</v>
      </c>
      <c r="C227">
        <v>0</v>
      </c>
      <c r="F227" t="s">
        <v>38</v>
      </c>
      <c r="G227">
        <v>36</v>
      </c>
      <c r="H227">
        <v>30</v>
      </c>
    </row>
    <row r="228" spans="1:10" x14ac:dyDescent="0.3">
      <c r="A228" t="s">
        <v>43</v>
      </c>
      <c r="B228">
        <v>2</v>
      </c>
      <c r="C228">
        <v>0</v>
      </c>
      <c r="F228" t="s">
        <v>22</v>
      </c>
      <c r="G228">
        <v>15</v>
      </c>
      <c r="H228">
        <v>8</v>
      </c>
    </row>
    <row r="229" spans="1:10" x14ac:dyDescent="0.3">
      <c r="A229" t="s">
        <v>43</v>
      </c>
      <c r="B229">
        <v>2</v>
      </c>
      <c r="C229">
        <v>0</v>
      </c>
      <c r="F229" t="s">
        <v>13</v>
      </c>
      <c r="G229">
        <v>7</v>
      </c>
      <c r="H229">
        <v>20</v>
      </c>
    </row>
    <row r="230" spans="1:10" x14ac:dyDescent="0.3">
      <c r="A230" t="s">
        <v>43</v>
      </c>
      <c r="B230">
        <v>5</v>
      </c>
      <c r="C230">
        <v>0</v>
      </c>
      <c r="F230" t="s">
        <v>41</v>
      </c>
      <c r="G230">
        <v>5</v>
      </c>
      <c r="H230">
        <v>0</v>
      </c>
    </row>
    <row r="231" spans="1:10" x14ac:dyDescent="0.3">
      <c r="A231" t="s">
        <v>43</v>
      </c>
      <c r="B231">
        <v>8</v>
      </c>
      <c r="C231">
        <v>0</v>
      </c>
      <c r="F231" t="s">
        <v>33</v>
      </c>
      <c r="G231">
        <v>0</v>
      </c>
      <c r="H231">
        <v>5</v>
      </c>
    </row>
    <row r="232" spans="1:10" x14ac:dyDescent="0.3">
      <c r="A232" t="s">
        <v>20</v>
      </c>
      <c r="B232">
        <v>26</v>
      </c>
      <c r="C232">
        <v>13</v>
      </c>
      <c r="G232" s="6">
        <f>SUM(G219:G231)</f>
        <v>2428</v>
      </c>
      <c r="H232" s="6">
        <f>SUM(H219:H231)</f>
        <v>1308</v>
      </c>
      <c r="J232">
        <v>29941</v>
      </c>
    </row>
    <row r="233" spans="1:10" x14ac:dyDescent="0.3">
      <c r="A233" t="s">
        <v>21</v>
      </c>
      <c r="B233">
        <v>135</v>
      </c>
      <c r="C233">
        <v>78</v>
      </c>
    </row>
    <row r="234" spans="1:10" x14ac:dyDescent="0.3">
      <c r="A234" t="s">
        <v>21</v>
      </c>
      <c r="B234">
        <v>57</v>
      </c>
      <c r="C234">
        <v>35</v>
      </c>
      <c r="G234" s="137">
        <f>G232/J232</f>
        <v>8.1092815871213392E-2</v>
      </c>
    </row>
    <row r="235" spans="1:10" x14ac:dyDescent="0.3">
      <c r="A235" t="s">
        <v>21</v>
      </c>
      <c r="B235">
        <v>26</v>
      </c>
      <c r="C235">
        <v>25</v>
      </c>
    </row>
    <row r="236" spans="1:10" x14ac:dyDescent="0.3">
      <c r="A236" t="s">
        <v>21</v>
      </c>
      <c r="B236">
        <v>53</v>
      </c>
      <c r="C236">
        <v>21</v>
      </c>
      <c r="I236" t="s">
        <v>388</v>
      </c>
      <c r="J236" t="s">
        <v>278</v>
      </c>
    </row>
    <row r="237" spans="1:10" x14ac:dyDescent="0.3">
      <c r="A237" t="s">
        <v>21</v>
      </c>
      <c r="B237">
        <v>0</v>
      </c>
      <c r="C237">
        <v>1</v>
      </c>
      <c r="I237" s="6">
        <v>2428</v>
      </c>
      <c r="J237">
        <v>29941</v>
      </c>
    </row>
    <row r="238" spans="1:10" x14ac:dyDescent="0.3">
      <c r="A238" t="s">
        <v>21</v>
      </c>
      <c r="B238">
        <v>5</v>
      </c>
      <c r="C238">
        <v>0</v>
      </c>
    </row>
    <row r="239" spans="1:10" x14ac:dyDescent="0.3">
      <c r="A239" t="s">
        <v>21</v>
      </c>
      <c r="B239">
        <v>30</v>
      </c>
      <c r="C239">
        <v>0</v>
      </c>
    </row>
    <row r="240" spans="1:10" x14ac:dyDescent="0.3">
      <c r="A240" t="s">
        <v>25</v>
      </c>
      <c r="B240">
        <v>23</v>
      </c>
      <c r="C240">
        <v>15</v>
      </c>
    </row>
    <row r="241" spans="1:3" x14ac:dyDescent="0.3">
      <c r="A241" t="s">
        <v>25</v>
      </c>
      <c r="B241">
        <v>3</v>
      </c>
      <c r="C241">
        <v>0</v>
      </c>
    </row>
    <row r="242" spans="1:3" x14ac:dyDescent="0.3">
      <c r="A242" t="s">
        <v>25</v>
      </c>
      <c r="B242">
        <v>3</v>
      </c>
      <c r="C242">
        <v>0</v>
      </c>
    </row>
    <row r="243" spans="1:3" x14ac:dyDescent="0.3">
      <c r="A243" t="s">
        <v>25</v>
      </c>
      <c r="B243">
        <v>15</v>
      </c>
      <c r="C243">
        <v>0</v>
      </c>
    </row>
    <row r="244" spans="1:3" x14ac:dyDescent="0.3">
      <c r="A244" t="s">
        <v>38</v>
      </c>
      <c r="B244">
        <v>23</v>
      </c>
      <c r="C244">
        <v>35</v>
      </c>
    </row>
    <row r="245" spans="1:3" x14ac:dyDescent="0.3">
      <c r="A245" t="s">
        <v>38</v>
      </c>
      <c r="B245">
        <v>0</v>
      </c>
      <c r="C245">
        <v>5</v>
      </c>
    </row>
    <row r="246" spans="1:3" x14ac:dyDescent="0.3">
      <c r="A246" t="s">
        <v>38</v>
      </c>
      <c r="B246">
        <v>0</v>
      </c>
      <c r="C246">
        <v>1</v>
      </c>
    </row>
    <row r="247" spans="1:3" x14ac:dyDescent="0.3">
      <c r="A247" t="s">
        <v>38</v>
      </c>
      <c r="B247">
        <v>0</v>
      </c>
      <c r="C247">
        <v>1</v>
      </c>
    </row>
    <row r="248" spans="1:3" x14ac:dyDescent="0.3">
      <c r="A248" t="s">
        <v>38</v>
      </c>
      <c r="B248">
        <v>0</v>
      </c>
      <c r="C248">
        <v>1</v>
      </c>
    </row>
    <row r="249" spans="1:3" x14ac:dyDescent="0.3">
      <c r="A249" t="s">
        <v>38</v>
      </c>
      <c r="B249">
        <v>0</v>
      </c>
      <c r="C249">
        <v>0</v>
      </c>
    </row>
    <row r="250" spans="1:3" x14ac:dyDescent="0.3">
      <c r="A250" t="s">
        <v>38</v>
      </c>
      <c r="B250">
        <v>0</v>
      </c>
      <c r="C250">
        <v>0</v>
      </c>
    </row>
    <row r="251" spans="1:3" x14ac:dyDescent="0.3">
      <c r="A251" t="s">
        <v>38</v>
      </c>
      <c r="B251">
        <v>5</v>
      </c>
      <c r="C251">
        <v>0</v>
      </c>
    </row>
    <row r="252" spans="1:3" x14ac:dyDescent="0.3">
      <c r="A252" t="s">
        <v>38</v>
      </c>
      <c r="B252">
        <v>5</v>
      </c>
      <c r="C252">
        <v>0</v>
      </c>
    </row>
    <row r="253" spans="1:3" x14ac:dyDescent="0.3">
      <c r="A253" t="s">
        <v>38</v>
      </c>
      <c r="B253">
        <v>5</v>
      </c>
      <c r="C253">
        <v>0</v>
      </c>
    </row>
    <row r="254" spans="1:3" x14ac:dyDescent="0.3">
      <c r="A254" t="s">
        <v>22</v>
      </c>
      <c r="B254">
        <v>15</v>
      </c>
      <c r="C254">
        <v>8</v>
      </c>
    </row>
    <row r="255" spans="1:3" x14ac:dyDescent="0.3">
      <c r="A255" t="s">
        <v>33</v>
      </c>
      <c r="B255">
        <v>0</v>
      </c>
      <c r="C255">
        <v>5</v>
      </c>
    </row>
    <row r="256" spans="1:3" x14ac:dyDescent="0.3">
      <c r="A256" t="s">
        <v>13</v>
      </c>
      <c r="B256">
        <v>6</v>
      </c>
      <c r="C256">
        <v>15</v>
      </c>
    </row>
    <row r="257" spans="1:12" x14ac:dyDescent="0.3">
      <c r="A257" t="s">
        <v>13</v>
      </c>
      <c r="B257">
        <v>0</v>
      </c>
      <c r="C257">
        <v>5</v>
      </c>
    </row>
    <row r="258" spans="1:12" x14ac:dyDescent="0.3">
      <c r="A258" t="s">
        <v>13</v>
      </c>
      <c r="B258">
        <v>1</v>
      </c>
      <c r="C258">
        <v>0</v>
      </c>
    </row>
    <row r="259" spans="1:12" x14ac:dyDescent="0.3">
      <c r="A259" t="s">
        <v>17</v>
      </c>
      <c r="B259">
        <v>530</v>
      </c>
      <c r="C259">
        <v>135</v>
      </c>
    </row>
    <row r="260" spans="1:12" ht="36" customHeight="1" thickBot="1" x14ac:dyDescent="0.35">
      <c r="A260" t="s">
        <v>17</v>
      </c>
      <c r="B260">
        <v>0</v>
      </c>
      <c r="C260">
        <v>89</v>
      </c>
    </row>
    <row r="261" spans="1:12" ht="36" customHeight="1" thickBot="1" x14ac:dyDescent="0.35">
      <c r="A261" t="s">
        <v>17</v>
      </c>
      <c r="B261">
        <v>76</v>
      </c>
      <c r="C261">
        <v>55</v>
      </c>
      <c r="G261" s="138" t="s">
        <v>144</v>
      </c>
    </row>
    <row r="262" spans="1:12" ht="22.8" customHeight="1" thickBot="1" x14ac:dyDescent="0.35">
      <c r="A262" t="s">
        <v>17</v>
      </c>
      <c r="B262">
        <v>55</v>
      </c>
      <c r="C262">
        <v>45</v>
      </c>
      <c r="G262" s="139" t="s">
        <v>389</v>
      </c>
      <c r="J262" s="140" t="s">
        <v>0</v>
      </c>
      <c r="K262" s="140" t="s">
        <v>397</v>
      </c>
      <c r="L262" s="140" t="s">
        <v>398</v>
      </c>
    </row>
    <row r="263" spans="1:12" ht="18" customHeight="1" thickBot="1" x14ac:dyDescent="0.35">
      <c r="A263" t="s">
        <v>17</v>
      </c>
      <c r="B263">
        <v>53</v>
      </c>
      <c r="C263">
        <v>28</v>
      </c>
      <c r="G263" s="139" t="s">
        <v>390</v>
      </c>
      <c r="J263" s="141" t="s">
        <v>144</v>
      </c>
      <c r="K263" s="141">
        <v>11127</v>
      </c>
      <c r="L263" s="142">
        <v>0.67</v>
      </c>
    </row>
    <row r="264" spans="1:12" ht="15" thickBot="1" x14ac:dyDescent="0.35">
      <c r="A264" t="s">
        <v>17</v>
      </c>
      <c r="B264">
        <v>35</v>
      </c>
      <c r="C264">
        <v>23</v>
      </c>
      <c r="G264" s="139"/>
      <c r="J264" s="143" t="s">
        <v>97</v>
      </c>
      <c r="K264" s="143">
        <v>7699</v>
      </c>
      <c r="L264" s="144">
        <v>0.33</v>
      </c>
    </row>
    <row r="265" spans="1:12" ht="15" thickBot="1" x14ac:dyDescent="0.35">
      <c r="A265" t="s">
        <v>17</v>
      </c>
      <c r="B265">
        <v>33</v>
      </c>
      <c r="C265">
        <v>15</v>
      </c>
      <c r="G265" s="139" t="s">
        <v>391</v>
      </c>
      <c r="J265" s="141" t="s">
        <v>299</v>
      </c>
      <c r="K265" s="141">
        <v>132354</v>
      </c>
      <c r="L265" s="142">
        <v>0.65</v>
      </c>
    </row>
    <row r="266" spans="1:12" ht="29.4" thickBot="1" x14ac:dyDescent="0.35">
      <c r="A266" t="s">
        <v>17</v>
      </c>
      <c r="B266">
        <v>35</v>
      </c>
      <c r="C266">
        <v>14</v>
      </c>
      <c r="G266" s="139" t="s">
        <v>392</v>
      </c>
      <c r="L266" s="42"/>
    </row>
    <row r="267" spans="1:12" ht="29.4" thickBot="1" x14ac:dyDescent="0.35">
      <c r="A267" t="s">
        <v>17</v>
      </c>
      <c r="B267">
        <v>13</v>
      </c>
      <c r="C267">
        <v>10</v>
      </c>
      <c r="G267" s="139" t="s">
        <v>393</v>
      </c>
    </row>
    <row r="268" spans="1:12" ht="15" thickBot="1" x14ac:dyDescent="0.35">
      <c r="A268" t="s">
        <v>17</v>
      </c>
      <c r="B268">
        <v>13</v>
      </c>
      <c r="C268">
        <v>10</v>
      </c>
      <c r="G268" s="139"/>
    </row>
    <row r="269" spans="1:12" ht="15" thickBot="1" x14ac:dyDescent="0.35">
      <c r="A269" t="s">
        <v>17</v>
      </c>
      <c r="B269">
        <v>0</v>
      </c>
      <c r="C269">
        <v>5</v>
      </c>
      <c r="G269" s="139" t="s">
        <v>394</v>
      </c>
    </row>
    <row r="270" spans="1:12" ht="29.4" thickBot="1" x14ac:dyDescent="0.35">
      <c r="A270" t="s">
        <v>17</v>
      </c>
      <c r="B270">
        <v>1</v>
      </c>
      <c r="C270">
        <v>0</v>
      </c>
      <c r="G270" s="139" t="s">
        <v>395</v>
      </c>
    </row>
    <row r="271" spans="1:12" ht="29.4" thickBot="1" x14ac:dyDescent="0.35">
      <c r="A271" t="s">
        <v>17</v>
      </c>
      <c r="B271">
        <v>1</v>
      </c>
      <c r="C271">
        <v>0</v>
      </c>
      <c r="G271" s="139" t="s">
        <v>396</v>
      </c>
    </row>
    <row r="272" spans="1:12" x14ac:dyDescent="0.3">
      <c r="A272" t="s">
        <v>17</v>
      </c>
      <c r="B272">
        <v>3</v>
      </c>
      <c r="C272">
        <v>0</v>
      </c>
    </row>
    <row r="273" spans="1:3" x14ac:dyDescent="0.3">
      <c r="A273" t="s">
        <v>17</v>
      </c>
      <c r="B273">
        <v>3</v>
      </c>
      <c r="C273">
        <v>0</v>
      </c>
    </row>
    <row r="274" spans="1:3" x14ac:dyDescent="0.3">
      <c r="A274" t="s">
        <v>17</v>
      </c>
      <c r="B274">
        <v>5</v>
      </c>
      <c r="C274">
        <v>0</v>
      </c>
    </row>
    <row r="275" spans="1:3" x14ac:dyDescent="0.3">
      <c r="A275" t="s">
        <v>17</v>
      </c>
      <c r="B275">
        <v>5</v>
      </c>
      <c r="C275">
        <v>0</v>
      </c>
    </row>
    <row r="276" spans="1:3" x14ac:dyDescent="0.3">
      <c r="A276" t="s">
        <v>17</v>
      </c>
      <c r="B276">
        <v>5</v>
      </c>
      <c r="C276">
        <v>0</v>
      </c>
    </row>
    <row r="277" spans="1:3" x14ac:dyDescent="0.3">
      <c r="A277" t="s">
        <v>17</v>
      </c>
      <c r="B277">
        <v>5</v>
      </c>
      <c r="C277">
        <v>0</v>
      </c>
    </row>
    <row r="278" spans="1:3" x14ac:dyDescent="0.3">
      <c r="A278" t="s">
        <v>17</v>
      </c>
      <c r="B278">
        <v>25</v>
      </c>
      <c r="C278">
        <v>0</v>
      </c>
    </row>
    <row r="279" spans="1:3" x14ac:dyDescent="0.3">
      <c r="A279" t="s">
        <v>17</v>
      </c>
      <c r="B279">
        <v>35</v>
      </c>
      <c r="C279">
        <v>0</v>
      </c>
    </row>
    <row r="280" spans="1:3" x14ac:dyDescent="0.3">
      <c r="A280" t="s">
        <v>17</v>
      </c>
      <c r="B280">
        <v>35</v>
      </c>
      <c r="C280">
        <v>0</v>
      </c>
    </row>
    <row r="281" spans="1:3" x14ac:dyDescent="0.3">
      <c r="A281" t="s">
        <v>17</v>
      </c>
      <c r="B281">
        <v>55</v>
      </c>
      <c r="C281">
        <v>0</v>
      </c>
    </row>
    <row r="282" spans="1:3" x14ac:dyDescent="0.3">
      <c r="A282" t="s">
        <v>14</v>
      </c>
      <c r="B282">
        <v>135</v>
      </c>
      <c r="C282">
        <v>46</v>
      </c>
    </row>
    <row r="283" spans="1:3" x14ac:dyDescent="0.3">
      <c r="A283" t="s">
        <v>14</v>
      </c>
      <c r="B283">
        <v>0</v>
      </c>
      <c r="C283">
        <v>5</v>
      </c>
    </row>
    <row r="284" spans="1:3" x14ac:dyDescent="0.3">
      <c r="A284" t="s">
        <v>14</v>
      </c>
      <c r="B284">
        <v>23</v>
      </c>
      <c r="C284">
        <v>5</v>
      </c>
    </row>
    <row r="285" spans="1:3" x14ac:dyDescent="0.3">
      <c r="A285" t="s">
        <v>14</v>
      </c>
      <c r="B285">
        <v>1</v>
      </c>
      <c r="C285">
        <v>0</v>
      </c>
    </row>
    <row r="286" spans="1:3" x14ac:dyDescent="0.3">
      <c r="A286" t="s">
        <v>14</v>
      </c>
      <c r="B286">
        <v>1</v>
      </c>
      <c r="C286">
        <v>0</v>
      </c>
    </row>
    <row r="287" spans="1:3" x14ac:dyDescent="0.3">
      <c r="A287" t="s">
        <v>14</v>
      </c>
      <c r="B287">
        <v>5</v>
      </c>
      <c r="C287">
        <v>0</v>
      </c>
    </row>
    <row r="288" spans="1:3" x14ac:dyDescent="0.3">
      <c r="A288" t="s">
        <v>14</v>
      </c>
      <c r="B288">
        <v>5</v>
      </c>
      <c r="C288">
        <v>0</v>
      </c>
    </row>
    <row r="289" spans="1:3" x14ac:dyDescent="0.3">
      <c r="A289" t="s">
        <v>96</v>
      </c>
      <c r="B289">
        <v>79</v>
      </c>
      <c r="C289">
        <v>29</v>
      </c>
    </row>
    <row r="290" spans="1:3" x14ac:dyDescent="0.3">
      <c r="A290" t="s">
        <v>96</v>
      </c>
      <c r="B290">
        <v>70</v>
      </c>
      <c r="C290">
        <v>7</v>
      </c>
    </row>
    <row r="291" spans="1:3" x14ac:dyDescent="0.3">
      <c r="A291" t="s">
        <v>96</v>
      </c>
      <c r="B291">
        <v>134</v>
      </c>
      <c r="C291">
        <v>1</v>
      </c>
    </row>
    <row r="292" spans="1:3" x14ac:dyDescent="0.3">
      <c r="A292" t="s">
        <v>96</v>
      </c>
      <c r="B292">
        <v>13</v>
      </c>
      <c r="C292">
        <v>0</v>
      </c>
    </row>
    <row r="293" spans="1:3" x14ac:dyDescent="0.3">
      <c r="A293" t="s">
        <v>96</v>
      </c>
      <c r="B293">
        <v>18</v>
      </c>
      <c r="C293">
        <v>0</v>
      </c>
    </row>
    <row r="294" spans="1:3" x14ac:dyDescent="0.3">
      <c r="A294" t="s">
        <v>96</v>
      </c>
      <c r="B294">
        <v>54</v>
      </c>
      <c r="C294">
        <v>0</v>
      </c>
    </row>
    <row r="295" spans="1:3" x14ac:dyDescent="0.3">
      <c r="A295" t="s">
        <v>41</v>
      </c>
      <c r="B295">
        <v>5</v>
      </c>
      <c r="C295">
        <v>0</v>
      </c>
    </row>
  </sheetData>
  <pageMargins left="0.7" right="0.7" top="0.75" bottom="0.75" header="0.3" footer="0.3"/>
  <pageSetup paperSize="9" orientation="portrait" horizontalDpi="300" verticalDpi="0" r:id="rId1"/>
  <drawing r:id="rId2"/>
  <tableParts count="2">
    <tablePart r:id="rId3"/>
    <tablePart r:id="rId4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50DA-CBC8-4460-9FD0-07E154346161}">
  <dimension ref="A1:W203"/>
  <sheetViews>
    <sheetView workbookViewId="0">
      <selection activeCell="V1" sqref="V1:V1048576"/>
    </sheetView>
  </sheetViews>
  <sheetFormatPr defaultRowHeight="14.4" x14ac:dyDescent="0.3"/>
  <cols>
    <col min="1" max="1" width="19.44140625" customWidth="1"/>
    <col min="2" max="2" width="14.6640625" customWidth="1"/>
    <col min="3" max="3" width="20.77734375" customWidth="1"/>
    <col min="5" max="5" width="14.5546875" customWidth="1"/>
    <col min="6" max="6" width="13.6640625" customWidth="1"/>
    <col min="7" max="7" width="14.109375" customWidth="1"/>
    <col min="8" max="8" width="13.6640625" customWidth="1"/>
    <col min="9" max="9" width="14.109375" customWidth="1"/>
    <col min="10" max="10" width="13.6640625" customWidth="1"/>
    <col min="11" max="11" width="14.109375" customWidth="1"/>
    <col min="12" max="12" width="13.6640625" customWidth="1"/>
    <col min="13" max="13" width="14.109375" customWidth="1"/>
    <col min="14" max="14" width="13.6640625" customWidth="1"/>
    <col min="15" max="15" width="14.109375" customWidth="1"/>
    <col min="16" max="16" width="13.6640625" customWidth="1"/>
    <col min="17" max="17" width="14.109375" customWidth="1"/>
    <col min="18" max="18" width="13.6640625" customWidth="1"/>
    <col min="19" max="19" width="14.109375" customWidth="1"/>
    <col min="20" max="21" width="16.44140625" customWidth="1"/>
    <col min="22" max="22" width="24.21875" customWidth="1"/>
    <col min="23" max="23" width="23.88671875" customWidth="1"/>
  </cols>
  <sheetData>
    <row r="1" spans="1:23" x14ac:dyDescent="0.3">
      <c r="A1" s="83" t="s">
        <v>288</v>
      </c>
      <c r="B1" s="83" t="s">
        <v>325</v>
      </c>
      <c r="C1" s="83" t="s">
        <v>287</v>
      </c>
      <c r="D1" s="83" t="s">
        <v>246</v>
      </c>
      <c r="E1" s="83" t="s">
        <v>384</v>
      </c>
      <c r="F1" s="84" t="s">
        <v>231</v>
      </c>
      <c r="G1" s="84" t="s">
        <v>245</v>
      </c>
      <c r="H1" s="84" t="s">
        <v>232</v>
      </c>
      <c r="I1" s="84" t="s">
        <v>247</v>
      </c>
      <c r="J1" s="84" t="s">
        <v>233</v>
      </c>
      <c r="K1" s="84" t="s">
        <v>248</v>
      </c>
      <c r="L1" s="84" t="s">
        <v>234</v>
      </c>
      <c r="M1" s="84" t="s">
        <v>249</v>
      </c>
      <c r="N1" s="84" t="s">
        <v>235</v>
      </c>
      <c r="O1" s="84" t="s">
        <v>250</v>
      </c>
      <c r="P1" s="84" t="s">
        <v>236</v>
      </c>
      <c r="Q1" s="84" t="s">
        <v>251</v>
      </c>
      <c r="R1" s="84" t="s">
        <v>237</v>
      </c>
      <c r="S1" s="84" t="s">
        <v>252</v>
      </c>
      <c r="T1" s="85" t="s">
        <v>238</v>
      </c>
      <c r="U1" s="85" t="s">
        <v>386</v>
      </c>
      <c r="V1" s="87" t="s">
        <v>6</v>
      </c>
      <c r="W1" t="s">
        <v>377</v>
      </c>
    </row>
    <row r="2" spans="1:23" x14ac:dyDescent="0.3">
      <c r="A2" s="90">
        <v>15</v>
      </c>
      <c r="B2" s="90">
        <f>A2*3</f>
        <v>45</v>
      </c>
      <c r="C2" s="90">
        <v>75</v>
      </c>
      <c r="D2" s="90">
        <f>C2-B2</f>
        <v>30</v>
      </c>
      <c r="E2" s="90">
        <f>(CleanedDataset!$F62-CleanedDataset!$E62)/CleanedDataset!$F62</f>
        <v>0.72000000000000008</v>
      </c>
      <c r="F2" s="91">
        <v>496</v>
      </c>
      <c r="G2" s="91">
        <f>F2*C2-F2*B2</f>
        <v>14880</v>
      </c>
      <c r="H2" s="91">
        <v>557</v>
      </c>
      <c r="I2" s="91">
        <f>H2*C2-F2*B2</f>
        <v>19455</v>
      </c>
      <c r="J2" s="91">
        <v>0</v>
      </c>
      <c r="K2" s="91">
        <f>J2*C2-J2*B2</f>
        <v>0</v>
      </c>
      <c r="L2" s="91">
        <v>0</v>
      </c>
      <c r="M2" s="91">
        <f>L2*C2-L2*B2</f>
        <v>0</v>
      </c>
      <c r="N2" s="91">
        <v>0</v>
      </c>
      <c r="O2" s="91">
        <f>N2*C2-N2*B2</f>
        <v>0</v>
      </c>
      <c r="P2" s="91">
        <v>0</v>
      </c>
      <c r="Q2" s="91">
        <f>P2*C2-P2*B2</f>
        <v>0</v>
      </c>
      <c r="R2" s="91">
        <v>0</v>
      </c>
      <c r="S2" s="91">
        <f>R2*C2-R2*B2</f>
        <v>0</v>
      </c>
      <c r="T2" s="91">
        <f>SUM(P2,N2,L2,J2,H2,F2)</f>
        <v>1053</v>
      </c>
      <c r="U2" s="91">
        <v>1</v>
      </c>
      <c r="V2" s="92">
        <v>91</v>
      </c>
      <c r="W2">
        <f>A2*F2</f>
        <v>7440</v>
      </c>
    </row>
    <row r="3" spans="1:23" x14ac:dyDescent="0.3">
      <c r="A3" s="95">
        <v>6</v>
      </c>
      <c r="B3" s="95">
        <f>A3*2.8</f>
        <v>16.799999999999997</v>
      </c>
      <c r="C3" s="95">
        <v>40</v>
      </c>
      <c r="D3" s="95">
        <f>C3-B3</f>
        <v>23.200000000000003</v>
      </c>
      <c r="E3" s="95">
        <f>(CleanedDataset!$F53-CleanedDataset!$E53)/CleanedDataset!$F53</f>
        <v>0.7</v>
      </c>
      <c r="F3" s="96">
        <v>405</v>
      </c>
      <c r="G3" s="96">
        <f>F3*C3-F3*B3</f>
        <v>9396</v>
      </c>
      <c r="H3" s="96">
        <v>534</v>
      </c>
      <c r="I3" s="96">
        <f>H3*C3-F3*B3</f>
        <v>14556</v>
      </c>
      <c r="J3" s="96">
        <v>987</v>
      </c>
      <c r="K3" s="96">
        <f>J3*C3-J3*B3</f>
        <v>22898.400000000001</v>
      </c>
      <c r="L3" s="96">
        <v>1917</v>
      </c>
      <c r="M3" s="96">
        <f>L3*C3-L3*B3</f>
        <v>44474.400000000009</v>
      </c>
      <c r="N3" s="96">
        <v>1047</v>
      </c>
      <c r="O3" s="96">
        <f>N3*C3-N3*B3</f>
        <v>24290.400000000001</v>
      </c>
      <c r="P3" s="96">
        <v>326</v>
      </c>
      <c r="Q3" s="96">
        <f>P3*C3-P3*B3</f>
        <v>7563.2000000000007</v>
      </c>
      <c r="R3" s="96">
        <v>857</v>
      </c>
      <c r="S3" s="96">
        <f>R3*C3-R3*B3</f>
        <v>19882.400000000001</v>
      </c>
      <c r="T3" s="96">
        <f>SUM(P3,N3,L3,J3,H3,F3)</f>
        <v>5216</v>
      </c>
      <c r="U3" s="96">
        <v>1</v>
      </c>
      <c r="V3" s="97">
        <v>92</v>
      </c>
      <c r="W3">
        <f t="shared" ref="W3:W66" si="0">A3*F3</f>
        <v>2430</v>
      </c>
    </row>
    <row r="4" spans="1:23" x14ac:dyDescent="0.3">
      <c r="A4" s="90">
        <v>6</v>
      </c>
      <c r="B4" s="90">
        <f>A4*3.2</f>
        <v>19.200000000000003</v>
      </c>
      <c r="C4" s="90">
        <v>55</v>
      </c>
      <c r="D4" s="90">
        <f>C4-B4</f>
        <v>35.799999999999997</v>
      </c>
      <c r="E4" s="90">
        <f>(CleanedDataset!$F126-CleanedDataset!$E126)/CleanedDataset!$F126</f>
        <v>0.61891891891891893</v>
      </c>
      <c r="F4" s="91">
        <v>530</v>
      </c>
      <c r="G4" s="91">
        <f>F4*C4-F4*B4</f>
        <v>18974</v>
      </c>
      <c r="H4" s="91">
        <v>135</v>
      </c>
      <c r="I4" s="91">
        <f>H4*C4-F4*B4</f>
        <v>-2751.0000000000018</v>
      </c>
      <c r="J4" s="91">
        <v>0</v>
      </c>
      <c r="K4" s="91">
        <f>J4*C4-J4*B4</f>
        <v>0</v>
      </c>
      <c r="L4" s="91">
        <v>0</v>
      </c>
      <c r="M4" s="91">
        <f>L4*C4-L4*B4</f>
        <v>0</v>
      </c>
      <c r="N4" s="91">
        <v>0</v>
      </c>
      <c r="O4" s="91">
        <f>N4*C4-N4*B4</f>
        <v>0</v>
      </c>
      <c r="P4" s="91">
        <v>0</v>
      </c>
      <c r="Q4" s="91">
        <f>P4*C4-P4*B4</f>
        <v>0</v>
      </c>
      <c r="R4" s="91">
        <v>0</v>
      </c>
      <c r="S4" s="91">
        <f>R4*C4-R4*B4</f>
        <v>0</v>
      </c>
      <c r="T4" s="91">
        <f>SUM(P4,N4,L4,J4,H4,F4)</f>
        <v>665</v>
      </c>
      <c r="U4" s="91">
        <v>1</v>
      </c>
      <c r="V4" s="92">
        <v>90</v>
      </c>
      <c r="W4">
        <f t="shared" si="0"/>
        <v>3180</v>
      </c>
    </row>
    <row r="5" spans="1:23" x14ac:dyDescent="0.3">
      <c r="A5" s="90">
        <v>6</v>
      </c>
      <c r="B5" s="90">
        <f>A5*3</f>
        <v>18</v>
      </c>
      <c r="C5" s="90">
        <v>50</v>
      </c>
      <c r="D5" s="90">
        <f>C5-B5</f>
        <v>32</v>
      </c>
      <c r="E5" s="90">
        <f>(CleanedDataset!$F162-CleanedDataset!$E162)/CleanedDataset!$F162</f>
        <v>0.83666666666666667</v>
      </c>
      <c r="F5" s="91">
        <v>450</v>
      </c>
      <c r="G5" s="91">
        <f>F5*C5-F5*B5</f>
        <v>14400</v>
      </c>
      <c r="H5" s="91">
        <v>300</v>
      </c>
      <c r="I5" s="91">
        <f>H5*C5-F5*B5</f>
        <v>6900</v>
      </c>
      <c r="J5" s="91">
        <v>230</v>
      </c>
      <c r="K5" s="91">
        <f>J5*C5-J5*B5</f>
        <v>7360</v>
      </c>
      <c r="L5" s="91">
        <v>200</v>
      </c>
      <c r="M5" s="91">
        <f>L5*C5-L5*B5</f>
        <v>6400</v>
      </c>
      <c r="N5" s="91">
        <v>225</v>
      </c>
      <c r="O5" s="91">
        <f>N5*C5-N5*B5</f>
        <v>7200</v>
      </c>
      <c r="P5" s="91">
        <v>705</v>
      </c>
      <c r="Q5" s="91">
        <f>P5*C5-P5*B5</f>
        <v>22560</v>
      </c>
      <c r="R5" s="91">
        <v>680</v>
      </c>
      <c r="S5" s="91">
        <f>R5*C5-R5*B5</f>
        <v>21760</v>
      </c>
      <c r="T5" s="91">
        <f>SUM(P5,N5,L5,J5,H5,F5)</f>
        <v>2110</v>
      </c>
      <c r="U5" s="91">
        <v>1</v>
      </c>
      <c r="V5" s="92">
        <v>92</v>
      </c>
      <c r="W5">
        <f t="shared" si="0"/>
        <v>2700</v>
      </c>
    </row>
    <row r="6" spans="1:23" x14ac:dyDescent="0.3">
      <c r="A6" s="90">
        <v>3.5</v>
      </c>
      <c r="B6" s="90">
        <f>A6*2.8</f>
        <v>9.7999999999999989</v>
      </c>
      <c r="C6" s="90">
        <v>25</v>
      </c>
      <c r="D6" s="90">
        <f>C6-B6</f>
        <v>15.200000000000001</v>
      </c>
      <c r="E6" s="90">
        <f>(CleanedDataset!$F56-CleanedDataset!$E56)/CleanedDataset!$F56</f>
        <v>0.68802228412256272</v>
      </c>
      <c r="F6" s="91">
        <v>604</v>
      </c>
      <c r="G6" s="91">
        <f>F6*C6-F6*B6</f>
        <v>9180.8000000000011</v>
      </c>
      <c r="H6" s="91">
        <v>339</v>
      </c>
      <c r="I6" s="91">
        <f>H6*C6-F6*B6</f>
        <v>2555.8000000000011</v>
      </c>
      <c r="J6" s="91">
        <v>853</v>
      </c>
      <c r="K6" s="91">
        <f>J6*C6-J6*B6</f>
        <v>12965.6</v>
      </c>
      <c r="L6" s="91">
        <v>2331</v>
      </c>
      <c r="M6" s="91">
        <f>L6*C6-L6*B6</f>
        <v>35431.199999999997</v>
      </c>
      <c r="N6" s="91">
        <v>1049</v>
      </c>
      <c r="O6" s="91">
        <f>N6*C6-N6*B6</f>
        <v>15944.800000000001</v>
      </c>
      <c r="P6" s="91">
        <v>326</v>
      </c>
      <c r="Q6" s="91">
        <f>P6*C6-P6*B6</f>
        <v>4955.2000000000007</v>
      </c>
      <c r="R6" s="91">
        <v>708</v>
      </c>
      <c r="S6" s="91">
        <f>R6*C6-R6*B6</f>
        <v>10761.6</v>
      </c>
      <c r="T6" s="91">
        <f>SUM(P6,N6,L6,J6,H6,F6)</f>
        <v>5502</v>
      </c>
      <c r="U6" s="91">
        <v>1</v>
      </c>
      <c r="V6" s="92">
        <v>99</v>
      </c>
      <c r="W6">
        <f t="shared" si="0"/>
        <v>2114</v>
      </c>
    </row>
    <row r="7" spans="1:23" x14ac:dyDescent="0.3">
      <c r="A7" s="95">
        <v>3.5</v>
      </c>
      <c r="B7" s="95">
        <f>A7*3</f>
        <v>10.5</v>
      </c>
      <c r="C7" s="95">
        <v>35</v>
      </c>
      <c r="D7" s="95">
        <f>C7-B7</f>
        <v>24.5</v>
      </c>
      <c r="E7" s="95">
        <f>(CleanedDataset!$F167-CleanedDataset!$E167)/CleanedDataset!$F167</f>
        <v>0.29292929292929293</v>
      </c>
      <c r="F7" s="96">
        <v>1350</v>
      </c>
      <c r="G7" s="96">
        <f>F7*C7-F7*B7</f>
        <v>33075</v>
      </c>
      <c r="H7" s="96">
        <v>1200</v>
      </c>
      <c r="I7" s="96">
        <f>H7*C7-F7*B7</f>
        <v>27825</v>
      </c>
      <c r="J7" s="96">
        <v>567</v>
      </c>
      <c r="K7" s="96">
        <f>J7*C7-J7*B7</f>
        <v>13891.5</v>
      </c>
      <c r="L7" s="96">
        <v>200</v>
      </c>
      <c r="M7" s="96">
        <f>L7*C7-L7*B7</f>
        <v>4900</v>
      </c>
      <c r="N7" s="96">
        <v>540</v>
      </c>
      <c r="O7" s="96">
        <f>N7*C7-N7*B7</f>
        <v>13230</v>
      </c>
      <c r="P7" s="96">
        <v>1250</v>
      </c>
      <c r="Q7" s="96">
        <f>P7*C7-P7*B7</f>
        <v>30625</v>
      </c>
      <c r="R7" s="96">
        <v>890</v>
      </c>
      <c r="S7" s="96">
        <f>R7*C7-R7*B7</f>
        <v>21805</v>
      </c>
      <c r="T7" s="96">
        <f>SUM(P7,N7,L7,J7,H7,F7)</f>
        <v>5107</v>
      </c>
      <c r="U7" s="96">
        <v>1</v>
      </c>
      <c r="V7" s="97">
        <v>91</v>
      </c>
      <c r="W7">
        <f t="shared" si="0"/>
        <v>4725</v>
      </c>
    </row>
    <row r="8" spans="1:23" x14ac:dyDescent="0.3">
      <c r="A8" s="95">
        <v>55</v>
      </c>
      <c r="B8" s="95">
        <f>A8*2.8</f>
        <v>154</v>
      </c>
      <c r="C8" s="95">
        <v>530</v>
      </c>
      <c r="D8" s="95">
        <f>C8-B8</f>
        <v>376</v>
      </c>
      <c r="E8" s="95">
        <f>(CleanedDataset!$F33-CleanedDataset!$E33)/CleanedDataset!$F33</f>
        <v>0.6</v>
      </c>
      <c r="F8" s="96">
        <v>58</v>
      </c>
      <c r="G8" s="96">
        <f>F8*C8-F8*B8</f>
        <v>21808</v>
      </c>
      <c r="H8" s="96">
        <v>75</v>
      </c>
      <c r="I8" s="96">
        <f>H8*C8-F8*B8</f>
        <v>30818</v>
      </c>
      <c r="J8" s="96">
        <v>39</v>
      </c>
      <c r="K8" s="96">
        <f>J8*C8-J8*B8</f>
        <v>14664</v>
      </c>
      <c r="L8" s="96">
        <v>16</v>
      </c>
      <c r="M8" s="96">
        <f>L8*C8-L8*B8</f>
        <v>6016</v>
      </c>
      <c r="N8" s="96">
        <v>21</v>
      </c>
      <c r="O8" s="96">
        <f>N8*C8-N8*B8</f>
        <v>7896</v>
      </c>
      <c r="P8" s="96">
        <v>60</v>
      </c>
      <c r="Q8" s="96">
        <f>P8*C8-P8*B8</f>
        <v>22560</v>
      </c>
      <c r="R8" s="96">
        <v>64</v>
      </c>
      <c r="S8" s="96">
        <f>R8*C8-R8*B8</f>
        <v>24064</v>
      </c>
      <c r="T8" s="96">
        <f>SUM(P8,N8,L8,J8,H8,F8)</f>
        <v>269</v>
      </c>
      <c r="U8" s="96">
        <v>1</v>
      </c>
      <c r="V8" s="97">
        <v>100</v>
      </c>
      <c r="W8">
        <f t="shared" si="0"/>
        <v>3190</v>
      </c>
    </row>
    <row r="9" spans="1:23" x14ac:dyDescent="0.3">
      <c r="A9" s="90">
        <v>55</v>
      </c>
      <c r="B9" s="90">
        <f>A9*3.2</f>
        <v>176</v>
      </c>
      <c r="C9" s="90">
        <v>615</v>
      </c>
      <c r="D9" s="90">
        <f>C9-B9</f>
        <v>439</v>
      </c>
      <c r="E9" s="90">
        <f>(CleanedDataset!$F82-CleanedDataset!$E82)/CleanedDataset!$F82</f>
        <v>0.58588235294117641</v>
      </c>
      <c r="F9" s="91">
        <v>57</v>
      </c>
      <c r="G9" s="91">
        <f>F9*C9-F9*B9</f>
        <v>25023</v>
      </c>
      <c r="H9" s="91">
        <v>35</v>
      </c>
      <c r="I9" s="91">
        <f>H9*C9-F9*B9</f>
        <v>11493</v>
      </c>
      <c r="J9" s="91">
        <v>0</v>
      </c>
      <c r="K9" s="91">
        <f>J9*C9-J9*B9</f>
        <v>0</v>
      </c>
      <c r="L9" s="91">
        <v>0</v>
      </c>
      <c r="M9" s="91">
        <f>L9*C9-L9*B9</f>
        <v>0</v>
      </c>
      <c r="N9" s="91">
        <v>0</v>
      </c>
      <c r="O9" s="91">
        <f>N9*C9-N9*B9</f>
        <v>0</v>
      </c>
      <c r="P9" s="91">
        <v>0</v>
      </c>
      <c r="Q9" s="91">
        <f>P9*C9-P9*B9</f>
        <v>0</v>
      </c>
      <c r="R9" s="91">
        <v>0</v>
      </c>
      <c r="S9" s="91">
        <f>R9*C9-R9*B9</f>
        <v>0</v>
      </c>
      <c r="T9" s="91">
        <f>SUM(P9,N9,L9,J9,H9,F9)</f>
        <v>92</v>
      </c>
      <c r="U9" s="91">
        <v>1</v>
      </c>
      <c r="V9" s="92">
        <v>93</v>
      </c>
      <c r="W9">
        <f t="shared" si="0"/>
        <v>3135</v>
      </c>
    </row>
    <row r="10" spans="1:23" x14ac:dyDescent="0.3">
      <c r="A10" s="95">
        <v>55</v>
      </c>
      <c r="B10" s="95">
        <f>A10*3.2</f>
        <v>176</v>
      </c>
      <c r="C10" s="95">
        <v>600</v>
      </c>
      <c r="D10" s="95">
        <f>C10-B10</f>
        <v>424</v>
      </c>
      <c r="E10" s="95">
        <f>(CleanedDataset!$F117-CleanedDataset!$E117)/CleanedDataset!$F117</f>
        <v>0.57333333333333336</v>
      </c>
      <c r="F10" s="96">
        <v>35</v>
      </c>
      <c r="G10" s="96">
        <f>F10*C10-F10*B10</f>
        <v>14840</v>
      </c>
      <c r="H10" s="96">
        <v>14</v>
      </c>
      <c r="I10" s="96">
        <f>H10*C10-F10*B10</f>
        <v>2240</v>
      </c>
      <c r="J10" s="96">
        <v>0</v>
      </c>
      <c r="K10" s="96">
        <f>J10*C10-J10*B10</f>
        <v>0</v>
      </c>
      <c r="L10" s="96">
        <v>0</v>
      </c>
      <c r="M10" s="96">
        <f>L10*C10-L10*B10</f>
        <v>0</v>
      </c>
      <c r="N10" s="96">
        <v>0</v>
      </c>
      <c r="O10" s="96">
        <f>N10*C10-N10*B10</f>
        <v>0</v>
      </c>
      <c r="P10" s="96">
        <v>0</v>
      </c>
      <c r="Q10" s="96">
        <f>P10*C10-P10*B10</f>
        <v>0</v>
      </c>
      <c r="R10" s="96">
        <v>0</v>
      </c>
      <c r="S10" s="96">
        <f>R10*C10-R10*B10</f>
        <v>0</v>
      </c>
      <c r="T10" s="96">
        <f>SUM(P10,N10,L10,J10,H10,F10)</f>
        <v>49</v>
      </c>
      <c r="U10" s="96">
        <v>1</v>
      </c>
      <c r="V10" s="97">
        <v>90</v>
      </c>
      <c r="W10">
        <f t="shared" si="0"/>
        <v>1925</v>
      </c>
    </row>
    <row r="11" spans="1:23" x14ac:dyDescent="0.3">
      <c r="A11" s="90">
        <v>55</v>
      </c>
      <c r="B11" s="90">
        <f>A11*3</f>
        <v>165</v>
      </c>
      <c r="C11" s="90">
        <v>600</v>
      </c>
      <c r="D11" s="90">
        <f>C11-B11</f>
        <v>435</v>
      </c>
      <c r="E11" s="90">
        <f>(CleanedDataset!$F148-CleanedDataset!$E148)/CleanedDataset!$F148</f>
        <v>0.59351351351351345</v>
      </c>
      <c r="F11" s="91">
        <v>66</v>
      </c>
      <c r="G11" s="91">
        <f>F11*C11-F11*B11</f>
        <v>28710</v>
      </c>
      <c r="H11" s="91">
        <v>35</v>
      </c>
      <c r="I11" s="91">
        <f>H11*C11-F11*B11</f>
        <v>10110</v>
      </c>
      <c r="J11" s="91">
        <v>12</v>
      </c>
      <c r="K11" s="91">
        <f>J11*C11-J11*B11</f>
        <v>5220</v>
      </c>
      <c r="L11" s="91">
        <v>15</v>
      </c>
      <c r="M11" s="91">
        <f>L11*C11-L11*B11</f>
        <v>6525</v>
      </c>
      <c r="N11" s="91">
        <v>33</v>
      </c>
      <c r="O11" s="91">
        <f>N11*C11-N11*B11</f>
        <v>14355</v>
      </c>
      <c r="P11" s="91">
        <v>50</v>
      </c>
      <c r="Q11" s="91">
        <f>P11*C11-P11*B11</f>
        <v>21750</v>
      </c>
      <c r="R11" s="91">
        <v>45</v>
      </c>
      <c r="S11" s="91">
        <f>R11*C11-R11*B11</f>
        <v>19575</v>
      </c>
      <c r="T11" s="91">
        <f>SUM(P11,N11,L11,J11,H11,F11)</f>
        <v>211</v>
      </c>
      <c r="U11" s="91">
        <v>1</v>
      </c>
      <c r="V11" s="92">
        <v>94</v>
      </c>
      <c r="W11">
        <f t="shared" si="0"/>
        <v>3630</v>
      </c>
    </row>
    <row r="12" spans="1:23" x14ac:dyDescent="0.3">
      <c r="A12" s="90">
        <v>65</v>
      </c>
      <c r="B12" s="90">
        <f>A12*2.8</f>
        <v>182</v>
      </c>
      <c r="C12" s="90">
        <v>584</v>
      </c>
      <c r="D12" s="90">
        <f>C12-B12</f>
        <v>402</v>
      </c>
      <c r="E12" s="90">
        <f>(CleanedDataset!$F32-CleanedDataset!$E32)/CleanedDataset!$F32</f>
        <v>0.66666666666666663</v>
      </c>
      <c r="F12" s="91">
        <v>51</v>
      </c>
      <c r="G12" s="91">
        <f>F12*C12-F12*B12</f>
        <v>20502</v>
      </c>
      <c r="H12" s="91">
        <v>78</v>
      </c>
      <c r="I12" s="91">
        <f>H12*C12-F12*B12</f>
        <v>36270</v>
      </c>
      <c r="J12" s="91">
        <v>193</v>
      </c>
      <c r="K12" s="91">
        <f>J12*C12-J12*B12</f>
        <v>77586</v>
      </c>
      <c r="L12" s="91">
        <v>0</v>
      </c>
      <c r="M12" s="91">
        <f>L12*C12-L12*B12</f>
        <v>0</v>
      </c>
      <c r="N12" s="91">
        <v>0</v>
      </c>
      <c r="O12" s="91">
        <f>N12*C12-N12*B12</f>
        <v>0</v>
      </c>
      <c r="P12" s="91">
        <v>0</v>
      </c>
      <c r="Q12" s="91">
        <f>P12*C12-P12*B12</f>
        <v>0</v>
      </c>
      <c r="R12" s="91">
        <v>0</v>
      </c>
      <c r="S12" s="91">
        <f>R12*C12-R12*B12</f>
        <v>0</v>
      </c>
      <c r="T12" s="91">
        <f>SUM(P12,N12,L12,J12,H12,F12)</f>
        <v>322</v>
      </c>
      <c r="U12" s="91">
        <v>1</v>
      </c>
      <c r="V12" s="92">
        <v>94</v>
      </c>
      <c r="W12">
        <f t="shared" si="0"/>
        <v>3315</v>
      </c>
    </row>
    <row r="13" spans="1:23" x14ac:dyDescent="0.3">
      <c r="A13" s="90">
        <v>65</v>
      </c>
      <c r="B13" s="90">
        <f>A13*3.2</f>
        <v>208</v>
      </c>
      <c r="C13" s="90">
        <v>700</v>
      </c>
      <c r="D13" s="90">
        <f>C13-B13</f>
        <v>492</v>
      </c>
      <c r="E13" s="90">
        <f>(CleanedDataset!$F78-CleanedDataset!$E78)/CleanedDataset!$F78</f>
        <v>-0.27500000000000002</v>
      </c>
      <c r="F13" s="91">
        <v>5</v>
      </c>
      <c r="G13" s="91">
        <f>F13*C13-F13*B13</f>
        <v>2460</v>
      </c>
      <c r="H13" s="91">
        <v>0</v>
      </c>
      <c r="I13" s="91">
        <f>H13*C13-F13*B13</f>
        <v>-1040</v>
      </c>
      <c r="J13" s="91">
        <v>0</v>
      </c>
      <c r="K13" s="91">
        <f>J13*C13-J13*B13</f>
        <v>0</v>
      </c>
      <c r="L13" s="91">
        <v>0</v>
      </c>
      <c r="M13" s="91">
        <f>L13*C13-L13*B13</f>
        <v>0</v>
      </c>
      <c r="N13" s="91">
        <v>0</v>
      </c>
      <c r="O13" s="91">
        <f>N13*C13-N13*B13</f>
        <v>0</v>
      </c>
      <c r="P13" s="91">
        <v>0</v>
      </c>
      <c r="Q13" s="91">
        <f>P13*C13-P13*B13</f>
        <v>0</v>
      </c>
      <c r="R13" s="91">
        <v>0</v>
      </c>
      <c r="S13" s="91">
        <f>R13*C13-R13*B13</f>
        <v>0</v>
      </c>
      <c r="T13" s="91">
        <f>SUM(P13,N13,L13,J13,H13,F13)</f>
        <v>5</v>
      </c>
      <c r="U13" s="91">
        <v>1</v>
      </c>
      <c r="V13" s="92">
        <v>99</v>
      </c>
      <c r="W13">
        <f t="shared" si="0"/>
        <v>325</v>
      </c>
    </row>
    <row r="14" spans="1:23" x14ac:dyDescent="0.3">
      <c r="A14" s="90">
        <v>65</v>
      </c>
      <c r="B14" s="90">
        <f>A14*3</f>
        <v>195</v>
      </c>
      <c r="C14" s="90">
        <v>650</v>
      </c>
      <c r="D14" s="90">
        <f>C14-B14</f>
        <v>455</v>
      </c>
      <c r="E14" s="90">
        <f>(CleanedDataset!$F84-CleanedDataset!$E84)/CleanedDataset!$F84</f>
        <v>0.25</v>
      </c>
      <c r="F14" s="91">
        <v>3</v>
      </c>
      <c r="G14" s="91">
        <f>F14*C14-F14*B14</f>
        <v>1365</v>
      </c>
      <c r="H14" s="91">
        <v>0</v>
      </c>
      <c r="I14" s="91">
        <f>H14*C14-F14*B14</f>
        <v>-585</v>
      </c>
      <c r="J14" s="91">
        <v>0</v>
      </c>
      <c r="K14" s="91">
        <f>J14*C14-J14*B14</f>
        <v>0</v>
      </c>
      <c r="L14" s="91">
        <v>0</v>
      </c>
      <c r="M14" s="91">
        <f>L14*C14-L14*B14</f>
        <v>0</v>
      </c>
      <c r="N14" s="91">
        <v>0</v>
      </c>
      <c r="O14" s="91">
        <f>N14*C14-N14*B14</f>
        <v>0</v>
      </c>
      <c r="P14" s="91">
        <v>0</v>
      </c>
      <c r="Q14" s="91">
        <f>P14*C14-P14*B14</f>
        <v>0</v>
      </c>
      <c r="R14" s="91">
        <v>0</v>
      </c>
      <c r="S14" s="91">
        <f>R14*C14-R14*B14</f>
        <v>0</v>
      </c>
      <c r="T14" s="91">
        <f>SUM(P14,N14,L14,J14,H14,F14)</f>
        <v>3</v>
      </c>
      <c r="U14" s="91">
        <v>1</v>
      </c>
      <c r="V14" s="92">
        <v>98</v>
      </c>
      <c r="W14">
        <f t="shared" si="0"/>
        <v>195</v>
      </c>
    </row>
    <row r="15" spans="1:23" x14ac:dyDescent="0.3">
      <c r="A15" s="95">
        <v>65</v>
      </c>
      <c r="B15" s="95">
        <f>A15*3.2</f>
        <v>208</v>
      </c>
      <c r="C15" s="95">
        <v>700</v>
      </c>
      <c r="D15" s="95">
        <f>C15-B15</f>
        <v>492</v>
      </c>
      <c r="E15" s="95">
        <f>(CleanedDataset!$F99-CleanedDataset!$E99)/CleanedDataset!$F99</f>
        <v>6.25E-2</v>
      </c>
      <c r="F15" s="96">
        <v>0</v>
      </c>
      <c r="G15" s="96">
        <f>F15*C15-F15*B15</f>
        <v>0</v>
      </c>
      <c r="H15" s="96">
        <v>5</v>
      </c>
      <c r="I15" s="96">
        <f>H15*C15-F15*B15</f>
        <v>3500</v>
      </c>
      <c r="J15" s="96">
        <v>0</v>
      </c>
      <c r="K15" s="96">
        <f>J15*C15-J15*B15</f>
        <v>0</v>
      </c>
      <c r="L15" s="96">
        <v>0</v>
      </c>
      <c r="M15" s="96">
        <f>L15*C15-L15*B15</f>
        <v>0</v>
      </c>
      <c r="N15" s="96">
        <v>0</v>
      </c>
      <c r="O15" s="96">
        <f>N15*C15-N15*B15</f>
        <v>0</v>
      </c>
      <c r="P15" s="96">
        <v>0</v>
      </c>
      <c r="Q15" s="96">
        <f>P15*C15-P15*B15</f>
        <v>0</v>
      </c>
      <c r="R15" s="96">
        <v>0</v>
      </c>
      <c r="S15" s="96">
        <f>R15*C15-R15*B15</f>
        <v>0</v>
      </c>
      <c r="T15" s="96">
        <f>SUM(P15,N15,L15,J15,H15,F15)</f>
        <v>5</v>
      </c>
      <c r="U15" s="96">
        <v>1</v>
      </c>
      <c r="V15" s="97">
        <v>98</v>
      </c>
      <c r="W15">
        <f t="shared" si="0"/>
        <v>0</v>
      </c>
    </row>
    <row r="16" spans="1:23" x14ac:dyDescent="0.3">
      <c r="A16" s="90">
        <v>65</v>
      </c>
      <c r="B16" s="90">
        <f>A16*3.2</f>
        <v>208</v>
      </c>
      <c r="C16" s="90">
        <v>700</v>
      </c>
      <c r="D16" s="90">
        <f>C16-B16</f>
        <v>492</v>
      </c>
      <c r="E16" s="90">
        <f>(CleanedDataset!$F122-CleanedDataset!$E122)/CleanedDataset!$F122</f>
        <v>0.49090909090909091</v>
      </c>
      <c r="F16" s="91">
        <v>53</v>
      </c>
      <c r="G16" s="91">
        <f>F16*C16-F16*B16</f>
        <v>26076</v>
      </c>
      <c r="H16" s="91">
        <v>28</v>
      </c>
      <c r="I16" s="91">
        <f>H16*C16-F16*B16</f>
        <v>8576</v>
      </c>
      <c r="J16" s="91">
        <v>0</v>
      </c>
      <c r="K16" s="91">
        <f>J16*C16-J16*B16</f>
        <v>0</v>
      </c>
      <c r="L16" s="91">
        <v>0</v>
      </c>
      <c r="M16" s="91">
        <f>L16*C16-L16*B16</f>
        <v>0</v>
      </c>
      <c r="N16" s="91">
        <v>0</v>
      </c>
      <c r="O16" s="91">
        <f>N16*C16-N16*B16</f>
        <v>0</v>
      </c>
      <c r="P16" s="91">
        <v>0</v>
      </c>
      <c r="Q16" s="91">
        <f>P16*C16-P16*B16</f>
        <v>0</v>
      </c>
      <c r="R16" s="91">
        <v>0</v>
      </c>
      <c r="S16" s="91">
        <f>R16*C16-R16*B16</f>
        <v>0</v>
      </c>
      <c r="T16" s="91">
        <f>SUM(P16,N16,L16,J16,H16,F16)</f>
        <v>81</v>
      </c>
      <c r="U16" s="91">
        <v>1</v>
      </c>
      <c r="V16" s="92">
        <v>93</v>
      </c>
      <c r="W16">
        <f t="shared" si="0"/>
        <v>3445</v>
      </c>
    </row>
    <row r="17" spans="1:23" x14ac:dyDescent="0.3">
      <c r="A17" s="90">
        <v>65</v>
      </c>
      <c r="B17" s="90">
        <f>A17*3</f>
        <v>195</v>
      </c>
      <c r="C17" s="90">
        <v>650</v>
      </c>
      <c r="D17" s="90">
        <f>C17-B17</f>
        <v>455</v>
      </c>
      <c r="E17" s="90">
        <f>(CleanedDataset!$F152-CleanedDataset!$E152)/CleanedDataset!$F152</f>
        <v>0.64800000000000002</v>
      </c>
      <c r="F17" s="91">
        <v>158</v>
      </c>
      <c r="G17" s="91">
        <f>F17*C17-F17*B17</f>
        <v>71890</v>
      </c>
      <c r="H17" s="91">
        <v>113</v>
      </c>
      <c r="I17" s="91">
        <f>H17*C17-F17*B17</f>
        <v>42640</v>
      </c>
      <c r="J17" s="91">
        <v>250</v>
      </c>
      <c r="K17" s="91">
        <f>J17*C17-J17*B17</f>
        <v>113750</v>
      </c>
      <c r="L17" s="91">
        <v>0</v>
      </c>
      <c r="M17" s="91">
        <f>L17*C17-L17*B17</f>
        <v>0</v>
      </c>
      <c r="N17" s="91">
        <v>0</v>
      </c>
      <c r="O17" s="91">
        <f>N17*C17-N17*B17</f>
        <v>0</v>
      </c>
      <c r="P17" s="91">
        <v>0</v>
      </c>
      <c r="Q17" s="91">
        <f>P17*C17-P17*B17</f>
        <v>0</v>
      </c>
      <c r="R17" s="91">
        <v>0</v>
      </c>
      <c r="S17" s="91">
        <f>R17*C17-R17*B17</f>
        <v>0</v>
      </c>
      <c r="T17" s="91">
        <f>SUM(P17,N17,L17,J17,H17,F17)</f>
        <v>521</v>
      </c>
      <c r="U17" s="91">
        <v>1</v>
      </c>
      <c r="V17" s="92">
        <v>97</v>
      </c>
      <c r="W17">
        <f t="shared" si="0"/>
        <v>10270</v>
      </c>
    </row>
    <row r="18" spans="1:23" x14ac:dyDescent="0.3">
      <c r="A18" s="95">
        <v>5</v>
      </c>
      <c r="B18" s="95">
        <f>A18*2.8</f>
        <v>14</v>
      </c>
      <c r="C18" s="95">
        <v>56</v>
      </c>
      <c r="D18" s="95">
        <f>C18-B18</f>
        <v>42</v>
      </c>
      <c r="E18" s="95">
        <f>(CleanedDataset!$F35-CleanedDataset!$E35)/CleanedDataset!$F35</f>
        <v>0.77272727272727271</v>
      </c>
      <c r="F18" s="96">
        <v>61</v>
      </c>
      <c r="G18" s="96">
        <f>F18*C18-F18*B18</f>
        <v>2562</v>
      </c>
      <c r="H18" s="96">
        <v>97</v>
      </c>
      <c r="I18" s="96">
        <f>H18*C18-F18*B18</f>
        <v>4578</v>
      </c>
      <c r="J18" s="96">
        <v>29</v>
      </c>
      <c r="K18" s="96">
        <f>J18*C18-J18*B18</f>
        <v>1218</v>
      </c>
      <c r="L18" s="96">
        <v>91</v>
      </c>
      <c r="M18" s="96">
        <f>L18*C18-L18*B18</f>
        <v>3822</v>
      </c>
      <c r="N18" s="96">
        <v>62</v>
      </c>
      <c r="O18" s="96">
        <f>N18*C18-N18*B18</f>
        <v>2604</v>
      </c>
      <c r="P18" s="96">
        <v>419</v>
      </c>
      <c r="Q18" s="96">
        <f>P18*C18-P18*B18</f>
        <v>17598</v>
      </c>
      <c r="R18" s="96">
        <v>37</v>
      </c>
      <c r="S18" s="96">
        <f>R18*C18-R18*B18</f>
        <v>1554</v>
      </c>
      <c r="T18" s="96">
        <f>SUM(P18,N18,L18,J18,H18,F18)</f>
        <v>759</v>
      </c>
      <c r="U18" s="96">
        <v>1</v>
      </c>
      <c r="V18" s="97">
        <v>96</v>
      </c>
      <c r="W18">
        <f t="shared" si="0"/>
        <v>305</v>
      </c>
    </row>
    <row r="19" spans="1:23" x14ac:dyDescent="0.3">
      <c r="A19" s="95">
        <v>5</v>
      </c>
      <c r="B19" s="95">
        <f>A19*2.8</f>
        <v>14</v>
      </c>
      <c r="C19" s="95">
        <v>35</v>
      </c>
      <c r="D19" s="95">
        <f>C19-B19</f>
        <v>21</v>
      </c>
      <c r="E19" s="95">
        <f>(CleanedDataset!$F55-CleanedDataset!$E55)/CleanedDataset!$F55</f>
        <v>0.67919799498746869</v>
      </c>
      <c r="F19" s="96">
        <v>527</v>
      </c>
      <c r="G19" s="96">
        <f>F19*C19-F19*B19</f>
        <v>11067</v>
      </c>
      <c r="H19" s="96">
        <v>203</v>
      </c>
      <c r="I19" s="96">
        <f>H19*C19-F19*B19</f>
        <v>-273</v>
      </c>
      <c r="J19" s="96">
        <v>395</v>
      </c>
      <c r="K19" s="96">
        <f>J19*C19-J19*B19</f>
        <v>8295</v>
      </c>
      <c r="L19" s="96">
        <v>499</v>
      </c>
      <c r="M19" s="96">
        <f>L19*C19-L19*B19</f>
        <v>10479</v>
      </c>
      <c r="N19" s="96">
        <v>915</v>
      </c>
      <c r="O19" s="96">
        <f>N19*C19-N19*B19</f>
        <v>19215</v>
      </c>
      <c r="P19" s="96">
        <v>230</v>
      </c>
      <c r="Q19" s="96">
        <f>P19*C19-P19*B19</f>
        <v>4830</v>
      </c>
      <c r="R19" s="96">
        <v>532</v>
      </c>
      <c r="S19" s="96">
        <f>R19*C19-R19*B19</f>
        <v>11172</v>
      </c>
      <c r="T19" s="96">
        <f>SUM(P19,N19,L19,J19,H19,F19)</f>
        <v>2769</v>
      </c>
      <c r="U19" s="96">
        <v>1</v>
      </c>
      <c r="V19" s="97">
        <v>91</v>
      </c>
      <c r="W19">
        <f t="shared" si="0"/>
        <v>2635</v>
      </c>
    </row>
    <row r="20" spans="1:23" x14ac:dyDescent="0.3">
      <c r="A20" s="95">
        <v>5</v>
      </c>
      <c r="B20" s="95">
        <f>A20*3</f>
        <v>15</v>
      </c>
      <c r="C20" s="95">
        <v>66</v>
      </c>
      <c r="D20" s="95">
        <f>C20-B20</f>
        <v>51</v>
      </c>
      <c r="E20" s="95">
        <f>(CleanedDataset!$F65-CleanedDataset!$E65)/CleanedDataset!$F65</f>
        <v>0.77846153846153854</v>
      </c>
      <c r="F20" s="96">
        <v>0</v>
      </c>
      <c r="G20" s="96">
        <f>F20*C20-F20*B20</f>
        <v>0</v>
      </c>
      <c r="H20" s="96">
        <v>5</v>
      </c>
      <c r="I20" s="96">
        <f>H20*C20-F20*B20</f>
        <v>330</v>
      </c>
      <c r="J20" s="96">
        <v>0</v>
      </c>
      <c r="K20" s="96">
        <f>J20*C20-J20*B20</f>
        <v>0</v>
      </c>
      <c r="L20" s="96">
        <v>0</v>
      </c>
      <c r="M20" s="96">
        <f>L20*C20-L20*B20</f>
        <v>0</v>
      </c>
      <c r="N20" s="96">
        <v>0</v>
      </c>
      <c r="O20" s="96">
        <f>N20*C20-N20*B20</f>
        <v>0</v>
      </c>
      <c r="P20" s="96">
        <v>0</v>
      </c>
      <c r="Q20" s="96">
        <f>P20*C20-P20*B20</f>
        <v>0</v>
      </c>
      <c r="R20" s="96">
        <v>0</v>
      </c>
      <c r="S20" s="96">
        <f>R20*C20-R20*B20</f>
        <v>0</v>
      </c>
      <c r="T20" s="96">
        <f>SUM(P20,N20,L20,J20,H20,F20)</f>
        <v>5</v>
      </c>
      <c r="U20" s="96">
        <v>1</v>
      </c>
      <c r="V20" s="97">
        <v>91</v>
      </c>
      <c r="W20">
        <f t="shared" si="0"/>
        <v>0</v>
      </c>
    </row>
    <row r="21" spans="1:23" x14ac:dyDescent="0.3">
      <c r="A21" s="95">
        <v>5</v>
      </c>
      <c r="B21" s="95">
        <f>A21*3</f>
        <v>15</v>
      </c>
      <c r="C21" s="95">
        <v>45</v>
      </c>
      <c r="D21" s="95">
        <f>C21-B21</f>
        <v>30</v>
      </c>
      <c r="E21" s="95">
        <f>(CleanedDataset!$F75-CleanedDataset!$E75)/CleanedDataset!$F75</f>
        <v>0.79466666666666663</v>
      </c>
      <c r="F21" s="96">
        <v>28</v>
      </c>
      <c r="G21" s="96">
        <f>F21*C21-F21*B21</f>
        <v>840</v>
      </c>
      <c r="H21" s="96">
        <v>5</v>
      </c>
      <c r="I21" s="96">
        <f>H21*C21-F21*B21</f>
        <v>-195</v>
      </c>
      <c r="J21" s="96">
        <v>0</v>
      </c>
      <c r="K21" s="96">
        <f>J21*C21-J21*B21</f>
        <v>0</v>
      </c>
      <c r="L21" s="96">
        <v>0</v>
      </c>
      <c r="M21" s="96">
        <f>L21*C21-L21*B21</f>
        <v>0</v>
      </c>
      <c r="N21" s="96">
        <v>0</v>
      </c>
      <c r="O21" s="96">
        <f>N21*C21-N21*B21</f>
        <v>0</v>
      </c>
      <c r="P21" s="96">
        <v>0</v>
      </c>
      <c r="Q21" s="96">
        <f>P21*C21-P21*B21</f>
        <v>0</v>
      </c>
      <c r="R21" s="96">
        <v>0</v>
      </c>
      <c r="S21" s="96">
        <f>R21*C21-R21*B21</f>
        <v>0</v>
      </c>
      <c r="T21" s="96">
        <f>SUM(P21,N21,L21,J21,H21,F21)</f>
        <v>33</v>
      </c>
      <c r="U21" s="96">
        <v>1</v>
      </c>
      <c r="V21" s="97">
        <v>90</v>
      </c>
      <c r="W21">
        <f t="shared" si="0"/>
        <v>140</v>
      </c>
    </row>
    <row r="22" spans="1:23" x14ac:dyDescent="0.3">
      <c r="A22" s="95">
        <v>5</v>
      </c>
      <c r="B22" s="95">
        <f>A22*3</f>
        <v>15</v>
      </c>
      <c r="C22" s="95">
        <v>66</v>
      </c>
      <c r="D22" s="95">
        <f>C22-B22</f>
        <v>51</v>
      </c>
      <c r="E22" s="95">
        <f>(CleanedDataset!$F101-CleanedDataset!$E101)/CleanedDataset!$F101</f>
        <v>0.1</v>
      </c>
      <c r="F22" s="96">
        <v>1</v>
      </c>
      <c r="G22" s="96">
        <f>F22*C22-F22*B22</f>
        <v>51</v>
      </c>
      <c r="H22" s="96">
        <v>0</v>
      </c>
      <c r="I22" s="96">
        <f>H22*C22-F22*B22</f>
        <v>-15</v>
      </c>
      <c r="J22" s="96">
        <v>0</v>
      </c>
      <c r="K22" s="96">
        <f>J22*C22-J22*B22</f>
        <v>0</v>
      </c>
      <c r="L22" s="96">
        <v>0</v>
      </c>
      <c r="M22" s="96">
        <f>L22*C22-L22*B22</f>
        <v>0</v>
      </c>
      <c r="N22" s="96">
        <v>0</v>
      </c>
      <c r="O22" s="96">
        <f>N22*C22-N22*B22</f>
        <v>0</v>
      </c>
      <c r="P22" s="96">
        <v>0</v>
      </c>
      <c r="Q22" s="96">
        <f>P22*C22-P22*B22</f>
        <v>0</v>
      </c>
      <c r="R22" s="96">
        <v>0</v>
      </c>
      <c r="S22" s="96">
        <f>R22*C22-R22*B22</f>
        <v>0</v>
      </c>
      <c r="T22" s="96">
        <f>SUM(P22,N22,L22,J22,H22,F22)</f>
        <v>1</v>
      </c>
      <c r="U22" s="96">
        <v>1</v>
      </c>
      <c r="V22" s="97">
        <v>98</v>
      </c>
      <c r="W22">
        <f t="shared" si="0"/>
        <v>5</v>
      </c>
    </row>
    <row r="23" spans="1:23" x14ac:dyDescent="0.3">
      <c r="A23" s="90">
        <v>5</v>
      </c>
      <c r="B23" s="90">
        <f>A23*3</f>
        <v>15</v>
      </c>
      <c r="C23" s="90">
        <v>66</v>
      </c>
      <c r="D23" s="90">
        <f>C23-B23</f>
        <v>51</v>
      </c>
      <c r="E23" s="90">
        <f>(CleanedDataset!$F150-CleanedDataset!$E150)/CleanedDataset!$F150</f>
        <v>0.5822222222222222</v>
      </c>
      <c r="F23" s="91">
        <v>87</v>
      </c>
      <c r="G23" s="91">
        <f>F23*C23-F23*B23</f>
        <v>4437</v>
      </c>
      <c r="H23" s="91">
        <v>65</v>
      </c>
      <c r="I23" s="91">
        <f>H23*C23-F23*B23</f>
        <v>2985</v>
      </c>
      <c r="J23" s="91">
        <v>50</v>
      </c>
      <c r="K23" s="91">
        <f>J23*C23-J23*B23</f>
        <v>2550</v>
      </c>
      <c r="L23" s="91">
        <v>67</v>
      </c>
      <c r="M23" s="91">
        <f>L23*C23-L23*B23</f>
        <v>3417</v>
      </c>
      <c r="N23" s="91">
        <v>50</v>
      </c>
      <c r="O23" s="91">
        <f>N23*C23-N23*B23</f>
        <v>2550</v>
      </c>
      <c r="P23" s="91">
        <v>35</v>
      </c>
      <c r="Q23" s="91">
        <f>P23*C23-P23*B23</f>
        <v>1785</v>
      </c>
      <c r="R23" s="91">
        <v>55</v>
      </c>
      <c r="S23" s="91">
        <f>R23*C23-R23*B23</f>
        <v>2805</v>
      </c>
      <c r="T23" s="91">
        <f>SUM(P23,N23,L23,J23,H23,F23)</f>
        <v>354</v>
      </c>
      <c r="U23" s="91">
        <v>1</v>
      </c>
      <c r="V23" s="92">
        <v>91</v>
      </c>
      <c r="W23">
        <f t="shared" si="0"/>
        <v>435</v>
      </c>
    </row>
    <row r="24" spans="1:23" x14ac:dyDescent="0.3">
      <c r="A24" s="90">
        <v>5</v>
      </c>
      <c r="B24" s="90">
        <f>A24*3</f>
        <v>15</v>
      </c>
      <c r="C24" s="90">
        <v>45</v>
      </c>
      <c r="D24" s="90">
        <f>C24-B24</f>
        <v>30</v>
      </c>
      <c r="E24" s="90">
        <f>(CleanedDataset!$F158-CleanedDataset!$E158)/CleanedDataset!$F158</f>
        <v>0.2</v>
      </c>
      <c r="F24" s="91">
        <v>342</v>
      </c>
      <c r="G24" s="91">
        <f>F24*C24-F24*B24</f>
        <v>10260</v>
      </c>
      <c r="H24" s="91">
        <v>280</v>
      </c>
      <c r="I24" s="91">
        <f>H24*C24-F24*B24</f>
        <v>7470</v>
      </c>
      <c r="J24" s="91">
        <v>133</v>
      </c>
      <c r="K24" s="91">
        <f>J24*C24-J24*B24</f>
        <v>3990</v>
      </c>
      <c r="L24" s="91">
        <v>200</v>
      </c>
      <c r="M24" s="91">
        <f>L24*C24-L24*B24</f>
        <v>6000</v>
      </c>
      <c r="N24" s="91">
        <v>187</v>
      </c>
      <c r="O24" s="91">
        <f>N24*C24-N24*B24</f>
        <v>5610</v>
      </c>
      <c r="P24" s="91">
        <v>850</v>
      </c>
      <c r="Q24" s="91">
        <f>P24*C24-P24*B24</f>
        <v>25500</v>
      </c>
      <c r="R24" s="91">
        <v>345</v>
      </c>
      <c r="S24" s="91">
        <f>R24*C24-R24*B24</f>
        <v>10350</v>
      </c>
      <c r="T24" s="91">
        <f>SUM(P24,N24,L24,J24,H24,F24)</f>
        <v>1992</v>
      </c>
      <c r="U24" s="91">
        <v>1</v>
      </c>
      <c r="V24" s="92">
        <v>94</v>
      </c>
      <c r="W24">
        <f t="shared" si="0"/>
        <v>1710</v>
      </c>
    </row>
    <row r="25" spans="1:23" x14ac:dyDescent="0.3">
      <c r="A25" s="95">
        <v>7</v>
      </c>
      <c r="B25" s="95">
        <f>A25*2.8</f>
        <v>19.599999999999998</v>
      </c>
      <c r="C25" s="95">
        <v>30</v>
      </c>
      <c r="D25" s="95">
        <f>C25-B25</f>
        <v>10.400000000000002</v>
      </c>
      <c r="E25" s="95">
        <f>(CleanedDataset!$F61-CleanedDataset!$E61)/CleanedDataset!$F61</f>
        <v>0.76666666666666672</v>
      </c>
      <c r="F25" s="96">
        <v>2132</v>
      </c>
      <c r="G25" s="96">
        <f>F25*C25-F25*B25</f>
        <v>22172.800000000003</v>
      </c>
      <c r="H25" s="96">
        <v>2648</v>
      </c>
      <c r="I25" s="96">
        <f>H25*C25-F25*B25</f>
        <v>37652.800000000003</v>
      </c>
      <c r="J25" s="96">
        <v>2712</v>
      </c>
      <c r="K25" s="96">
        <f>J25*C25-J25*B25</f>
        <v>28204.800000000003</v>
      </c>
      <c r="L25" s="96">
        <v>1775</v>
      </c>
      <c r="M25" s="96">
        <f>L25*C25-L25*B25</f>
        <v>18460.000000000007</v>
      </c>
      <c r="N25" s="96">
        <v>2302</v>
      </c>
      <c r="O25" s="96">
        <f>N25*C25-N25*B25</f>
        <v>23940.800000000003</v>
      </c>
      <c r="P25" s="96">
        <v>2250</v>
      </c>
      <c r="Q25" s="96">
        <f>P25*C25-P25*B25</f>
        <v>23400.000000000007</v>
      </c>
      <c r="R25" s="96">
        <v>2532</v>
      </c>
      <c r="S25" s="96">
        <f>R25*C25-R25*B25</f>
        <v>26332.800000000003</v>
      </c>
      <c r="T25" s="96">
        <f>SUM(P25,N25,L25,J25,H25,F25)</f>
        <v>13819</v>
      </c>
      <c r="U25" s="96">
        <v>1</v>
      </c>
      <c r="V25" s="97">
        <v>91</v>
      </c>
      <c r="W25">
        <f t="shared" si="0"/>
        <v>14924</v>
      </c>
    </row>
    <row r="26" spans="1:23" x14ac:dyDescent="0.3">
      <c r="A26" s="90">
        <v>7</v>
      </c>
      <c r="B26" s="90">
        <f>A26*3</f>
        <v>21</v>
      </c>
      <c r="C26" s="90">
        <v>40</v>
      </c>
      <c r="D26" s="90">
        <f>C26-B26</f>
        <v>19</v>
      </c>
      <c r="E26" s="90">
        <f>(CleanedDataset!$F102-CleanedDataset!$E102)/CleanedDataset!$F102</f>
        <v>0.58904109589041098</v>
      </c>
      <c r="F26" s="91">
        <v>6</v>
      </c>
      <c r="G26" s="91">
        <f>F26*C26-F26*B26</f>
        <v>114</v>
      </c>
      <c r="H26" s="91">
        <v>15</v>
      </c>
      <c r="I26" s="91">
        <f>H26*C26-F26*B26</f>
        <v>474</v>
      </c>
      <c r="J26" s="91">
        <v>0</v>
      </c>
      <c r="K26" s="91">
        <f>J26*C26-J26*B26</f>
        <v>0</v>
      </c>
      <c r="L26" s="91">
        <v>0</v>
      </c>
      <c r="M26" s="91">
        <f>L26*C26-L26*B26</f>
        <v>0</v>
      </c>
      <c r="N26" s="91">
        <v>0</v>
      </c>
      <c r="O26" s="91">
        <f>N26*C26-N26*B26</f>
        <v>0</v>
      </c>
      <c r="P26" s="91">
        <v>0</v>
      </c>
      <c r="Q26" s="91">
        <f>P26*C26-P26*B26</f>
        <v>0</v>
      </c>
      <c r="R26" s="91">
        <v>0</v>
      </c>
      <c r="S26" s="91">
        <f>R26*C26-R26*B26</f>
        <v>0</v>
      </c>
      <c r="T26" s="91">
        <f>SUM(P26,N26,L26,J26,H26,F26)</f>
        <v>21</v>
      </c>
      <c r="U26" s="91">
        <v>1</v>
      </c>
      <c r="V26" s="92">
        <v>94</v>
      </c>
      <c r="W26">
        <f t="shared" si="0"/>
        <v>42</v>
      </c>
    </row>
    <row r="27" spans="1:23" x14ac:dyDescent="0.3">
      <c r="A27" s="95">
        <v>7</v>
      </c>
      <c r="B27" s="95">
        <f>A27*3</f>
        <v>21</v>
      </c>
      <c r="C27" s="95">
        <v>40</v>
      </c>
      <c r="D27" s="95">
        <f>C27-B27</f>
        <v>19</v>
      </c>
      <c r="E27" s="95">
        <f>(CleanedDataset!$F133-CleanedDataset!$E133)/CleanedDataset!$F133</f>
        <v>0.70461538461538464</v>
      </c>
      <c r="F27" s="96">
        <v>135</v>
      </c>
      <c r="G27" s="96">
        <f>F27*C27-F27*B27</f>
        <v>2565</v>
      </c>
      <c r="H27" s="96">
        <v>46</v>
      </c>
      <c r="I27" s="96">
        <f>H27*C27-F27*B27</f>
        <v>-995</v>
      </c>
      <c r="J27" s="96">
        <v>0</v>
      </c>
      <c r="K27" s="96">
        <f>J27*C27-J27*B27</f>
        <v>0</v>
      </c>
      <c r="L27" s="96">
        <v>0</v>
      </c>
      <c r="M27" s="96">
        <f>L27*C27-L27*B27</f>
        <v>0</v>
      </c>
      <c r="N27" s="96">
        <v>0</v>
      </c>
      <c r="O27" s="96">
        <f>N27*C27-N27*B27</f>
        <v>0</v>
      </c>
      <c r="P27" s="96">
        <v>0</v>
      </c>
      <c r="Q27" s="96">
        <f>P27*C27-P27*B27</f>
        <v>0</v>
      </c>
      <c r="R27" s="96">
        <v>0</v>
      </c>
      <c r="S27" s="96">
        <f>R27*C27-R27*B27</f>
        <v>0</v>
      </c>
      <c r="T27" s="96">
        <f>SUM(P27,N27,L27,J27,H27,F27)</f>
        <v>181</v>
      </c>
      <c r="U27" s="96">
        <v>1</v>
      </c>
      <c r="V27" s="97">
        <v>95</v>
      </c>
      <c r="W27">
        <f t="shared" si="0"/>
        <v>945</v>
      </c>
    </row>
    <row r="28" spans="1:23" x14ac:dyDescent="0.3">
      <c r="A28" s="90">
        <v>7</v>
      </c>
      <c r="B28" s="90">
        <f>A28*3</f>
        <v>21</v>
      </c>
      <c r="C28" s="90">
        <v>40</v>
      </c>
      <c r="D28" s="90">
        <f>C28-B28</f>
        <v>19</v>
      </c>
      <c r="E28" s="90">
        <f>(CleanedDataset!$F166-CleanedDataset!$E166)/CleanedDataset!$F166</f>
        <v>0.87076923076923074</v>
      </c>
      <c r="F28" s="91">
        <v>1300</v>
      </c>
      <c r="G28" s="91">
        <f>F28*C28-F28*B28</f>
        <v>24700</v>
      </c>
      <c r="H28" s="91">
        <v>1250</v>
      </c>
      <c r="I28" s="91">
        <f>H28*C28-F28*B28</f>
        <v>22700</v>
      </c>
      <c r="J28" s="91">
        <v>800</v>
      </c>
      <c r="K28" s="91">
        <f>J28*C28-J28*B28</f>
        <v>15200</v>
      </c>
      <c r="L28" s="91">
        <v>750</v>
      </c>
      <c r="M28" s="91">
        <f>L28*C28-L28*B28</f>
        <v>14250</v>
      </c>
      <c r="N28" s="91">
        <v>1200</v>
      </c>
      <c r="O28" s="91">
        <f>N28*C28-N28*B28</f>
        <v>22800</v>
      </c>
      <c r="P28" s="91">
        <v>2050</v>
      </c>
      <c r="Q28" s="91">
        <f>P28*C28-P28*B28</f>
        <v>38950</v>
      </c>
      <c r="R28" s="91">
        <v>1980</v>
      </c>
      <c r="S28" s="91">
        <f>R28*C28-R28*B28</f>
        <v>37620</v>
      </c>
      <c r="T28" s="91">
        <f>SUM(P28,N28,L28,J28,H28,F28)</f>
        <v>7350</v>
      </c>
      <c r="U28" s="91">
        <v>1</v>
      </c>
      <c r="V28" s="92">
        <v>97</v>
      </c>
      <c r="W28">
        <f t="shared" si="0"/>
        <v>9100</v>
      </c>
    </row>
    <row r="29" spans="1:23" x14ac:dyDescent="0.3">
      <c r="A29" s="90">
        <v>5</v>
      </c>
      <c r="B29" s="90">
        <f>A29*2.8</f>
        <v>14</v>
      </c>
      <c r="C29" s="90">
        <v>45</v>
      </c>
      <c r="D29" s="90">
        <f>C29-B29</f>
        <v>31</v>
      </c>
      <c r="E29" s="90">
        <f>(CleanedDataset!$F58-CleanedDataset!$E58)/CleanedDataset!$F58</f>
        <v>0.68</v>
      </c>
      <c r="F29" s="91">
        <v>787</v>
      </c>
      <c r="G29" s="91">
        <f>F29*C29-F29*B29</f>
        <v>24397</v>
      </c>
      <c r="H29" s="91">
        <v>478</v>
      </c>
      <c r="I29" s="91">
        <f>H29*C29-F29*B29</f>
        <v>10492</v>
      </c>
      <c r="J29" s="91">
        <v>1235</v>
      </c>
      <c r="K29" s="91">
        <f>J29*C29-J29*B29</f>
        <v>38285</v>
      </c>
      <c r="L29" s="91">
        <v>1450</v>
      </c>
      <c r="M29" s="91">
        <f>L29*C29-L29*B29</f>
        <v>44950</v>
      </c>
      <c r="N29" s="91">
        <v>1728</v>
      </c>
      <c r="O29" s="91">
        <f>N29*C29-N29*B29</f>
        <v>53568</v>
      </c>
      <c r="P29" s="91">
        <v>1182</v>
      </c>
      <c r="Q29" s="91">
        <f>P29*C29-P29*B29</f>
        <v>36642</v>
      </c>
      <c r="R29" s="91">
        <v>999</v>
      </c>
      <c r="S29" s="91">
        <f>R29*C29-R29*B29</f>
        <v>30969</v>
      </c>
      <c r="T29" s="91">
        <f>SUM(P29,N29,L29,J29,H29,F29)</f>
        <v>6860</v>
      </c>
      <c r="U29" s="91">
        <v>1</v>
      </c>
      <c r="V29" s="92">
        <v>97</v>
      </c>
      <c r="W29">
        <f t="shared" si="0"/>
        <v>3935</v>
      </c>
    </row>
    <row r="30" spans="1:23" x14ac:dyDescent="0.3">
      <c r="A30" s="95">
        <v>5</v>
      </c>
      <c r="B30" s="95">
        <f>A30*3.2</f>
        <v>16</v>
      </c>
      <c r="C30" s="95">
        <v>60</v>
      </c>
      <c r="D30" s="95">
        <f>C30-B30</f>
        <v>44</v>
      </c>
      <c r="E30" s="95">
        <f>(CleanedDataset!$F97-CleanedDataset!$E97)/CleanedDataset!$F97</f>
        <v>0.45</v>
      </c>
      <c r="F30" s="96">
        <v>23</v>
      </c>
      <c r="G30" s="96">
        <f>F30*C30-F30*B30</f>
        <v>1012</v>
      </c>
      <c r="H30" s="96">
        <v>35</v>
      </c>
      <c r="I30" s="96">
        <f>H30*C30-F30*B30</f>
        <v>1732</v>
      </c>
      <c r="J30" s="96">
        <v>0</v>
      </c>
      <c r="K30" s="96">
        <f>J30*C30-J30*B30</f>
        <v>0</v>
      </c>
      <c r="L30" s="96">
        <v>0</v>
      </c>
      <c r="M30" s="96">
        <f>L30*C30-L30*B30</f>
        <v>0</v>
      </c>
      <c r="N30" s="96">
        <v>0</v>
      </c>
      <c r="O30" s="96">
        <f>N30*C30-N30*B30</f>
        <v>0</v>
      </c>
      <c r="P30" s="96">
        <v>0</v>
      </c>
      <c r="Q30" s="96">
        <f>P30*C30-P30*B30</f>
        <v>0</v>
      </c>
      <c r="R30" s="96">
        <v>0</v>
      </c>
      <c r="S30" s="96">
        <f>R30*C30-R30*B30</f>
        <v>0</v>
      </c>
      <c r="T30" s="96">
        <f>SUM(P30,N30,L30,J30,H30,F30)</f>
        <v>58</v>
      </c>
      <c r="U30" s="96">
        <v>1</v>
      </c>
      <c r="V30" s="97">
        <v>95</v>
      </c>
      <c r="W30">
        <f t="shared" si="0"/>
        <v>115</v>
      </c>
    </row>
    <row r="31" spans="1:23" x14ac:dyDescent="0.3">
      <c r="A31" s="90">
        <v>5</v>
      </c>
      <c r="B31" s="90">
        <f>A31*3</f>
        <v>15</v>
      </c>
      <c r="C31" s="90">
        <v>50</v>
      </c>
      <c r="D31" s="90">
        <f>C31-B31</f>
        <v>35</v>
      </c>
      <c r="E31" s="90">
        <f>(CleanedDataset!$F164-CleanedDataset!$E164)/CleanedDataset!$F164</f>
        <v>0.66400000000000003</v>
      </c>
      <c r="F31" s="91">
        <v>860</v>
      </c>
      <c r="G31" s="91">
        <f>F31*C31-F31*B31</f>
        <v>30100</v>
      </c>
      <c r="H31" s="91">
        <v>744</v>
      </c>
      <c r="I31" s="91">
        <f>H31*C31-F31*B31</f>
        <v>24300</v>
      </c>
      <c r="J31" s="91">
        <v>343</v>
      </c>
      <c r="K31" s="91">
        <f>J31*C31-J31*B31</f>
        <v>12005</v>
      </c>
      <c r="L31" s="91">
        <v>320</v>
      </c>
      <c r="M31" s="91">
        <f>L31*C31-L31*B31</f>
        <v>11200</v>
      </c>
      <c r="N31" s="91">
        <v>287</v>
      </c>
      <c r="O31" s="91">
        <f>N31*C31-N31*B31</f>
        <v>10045</v>
      </c>
      <c r="P31" s="91">
        <v>680</v>
      </c>
      <c r="Q31" s="91">
        <f>P31*C31-P31*B31</f>
        <v>23800</v>
      </c>
      <c r="R31" s="91">
        <v>623</v>
      </c>
      <c r="S31" s="91">
        <f>R31*C31-R31*B31</f>
        <v>21805</v>
      </c>
      <c r="T31" s="91">
        <f>SUM(P31,N31,L31,J31,H31,F31)</f>
        <v>3234</v>
      </c>
      <c r="U31" s="91">
        <v>1</v>
      </c>
      <c r="V31" s="92">
        <v>96</v>
      </c>
      <c r="W31">
        <f t="shared" si="0"/>
        <v>4300</v>
      </c>
    </row>
    <row r="32" spans="1:23" x14ac:dyDescent="0.3">
      <c r="A32" s="90">
        <v>7</v>
      </c>
      <c r="B32" s="90">
        <f>A32*2.8</f>
        <v>19.599999999999998</v>
      </c>
      <c r="C32" s="90">
        <v>45</v>
      </c>
      <c r="D32" s="90">
        <f>C32-B32</f>
        <v>25.400000000000002</v>
      </c>
      <c r="E32" s="90">
        <f>(CleanedDataset!$F60-CleanedDataset!$E60)/CleanedDataset!$F60</f>
        <v>0.81333333333333324</v>
      </c>
      <c r="F32" s="91">
        <v>1064</v>
      </c>
      <c r="G32" s="91">
        <f>F32*C32-F32*B32</f>
        <v>27025.600000000002</v>
      </c>
      <c r="H32" s="91">
        <v>1153</v>
      </c>
      <c r="I32" s="91">
        <f>H32*C32-F32*B32</f>
        <v>31030.600000000002</v>
      </c>
      <c r="J32" s="91">
        <v>1979</v>
      </c>
      <c r="K32" s="91">
        <f>J32*C32-J32*B32</f>
        <v>50266.600000000006</v>
      </c>
      <c r="L32" s="91">
        <v>2901</v>
      </c>
      <c r="M32" s="91">
        <f>L32*C32-L32*B32</f>
        <v>73685.400000000009</v>
      </c>
      <c r="N32" s="91">
        <v>2434</v>
      </c>
      <c r="O32" s="91">
        <f>N32*C32-N32*B32</f>
        <v>61823.600000000006</v>
      </c>
      <c r="P32" s="91">
        <v>1693</v>
      </c>
      <c r="Q32" s="91">
        <f>P32*C32-P32*B32</f>
        <v>43002.200000000004</v>
      </c>
      <c r="R32" s="91">
        <v>1311</v>
      </c>
      <c r="S32" s="91">
        <f>R32*C32-R32*B32</f>
        <v>33299.4</v>
      </c>
      <c r="T32" s="91">
        <f>SUM(P32,N32,L32,J32,H32,F32)</f>
        <v>11224</v>
      </c>
      <c r="U32" s="91">
        <v>1</v>
      </c>
      <c r="V32" s="92">
        <v>94</v>
      </c>
      <c r="W32">
        <f t="shared" si="0"/>
        <v>7448</v>
      </c>
    </row>
    <row r="33" spans="1:23" x14ac:dyDescent="0.3">
      <c r="A33" s="95">
        <v>7</v>
      </c>
      <c r="B33" s="95">
        <f>A33*3</f>
        <v>21</v>
      </c>
      <c r="C33" s="95">
        <v>55</v>
      </c>
      <c r="D33" s="95">
        <f>C33-B33</f>
        <v>34</v>
      </c>
      <c r="E33" s="95">
        <f>(CleanedDataset!$F87-CleanedDataset!$E87)/CleanedDataset!$F87</f>
        <v>0.49152542372881358</v>
      </c>
      <c r="F33" s="96">
        <v>23</v>
      </c>
      <c r="G33" s="96">
        <f>F33*C33-F33*B33</f>
        <v>782</v>
      </c>
      <c r="H33" s="96">
        <v>15</v>
      </c>
      <c r="I33" s="96">
        <f>H33*C33-F33*B33</f>
        <v>342</v>
      </c>
      <c r="J33" s="96">
        <v>0</v>
      </c>
      <c r="K33" s="96">
        <f>J33*C33-J33*B33</f>
        <v>0</v>
      </c>
      <c r="L33" s="96">
        <v>0</v>
      </c>
      <c r="M33" s="96">
        <f>L33*C33-L33*B33</f>
        <v>0</v>
      </c>
      <c r="N33" s="96">
        <v>0</v>
      </c>
      <c r="O33" s="96">
        <f>N33*C33-N33*B33</f>
        <v>0</v>
      </c>
      <c r="P33" s="96">
        <v>0</v>
      </c>
      <c r="Q33" s="96">
        <f>P33*C33-P33*B33</f>
        <v>0</v>
      </c>
      <c r="R33" s="96">
        <v>0</v>
      </c>
      <c r="S33" s="96">
        <f>R33*C33-R33*B33</f>
        <v>0</v>
      </c>
      <c r="T33" s="96">
        <f>SUM(P33,N33,L33,J33,H33,F33)</f>
        <v>38</v>
      </c>
      <c r="U33" s="96">
        <v>1</v>
      </c>
      <c r="V33" s="97">
        <v>90</v>
      </c>
      <c r="W33">
        <f t="shared" si="0"/>
        <v>161</v>
      </c>
    </row>
    <row r="34" spans="1:23" x14ac:dyDescent="0.3">
      <c r="A34" s="95">
        <v>7</v>
      </c>
      <c r="B34" s="95">
        <f>A34*3</f>
        <v>21</v>
      </c>
      <c r="C34" s="95">
        <v>55</v>
      </c>
      <c r="D34" s="95">
        <f>C34-B34</f>
        <v>34</v>
      </c>
      <c r="E34" s="95">
        <f>(CleanedDataset!$F169-CleanedDataset!$E169)/CleanedDataset!$F169</f>
        <v>0.49090909090909091</v>
      </c>
      <c r="F34" s="96">
        <v>1578</v>
      </c>
      <c r="G34" s="96">
        <f>F34*C34-F34*B34</f>
        <v>53652</v>
      </c>
      <c r="H34" s="96">
        <v>1450</v>
      </c>
      <c r="I34" s="96">
        <f>H34*C34-F34*B34</f>
        <v>46612</v>
      </c>
      <c r="J34" s="96">
        <v>1135</v>
      </c>
      <c r="K34" s="96">
        <f>J34*C34-J34*B34</f>
        <v>38590</v>
      </c>
      <c r="L34" s="96">
        <v>957</v>
      </c>
      <c r="M34" s="96">
        <f>L34*C34-L34*B34</f>
        <v>32538</v>
      </c>
      <c r="N34" s="96">
        <v>2300</v>
      </c>
      <c r="O34" s="96">
        <f>N34*C34-N34*B34</f>
        <v>78200</v>
      </c>
      <c r="P34" s="96">
        <v>2780</v>
      </c>
      <c r="Q34" s="96">
        <f>P34*C34-P34*B34</f>
        <v>94520</v>
      </c>
      <c r="R34" s="96">
        <v>2800</v>
      </c>
      <c r="S34" s="96">
        <f>R34*C34-R34*B34</f>
        <v>95200</v>
      </c>
      <c r="T34" s="96">
        <f>SUM(P34,N34,L34,J34,H34,F34)</f>
        <v>10200</v>
      </c>
      <c r="U34" s="96">
        <v>1</v>
      </c>
      <c r="V34" s="97">
        <v>95</v>
      </c>
      <c r="W34">
        <f t="shared" si="0"/>
        <v>11046</v>
      </c>
    </row>
    <row r="35" spans="1:23" x14ac:dyDescent="0.3">
      <c r="A35" s="90">
        <v>30</v>
      </c>
      <c r="B35" s="90">
        <f>A35*3</f>
        <v>90</v>
      </c>
      <c r="C35" s="90">
        <v>120</v>
      </c>
      <c r="D35" s="90">
        <f>C35-B35</f>
        <v>30</v>
      </c>
      <c r="E35" s="90">
        <f>(CleanedDataset!$F74-CleanedDataset!$E74)/CleanedDataset!$F74</f>
        <v>0.80588235294117649</v>
      </c>
      <c r="F35" s="91">
        <v>8</v>
      </c>
      <c r="G35" s="91">
        <f>F35*C35-F35*B35</f>
        <v>240</v>
      </c>
      <c r="H35" s="91">
        <v>0</v>
      </c>
      <c r="I35" s="91">
        <f>H35*C35-F35*B35</f>
        <v>-720</v>
      </c>
      <c r="J35" s="91">
        <v>0</v>
      </c>
      <c r="K35" s="91">
        <f>J35*C35-J35*B35</f>
        <v>0</v>
      </c>
      <c r="L35" s="91">
        <v>0</v>
      </c>
      <c r="M35" s="91">
        <f>L35*C35-L35*B35</f>
        <v>0</v>
      </c>
      <c r="N35" s="91">
        <v>0</v>
      </c>
      <c r="O35" s="91">
        <f>N35*C35-N35*B35</f>
        <v>0</v>
      </c>
      <c r="P35" s="91">
        <v>0</v>
      </c>
      <c r="Q35" s="91">
        <f>P35*C35-P35*B35</f>
        <v>0</v>
      </c>
      <c r="R35" s="91">
        <v>0</v>
      </c>
      <c r="S35" s="91">
        <f>R35*C35-R35*B35</f>
        <v>0</v>
      </c>
      <c r="T35" s="91">
        <f>SUM(P35,N35,L35,J35,H35,F35)</f>
        <v>8</v>
      </c>
      <c r="U35" s="91">
        <v>1</v>
      </c>
      <c r="V35" s="92">
        <v>97</v>
      </c>
      <c r="W35">
        <f t="shared" si="0"/>
        <v>240</v>
      </c>
    </row>
    <row r="36" spans="1:23" x14ac:dyDescent="0.3">
      <c r="A36" s="95">
        <v>30</v>
      </c>
      <c r="B36" s="95">
        <f>A36*3.2</f>
        <v>96</v>
      </c>
      <c r="C36" s="95">
        <v>150</v>
      </c>
      <c r="D36" s="95">
        <f>C36-B36</f>
        <v>54</v>
      </c>
      <c r="E36" s="95">
        <f>(CleanedDataset!$F79-CleanedDataset!$E79)/CleanedDataset!$F79</f>
        <v>-0.25263157894736826</v>
      </c>
      <c r="F36" s="96">
        <v>26</v>
      </c>
      <c r="G36" s="96">
        <f>F36*C36-F36*B36</f>
        <v>1404</v>
      </c>
      <c r="H36" s="96">
        <v>25</v>
      </c>
      <c r="I36" s="96">
        <f>H36*C36-F36*B36</f>
        <v>1254</v>
      </c>
      <c r="J36" s="96">
        <v>0</v>
      </c>
      <c r="K36" s="96">
        <f>J36*C36-J36*B36</f>
        <v>0</v>
      </c>
      <c r="L36" s="96">
        <v>0</v>
      </c>
      <c r="M36" s="96">
        <f>L36*C36-L36*B36</f>
        <v>0</v>
      </c>
      <c r="N36" s="96">
        <v>0</v>
      </c>
      <c r="O36" s="96">
        <f>N36*C36-N36*B36</f>
        <v>0</v>
      </c>
      <c r="P36" s="96">
        <v>0</v>
      </c>
      <c r="Q36" s="96">
        <f>P36*C36-P36*B36</f>
        <v>0</v>
      </c>
      <c r="R36" s="96">
        <v>0</v>
      </c>
      <c r="S36" s="96">
        <f>R36*C36-R36*B36</f>
        <v>0</v>
      </c>
      <c r="T36" s="96">
        <f>SUM(P36,N36,L36,J36,H36,F36)</f>
        <v>51</v>
      </c>
      <c r="U36" s="96">
        <v>1</v>
      </c>
      <c r="V36" s="97">
        <v>100</v>
      </c>
      <c r="W36">
        <f t="shared" si="0"/>
        <v>780</v>
      </c>
    </row>
    <row r="37" spans="1:23" x14ac:dyDescent="0.3">
      <c r="A37" s="95">
        <v>30</v>
      </c>
      <c r="B37" s="95">
        <f>A37*3.2</f>
        <v>96</v>
      </c>
      <c r="C37" s="95">
        <v>120</v>
      </c>
      <c r="D37" s="95">
        <f>C37-B37</f>
        <v>24</v>
      </c>
      <c r="E37" s="95">
        <f>(CleanedDataset!$F121-CleanedDataset!$E121)/CleanedDataset!$F121</f>
        <v>0.52</v>
      </c>
      <c r="F37" s="96">
        <v>42</v>
      </c>
      <c r="G37" s="96">
        <f>F37*C37-F37*B37</f>
        <v>1008</v>
      </c>
      <c r="H37" s="96">
        <v>47</v>
      </c>
      <c r="I37" s="96">
        <f>H37*C37-F37*B37</f>
        <v>1608</v>
      </c>
      <c r="J37" s="96">
        <v>12</v>
      </c>
      <c r="K37" s="96">
        <f>J37*C37-J37*B37</f>
        <v>288</v>
      </c>
      <c r="L37" s="96">
        <v>7</v>
      </c>
      <c r="M37" s="96">
        <f>L37*C37-L37*B37</f>
        <v>168</v>
      </c>
      <c r="N37" s="96">
        <v>71</v>
      </c>
      <c r="O37" s="96">
        <f>N37*C37-N37*B37</f>
        <v>1704</v>
      </c>
      <c r="P37" s="96">
        <v>29</v>
      </c>
      <c r="Q37" s="96">
        <f>P37*C37-P37*B37</f>
        <v>696</v>
      </c>
      <c r="R37" s="96">
        <v>31</v>
      </c>
      <c r="S37" s="96">
        <f>R37*C37-R37*B37</f>
        <v>744</v>
      </c>
      <c r="T37" s="96">
        <f>SUM(P37,N37,L37,J37,H37,F37)</f>
        <v>208</v>
      </c>
      <c r="U37" s="96">
        <v>1</v>
      </c>
      <c r="V37" s="97">
        <v>96</v>
      </c>
      <c r="W37">
        <f t="shared" si="0"/>
        <v>1260</v>
      </c>
    </row>
    <row r="38" spans="1:23" x14ac:dyDescent="0.3">
      <c r="A38" s="95">
        <v>30</v>
      </c>
      <c r="B38" s="95">
        <f>A38*3</f>
        <v>90</v>
      </c>
      <c r="C38" s="95">
        <v>120</v>
      </c>
      <c r="D38" s="95">
        <f>C38-B38</f>
        <v>30</v>
      </c>
      <c r="E38" s="95">
        <f>(CleanedDataset!$F131-CleanedDataset!$E131)/CleanedDataset!$F131</f>
        <v>0.58933333333333338</v>
      </c>
      <c r="F38" s="96">
        <v>5</v>
      </c>
      <c r="G38" s="96">
        <f>F38*C38-F38*B38</f>
        <v>150</v>
      </c>
      <c r="H38" s="96">
        <v>0</v>
      </c>
      <c r="I38" s="96">
        <f>H38*C38-F38*B38</f>
        <v>-450</v>
      </c>
      <c r="J38" s="96">
        <v>0</v>
      </c>
      <c r="K38" s="96">
        <f>J38*C38-J38*B38</f>
        <v>0</v>
      </c>
      <c r="L38" s="96">
        <v>0</v>
      </c>
      <c r="M38" s="96">
        <f>L38*C38-L38*B38</f>
        <v>0</v>
      </c>
      <c r="N38" s="96">
        <v>0</v>
      </c>
      <c r="O38" s="96">
        <f>N38*C38-N38*B38</f>
        <v>0</v>
      </c>
      <c r="P38" s="96">
        <v>0</v>
      </c>
      <c r="Q38" s="96">
        <f>P38*C38-P38*B38</f>
        <v>0</v>
      </c>
      <c r="R38" s="96">
        <v>0</v>
      </c>
      <c r="S38" s="96">
        <f>R38*C38-R38*B38</f>
        <v>0</v>
      </c>
      <c r="T38" s="96">
        <f>SUM(P38,N38,L38,J38,H38,F38)</f>
        <v>5</v>
      </c>
      <c r="U38" s="96">
        <v>1</v>
      </c>
      <c r="V38" s="97">
        <v>96</v>
      </c>
      <c r="W38">
        <f t="shared" si="0"/>
        <v>150</v>
      </c>
    </row>
    <row r="39" spans="1:23" x14ac:dyDescent="0.3">
      <c r="A39" s="90">
        <v>40</v>
      </c>
      <c r="B39" s="90">
        <f>A39*2.8</f>
        <v>112</v>
      </c>
      <c r="C39" s="90">
        <v>359</v>
      </c>
      <c r="D39" s="90">
        <f>C39-B39</f>
        <v>247</v>
      </c>
      <c r="E39" s="90">
        <f>(CleanedDataset!$F28-CleanedDataset!$E28)/CleanedDataset!$F28</f>
        <v>0.73333333333333328</v>
      </c>
      <c r="F39" s="91">
        <v>41</v>
      </c>
      <c r="G39" s="91">
        <f>F39*C39-F39*B39</f>
        <v>10127</v>
      </c>
      <c r="H39" s="91">
        <v>106</v>
      </c>
      <c r="I39" s="91">
        <f>H39*C39-F39*B39</f>
        <v>33462</v>
      </c>
      <c r="J39" s="91">
        <v>81</v>
      </c>
      <c r="K39" s="91">
        <f>J39*C39-J39*B39</f>
        <v>20007</v>
      </c>
      <c r="L39" s="91">
        <v>215</v>
      </c>
      <c r="M39" s="91">
        <f>L39*C39-L39*B39</f>
        <v>53105</v>
      </c>
      <c r="N39" s="91">
        <v>255</v>
      </c>
      <c r="O39" s="91">
        <f>N39*C39-N39*B39</f>
        <v>62985</v>
      </c>
      <c r="P39" s="91">
        <v>72</v>
      </c>
      <c r="Q39" s="91">
        <f>P39*C39-P39*B39</f>
        <v>17784</v>
      </c>
      <c r="R39" s="91">
        <v>21</v>
      </c>
      <c r="S39" s="91">
        <f>R39*C39-R39*B39</f>
        <v>5187</v>
      </c>
      <c r="T39" s="91">
        <f>SUM(P39,N39,L39,J39,H39,F39)</f>
        <v>770</v>
      </c>
      <c r="U39" s="91">
        <v>1</v>
      </c>
      <c r="V39" s="92">
        <v>93</v>
      </c>
      <c r="W39">
        <f t="shared" si="0"/>
        <v>1640</v>
      </c>
    </row>
    <row r="40" spans="1:23" x14ac:dyDescent="0.3">
      <c r="A40" s="90">
        <v>40</v>
      </c>
      <c r="B40" s="90">
        <f>A40*3.2</f>
        <v>128</v>
      </c>
      <c r="C40" s="90">
        <v>399</v>
      </c>
      <c r="D40" s="90">
        <f>C40-B40</f>
        <v>271</v>
      </c>
      <c r="E40" s="90">
        <f>(CleanedDataset!$F80-CleanedDataset!$E80)/CleanedDataset!$F80</f>
        <v>-0.20888888888888901</v>
      </c>
      <c r="F40" s="91">
        <v>30</v>
      </c>
      <c r="G40" s="91">
        <f>F40*C40-F40*B40</f>
        <v>8130</v>
      </c>
      <c r="H40" s="91">
        <v>0</v>
      </c>
      <c r="I40" s="91">
        <f>H40*C40-F40*B40</f>
        <v>-3840</v>
      </c>
      <c r="J40" s="91">
        <v>0</v>
      </c>
      <c r="K40" s="91">
        <f>J40*C40-J40*B40</f>
        <v>0</v>
      </c>
      <c r="L40" s="91">
        <v>0</v>
      </c>
      <c r="M40" s="91">
        <f>L40*C40-L40*B40</f>
        <v>0</v>
      </c>
      <c r="N40" s="91">
        <v>0</v>
      </c>
      <c r="O40" s="91">
        <f>N40*C40-N40*B40</f>
        <v>0</v>
      </c>
      <c r="P40" s="91">
        <v>0</v>
      </c>
      <c r="Q40" s="91">
        <f>P40*C40-P40*B40</f>
        <v>0</v>
      </c>
      <c r="R40" s="91">
        <v>0</v>
      </c>
      <c r="S40" s="91">
        <f>R40*C40-R40*B40</f>
        <v>0</v>
      </c>
      <c r="T40" s="91">
        <f>SUM(P40,N40,L40,J40,H40,F40)</f>
        <v>30</v>
      </c>
      <c r="U40" s="91">
        <v>1</v>
      </c>
      <c r="V40" s="92">
        <v>99</v>
      </c>
      <c r="W40">
        <f t="shared" si="0"/>
        <v>1200</v>
      </c>
    </row>
    <row r="41" spans="1:23" x14ac:dyDescent="0.3">
      <c r="A41" s="95">
        <v>40</v>
      </c>
      <c r="B41" s="95">
        <f>A41*3.2</f>
        <v>128</v>
      </c>
      <c r="C41" s="95">
        <v>399</v>
      </c>
      <c r="D41" s="95">
        <f>C41-B41</f>
        <v>271</v>
      </c>
      <c r="E41" s="95">
        <f>(CleanedDataset!$F123-CleanedDataset!$E123)/CleanedDataset!$F123</f>
        <v>0.624</v>
      </c>
      <c r="F41" s="96">
        <v>55</v>
      </c>
      <c r="G41" s="96">
        <f>F41*C41-F41*B41</f>
        <v>14905</v>
      </c>
      <c r="H41" s="96">
        <v>45</v>
      </c>
      <c r="I41" s="96">
        <f>H41*C41-F41*B41</f>
        <v>10915</v>
      </c>
      <c r="J41" s="96">
        <v>0</v>
      </c>
      <c r="K41" s="96">
        <f>J41*C41-J41*B41</f>
        <v>0</v>
      </c>
      <c r="L41" s="96">
        <v>0</v>
      </c>
      <c r="M41" s="96">
        <f>L41*C41-L41*B41</f>
        <v>0</v>
      </c>
      <c r="N41" s="96">
        <v>0</v>
      </c>
      <c r="O41" s="96">
        <f>N41*C41-N41*B41</f>
        <v>0</v>
      </c>
      <c r="P41" s="96">
        <v>0</v>
      </c>
      <c r="Q41" s="96">
        <f>P41*C41-P41*B41</f>
        <v>0</v>
      </c>
      <c r="R41" s="96">
        <v>0</v>
      </c>
      <c r="S41" s="96">
        <f>R41*C41-R41*B41</f>
        <v>0</v>
      </c>
      <c r="T41" s="96">
        <f>SUM(P41,N41,L41,J41,H41,F41)</f>
        <v>100</v>
      </c>
      <c r="U41" s="96">
        <v>1</v>
      </c>
      <c r="V41" s="97">
        <v>98</v>
      </c>
      <c r="W41">
        <f t="shared" si="0"/>
        <v>2200</v>
      </c>
    </row>
    <row r="42" spans="1:23" x14ac:dyDescent="0.3">
      <c r="A42" s="95">
        <v>7.5</v>
      </c>
      <c r="B42" s="95">
        <f>A42*2.8</f>
        <v>21</v>
      </c>
      <c r="C42" s="95">
        <v>58</v>
      </c>
      <c r="D42" s="95">
        <f>C42-B42</f>
        <v>37</v>
      </c>
      <c r="E42" s="95">
        <f>(CleanedDataset!$F41-CleanedDataset!$E41)/CleanedDataset!$F41</f>
        <v>0.56444444444444453</v>
      </c>
      <c r="F42" s="96">
        <v>94</v>
      </c>
      <c r="G42" s="96">
        <f>F42*C42-F42*B42</f>
        <v>3478</v>
      </c>
      <c r="H42" s="96">
        <v>138</v>
      </c>
      <c r="I42" s="96">
        <f>H42*C42-F42*B42</f>
        <v>6030</v>
      </c>
      <c r="J42" s="96">
        <v>124</v>
      </c>
      <c r="K42" s="96">
        <f>J42*C42-J42*B42</f>
        <v>4588</v>
      </c>
      <c r="L42" s="96">
        <v>72</v>
      </c>
      <c r="M42" s="96">
        <f>L42*C42-L42*B42</f>
        <v>2664</v>
      </c>
      <c r="N42" s="96">
        <v>10</v>
      </c>
      <c r="O42" s="96">
        <f>N42*C42-N42*B42</f>
        <v>370</v>
      </c>
      <c r="P42" s="96">
        <v>0</v>
      </c>
      <c r="Q42" s="96">
        <f>P42*C42-P42*B42</f>
        <v>0</v>
      </c>
      <c r="R42" s="96">
        <v>0</v>
      </c>
      <c r="S42" s="96">
        <f>R42*C42-R42*B42</f>
        <v>0</v>
      </c>
      <c r="T42" s="96">
        <f>SUM(P42,N42,L42,J42,H42,F42)</f>
        <v>438</v>
      </c>
      <c r="U42" s="96">
        <v>1</v>
      </c>
      <c r="V42" s="97">
        <v>99</v>
      </c>
      <c r="W42">
        <f t="shared" si="0"/>
        <v>705</v>
      </c>
    </row>
    <row r="43" spans="1:23" x14ac:dyDescent="0.3">
      <c r="A43" s="95">
        <v>7.5</v>
      </c>
      <c r="B43" s="95">
        <f>A43*3</f>
        <v>22.5</v>
      </c>
      <c r="C43" s="95">
        <v>70</v>
      </c>
      <c r="D43" s="95">
        <f>C43-B43</f>
        <v>47.5</v>
      </c>
      <c r="E43" s="95">
        <f>(CleanedDataset!$F73-CleanedDataset!$E73)/CleanedDataset!$F73</f>
        <v>0.8222222222222223</v>
      </c>
      <c r="F43" s="96">
        <v>5</v>
      </c>
      <c r="G43" s="96">
        <f>F43*C43-F43*B43</f>
        <v>237.5</v>
      </c>
      <c r="H43" s="96">
        <v>0</v>
      </c>
      <c r="I43" s="96">
        <f>H43*C43-F43*B43</f>
        <v>-112.5</v>
      </c>
      <c r="J43" s="96">
        <v>0</v>
      </c>
      <c r="K43" s="96">
        <f>J43*C43-J43*B43</f>
        <v>0</v>
      </c>
      <c r="L43" s="96">
        <v>0</v>
      </c>
      <c r="M43" s="96">
        <f>L43*C43-L43*B43</f>
        <v>0</v>
      </c>
      <c r="N43" s="96">
        <v>0</v>
      </c>
      <c r="O43" s="96">
        <f>N43*C43-N43*B43</f>
        <v>0</v>
      </c>
      <c r="P43" s="96">
        <v>0</v>
      </c>
      <c r="Q43" s="96">
        <f>P43*C43-P43*B43</f>
        <v>0</v>
      </c>
      <c r="R43" s="96">
        <v>0</v>
      </c>
      <c r="S43" s="96">
        <f>R43*C43-R43*B43</f>
        <v>0</v>
      </c>
      <c r="T43" s="96">
        <f>SUM(P43,N43,L43,J43,H43,F43)</f>
        <v>5</v>
      </c>
      <c r="U43" s="96">
        <v>1</v>
      </c>
      <c r="V43" s="97">
        <v>96</v>
      </c>
      <c r="W43">
        <f t="shared" si="0"/>
        <v>37.5</v>
      </c>
    </row>
    <row r="44" spans="1:23" x14ac:dyDescent="0.3">
      <c r="A44" s="95">
        <v>7.5</v>
      </c>
      <c r="B44" s="95">
        <f>A44*3</f>
        <v>22.5</v>
      </c>
      <c r="C44" s="95">
        <v>70</v>
      </c>
      <c r="D44" s="95">
        <f>C44-B44</f>
        <v>47.5</v>
      </c>
      <c r="E44" s="95">
        <f>(CleanedDataset!$F159-CleanedDataset!$E159)/CleanedDataset!$F159</f>
        <v>0.25</v>
      </c>
      <c r="F44" s="96">
        <v>360</v>
      </c>
      <c r="G44" s="96">
        <f>F44*C44-F44*B44</f>
        <v>17100</v>
      </c>
      <c r="H44" s="96">
        <v>245</v>
      </c>
      <c r="I44" s="96">
        <f>H44*C44-F44*B44</f>
        <v>9050</v>
      </c>
      <c r="J44" s="96">
        <v>133</v>
      </c>
      <c r="K44" s="96">
        <f>J44*C44-J44*B44</f>
        <v>6317.5</v>
      </c>
      <c r="L44" s="96">
        <v>88</v>
      </c>
      <c r="M44" s="96">
        <f>L44*C44-L44*B44</f>
        <v>4180</v>
      </c>
      <c r="N44" s="96">
        <v>10</v>
      </c>
      <c r="O44" s="96">
        <f>N44*C44-N44*B44</f>
        <v>475</v>
      </c>
      <c r="P44" s="96">
        <v>0</v>
      </c>
      <c r="Q44" s="96">
        <f>P44*C44-P44*B44</f>
        <v>0</v>
      </c>
      <c r="R44" s="96">
        <v>0</v>
      </c>
      <c r="S44" s="96">
        <f>R44*C44-R44*B44</f>
        <v>0</v>
      </c>
      <c r="T44" s="96">
        <f>SUM(P44,N44,L44,J44,H44,F44)</f>
        <v>836</v>
      </c>
      <c r="U44" s="96">
        <v>1</v>
      </c>
      <c r="V44" s="97">
        <v>99</v>
      </c>
      <c r="W44">
        <f t="shared" si="0"/>
        <v>2700</v>
      </c>
    </row>
    <row r="45" spans="1:23" x14ac:dyDescent="0.3">
      <c r="A45" s="90">
        <v>10</v>
      </c>
      <c r="B45" s="90">
        <f>A45*2.8</f>
        <v>28</v>
      </c>
      <c r="C45" s="90">
        <v>130</v>
      </c>
      <c r="D45" s="90">
        <f>C45-B45</f>
        <v>102</v>
      </c>
      <c r="E45" s="90">
        <f>(CleanedDataset!$F14-CleanedDataset!$E14)/CleanedDataset!$F14</f>
        <v>0.70666666666666667</v>
      </c>
      <c r="F45" s="91">
        <v>15</v>
      </c>
      <c r="G45" s="91">
        <f>F45*C45-F45*B45</f>
        <v>1530</v>
      </c>
      <c r="H45" s="91">
        <v>15</v>
      </c>
      <c r="I45" s="91">
        <f>H45*C45-F45*B45</f>
        <v>1530</v>
      </c>
      <c r="J45" s="91">
        <v>0</v>
      </c>
      <c r="K45" s="91">
        <f>J45*C45-J45*B45</f>
        <v>0</v>
      </c>
      <c r="L45" s="91">
        <v>0</v>
      </c>
      <c r="M45" s="91">
        <f>L45*C45-L45*B45</f>
        <v>0</v>
      </c>
      <c r="N45" s="91">
        <v>0</v>
      </c>
      <c r="O45" s="91">
        <f>N45*C45-N45*B45</f>
        <v>0</v>
      </c>
      <c r="P45" s="91">
        <v>0</v>
      </c>
      <c r="Q45" s="91">
        <f>P45*C45-P45*B45</f>
        <v>0</v>
      </c>
      <c r="R45" s="91">
        <v>0</v>
      </c>
      <c r="S45" s="91">
        <f>R45*C45-R45*B45</f>
        <v>0</v>
      </c>
      <c r="T45" s="91">
        <f>SUM(P45,N45,L45,J45,H45,F45)</f>
        <v>30</v>
      </c>
      <c r="U45" s="91">
        <v>1</v>
      </c>
      <c r="V45" s="92">
        <v>94</v>
      </c>
      <c r="W45">
        <f t="shared" si="0"/>
        <v>150</v>
      </c>
    </row>
    <row r="46" spans="1:23" x14ac:dyDescent="0.3">
      <c r="A46" s="95">
        <v>4.5</v>
      </c>
      <c r="B46" s="95">
        <f>A46*2.8</f>
        <v>12.6</v>
      </c>
      <c r="C46" s="95">
        <v>40</v>
      </c>
      <c r="D46" s="95">
        <f>C46-B46</f>
        <v>27.4</v>
      </c>
      <c r="E46" s="95">
        <f>(CleanedDataset!$F29-CleanedDataset!$E29)/CleanedDataset!$F29</f>
        <v>0.7</v>
      </c>
      <c r="F46" s="96">
        <v>41</v>
      </c>
      <c r="G46" s="96">
        <f>F46*C46-F46*B46</f>
        <v>1123.4000000000001</v>
      </c>
      <c r="H46" s="96">
        <v>68</v>
      </c>
      <c r="I46" s="96">
        <f>H46*C46-F46*B46</f>
        <v>2203.4</v>
      </c>
      <c r="J46" s="96">
        <v>183</v>
      </c>
      <c r="K46" s="96">
        <f>J46*C46-J46*B46</f>
        <v>5014.2000000000007</v>
      </c>
      <c r="L46" s="96">
        <v>73</v>
      </c>
      <c r="M46" s="96">
        <f>L46*C46-L46*B46</f>
        <v>2000.2</v>
      </c>
      <c r="N46" s="96">
        <v>79</v>
      </c>
      <c r="O46" s="96">
        <f>N46*C46-N46*B46</f>
        <v>2164.6</v>
      </c>
      <c r="P46" s="96">
        <v>314</v>
      </c>
      <c r="Q46" s="96">
        <f>P46*C46-P46*B46</f>
        <v>8603.6</v>
      </c>
      <c r="R46" s="96">
        <v>156</v>
      </c>
      <c r="S46" s="96">
        <f>R46*C46-R46*B46</f>
        <v>4274.3999999999996</v>
      </c>
      <c r="T46" s="96">
        <f>SUM(P46,N46,L46,J46,H46,F46)</f>
        <v>758</v>
      </c>
      <c r="U46" s="96">
        <v>1</v>
      </c>
      <c r="V46" s="97">
        <v>97</v>
      </c>
      <c r="W46">
        <f t="shared" si="0"/>
        <v>184.5</v>
      </c>
    </row>
    <row r="47" spans="1:23" x14ac:dyDescent="0.3">
      <c r="A47" s="90">
        <v>8</v>
      </c>
      <c r="B47" s="90">
        <f>A47*2.8</f>
        <v>22.4</v>
      </c>
      <c r="C47" s="90">
        <v>65</v>
      </c>
      <c r="D47" s="90">
        <f>C47-B47</f>
        <v>42.6</v>
      </c>
      <c r="E47" s="90">
        <f>(CleanedDataset!$F34-CleanedDataset!$E34)/CleanedDataset!$F34</f>
        <v>0.77272727272727271</v>
      </c>
      <c r="F47" s="91">
        <v>60</v>
      </c>
      <c r="G47" s="91">
        <f>F47*C47-F47*B47</f>
        <v>2556</v>
      </c>
      <c r="H47" s="91">
        <v>68</v>
      </c>
      <c r="I47" s="91">
        <f>H47*C47-F47*B47</f>
        <v>3076</v>
      </c>
      <c r="J47" s="91">
        <v>315</v>
      </c>
      <c r="K47" s="91">
        <f>J47*C47-J47*B47</f>
        <v>13419</v>
      </c>
      <c r="L47" s="91">
        <v>56</v>
      </c>
      <c r="M47" s="91">
        <f>L47*C47-L47*B47</f>
        <v>2385.6000000000004</v>
      </c>
      <c r="N47" s="91">
        <v>132</v>
      </c>
      <c r="O47" s="91">
        <f>N47*C47-N47*B47</f>
        <v>5623.2000000000007</v>
      </c>
      <c r="P47" s="91">
        <v>160</v>
      </c>
      <c r="Q47" s="91">
        <f>P47*C47-P47*B47</f>
        <v>6816</v>
      </c>
      <c r="R47" s="91">
        <v>168</v>
      </c>
      <c r="S47" s="91">
        <f>R47*C47-R47*B47</f>
        <v>7156.8</v>
      </c>
      <c r="T47" s="91">
        <f>SUM(P47,N47,L47,J47,H47,F47)</f>
        <v>791</v>
      </c>
      <c r="U47" s="91">
        <v>1</v>
      </c>
      <c r="V47" s="92">
        <v>99</v>
      </c>
      <c r="W47">
        <f t="shared" si="0"/>
        <v>480</v>
      </c>
    </row>
    <row r="48" spans="1:23" x14ac:dyDescent="0.3">
      <c r="A48" s="95">
        <v>9</v>
      </c>
      <c r="B48" s="95">
        <f>A48*2.8</f>
        <v>25.2</v>
      </c>
      <c r="C48" s="95">
        <v>45</v>
      </c>
      <c r="D48" s="95">
        <f>C48-B48</f>
        <v>19.8</v>
      </c>
      <c r="E48" s="95">
        <f>(CleanedDataset!$F39-CleanedDataset!$E39)/CleanedDataset!$F39</f>
        <v>0.61818181818181817</v>
      </c>
      <c r="F48" s="96">
        <v>80</v>
      </c>
      <c r="G48" s="96">
        <f>F48*C48-F48*B48</f>
        <v>1584</v>
      </c>
      <c r="H48" s="96">
        <v>71</v>
      </c>
      <c r="I48" s="96">
        <f>H48*C48-F48*B48</f>
        <v>1179</v>
      </c>
      <c r="J48" s="96">
        <v>200</v>
      </c>
      <c r="K48" s="96">
        <f>J48*C48-J48*B48</f>
        <v>3960</v>
      </c>
      <c r="L48" s="96">
        <v>114</v>
      </c>
      <c r="M48" s="96">
        <f>L48*C48-L48*B48</f>
        <v>2257.2000000000003</v>
      </c>
      <c r="N48" s="96">
        <v>210</v>
      </c>
      <c r="O48" s="96">
        <f>N48*C48-N48*B48</f>
        <v>4158</v>
      </c>
      <c r="P48" s="96">
        <v>116</v>
      </c>
      <c r="Q48" s="96">
        <f>P48*C48-P48*B48</f>
        <v>2296.8000000000002</v>
      </c>
      <c r="R48" s="96">
        <v>408</v>
      </c>
      <c r="S48" s="96">
        <f>R48*C48-R48*B48</f>
        <v>8078.4</v>
      </c>
      <c r="T48" s="96">
        <f>SUM(P48,N48,L48,J48,H48,F48)</f>
        <v>791</v>
      </c>
      <c r="U48" s="96">
        <v>1</v>
      </c>
      <c r="V48" s="97">
        <v>97</v>
      </c>
      <c r="W48">
        <f t="shared" si="0"/>
        <v>720</v>
      </c>
    </row>
    <row r="49" spans="1:23" x14ac:dyDescent="0.3">
      <c r="A49" s="90">
        <v>3.5</v>
      </c>
      <c r="B49" s="90">
        <f>A49*2.8</f>
        <v>9.7999999999999989</v>
      </c>
      <c r="C49" s="90">
        <v>35</v>
      </c>
      <c r="D49" s="90">
        <f>C49-B49</f>
        <v>25.200000000000003</v>
      </c>
      <c r="E49" s="90">
        <f>(CleanedDataset!$F44-CleanedDataset!$E44)/CleanedDataset!$F44</f>
        <v>0.69387755102040816</v>
      </c>
      <c r="F49" s="91">
        <v>124</v>
      </c>
      <c r="G49" s="91">
        <f>F49*C49-F49*B49</f>
        <v>3124.8</v>
      </c>
      <c r="H49" s="91">
        <v>4</v>
      </c>
      <c r="I49" s="91">
        <f>H49*C49-F49*B49</f>
        <v>-1075.1999999999998</v>
      </c>
      <c r="J49" s="91">
        <v>127</v>
      </c>
      <c r="K49" s="91">
        <f>J49*C49-J49*B49</f>
        <v>3200.4</v>
      </c>
      <c r="L49" s="91">
        <v>35</v>
      </c>
      <c r="M49" s="91">
        <f>L49*C49-L49*B49</f>
        <v>882</v>
      </c>
      <c r="N49" s="91">
        <v>38</v>
      </c>
      <c r="O49" s="91">
        <f>N49*C49-N49*B49</f>
        <v>957.6</v>
      </c>
      <c r="P49" s="91">
        <v>12</v>
      </c>
      <c r="Q49" s="91">
        <f>P49*C49-P49*B49</f>
        <v>302.39999999999998</v>
      </c>
      <c r="R49" s="91">
        <v>0</v>
      </c>
      <c r="S49" s="91">
        <f>R49*C49-R49*B49</f>
        <v>0</v>
      </c>
      <c r="T49" s="91">
        <f>SUM(P49,N49,L49,J49,H49,F49)</f>
        <v>340</v>
      </c>
      <c r="U49" s="91">
        <v>1</v>
      </c>
      <c r="V49" s="92">
        <v>97</v>
      </c>
      <c r="W49">
        <f t="shared" si="0"/>
        <v>434</v>
      </c>
    </row>
    <row r="50" spans="1:23" x14ac:dyDescent="0.3">
      <c r="A50" s="90">
        <v>10</v>
      </c>
      <c r="B50" s="90">
        <f>A50*3</f>
        <v>30</v>
      </c>
      <c r="C50" s="90">
        <v>145</v>
      </c>
      <c r="D50" s="90">
        <f>C50-B50</f>
        <v>115</v>
      </c>
      <c r="E50" s="90">
        <f>(CleanedDataset!$F70-CleanedDataset!$E70)/CleanedDataset!$F70</f>
        <v>0.7931034482758621</v>
      </c>
      <c r="F50" s="91">
        <v>2</v>
      </c>
      <c r="G50" s="91">
        <f>F50*C50-F50*B50</f>
        <v>230</v>
      </c>
      <c r="H50" s="91">
        <v>0</v>
      </c>
      <c r="I50" s="91">
        <f>H50*C50-F50*B50</f>
        <v>-60</v>
      </c>
      <c r="J50" s="91">
        <v>0</v>
      </c>
      <c r="K50" s="91">
        <f>J50*C50-J50*B50</f>
        <v>0</v>
      </c>
      <c r="L50" s="91">
        <v>0</v>
      </c>
      <c r="M50" s="91">
        <f>L50*C50-L50*B50</f>
        <v>0</v>
      </c>
      <c r="N50" s="91">
        <v>0</v>
      </c>
      <c r="O50" s="91">
        <f>N50*C50-N50*B50</f>
        <v>0</v>
      </c>
      <c r="P50" s="91">
        <v>0</v>
      </c>
      <c r="Q50" s="91">
        <f>P50*C50-P50*B50</f>
        <v>0</v>
      </c>
      <c r="R50" s="91">
        <v>0</v>
      </c>
      <c r="S50" s="91">
        <f>R50*C50-R50*B50</f>
        <v>0</v>
      </c>
      <c r="T50" s="91">
        <f>SUM(P50,N50,L50,J50,H50,F50)</f>
        <v>2</v>
      </c>
      <c r="U50" s="91">
        <v>1</v>
      </c>
      <c r="V50" s="92">
        <v>100</v>
      </c>
      <c r="W50">
        <f t="shared" si="0"/>
        <v>20</v>
      </c>
    </row>
    <row r="51" spans="1:23" x14ac:dyDescent="0.3">
      <c r="A51" s="95">
        <v>3.5</v>
      </c>
      <c r="B51" s="95">
        <f>A51*3.2</f>
        <v>11.200000000000001</v>
      </c>
      <c r="C51" s="95">
        <v>60</v>
      </c>
      <c r="D51" s="95">
        <f>C51-B51</f>
        <v>48.8</v>
      </c>
      <c r="E51" s="95">
        <f>(CleanedDataset!$F107-CleanedDataset!$E107)/CleanedDataset!$F107</f>
        <v>0.4</v>
      </c>
      <c r="F51" s="96">
        <v>3</v>
      </c>
      <c r="G51" s="96">
        <f>F51*C51-F51*B51</f>
        <v>146.4</v>
      </c>
      <c r="H51" s="96">
        <v>0</v>
      </c>
      <c r="I51" s="96">
        <f>H51*C51-F51*B51</f>
        <v>-33.6</v>
      </c>
      <c r="J51" s="96">
        <v>0</v>
      </c>
      <c r="K51" s="96">
        <f>J51*C51-J51*B51</f>
        <v>0</v>
      </c>
      <c r="L51" s="96">
        <v>0</v>
      </c>
      <c r="M51" s="96">
        <f>L51*C51-L51*B51</f>
        <v>0</v>
      </c>
      <c r="N51" s="96">
        <v>0</v>
      </c>
      <c r="O51" s="96">
        <f>N51*C51-N51*B51</f>
        <v>0</v>
      </c>
      <c r="P51" s="96">
        <v>0</v>
      </c>
      <c r="Q51" s="96">
        <f>P51*C51-P51*B51</f>
        <v>0</v>
      </c>
      <c r="R51" s="96">
        <v>0</v>
      </c>
      <c r="S51" s="96">
        <f>R51*C51-R51*B51</f>
        <v>0</v>
      </c>
      <c r="T51" s="96">
        <f>SUM(P51,N51,L51,J51,H51,F51)</f>
        <v>3</v>
      </c>
      <c r="U51" s="96">
        <v>1</v>
      </c>
      <c r="V51" s="97">
        <v>94</v>
      </c>
      <c r="W51">
        <f t="shared" si="0"/>
        <v>10.5</v>
      </c>
    </row>
    <row r="52" spans="1:23" x14ac:dyDescent="0.3">
      <c r="A52" s="95">
        <v>4.5</v>
      </c>
      <c r="B52" s="95">
        <f>A52*3.2</f>
        <v>14.4</v>
      </c>
      <c r="C52" s="95">
        <v>65</v>
      </c>
      <c r="D52" s="95">
        <f>C52-B52</f>
        <v>50.6</v>
      </c>
      <c r="E52" s="95">
        <f>(CleanedDataset!$F109-CleanedDataset!$E109)/CleanedDataset!$F109</f>
        <v>0.44615384615384618</v>
      </c>
      <c r="F52" s="96">
        <v>5</v>
      </c>
      <c r="G52" s="96">
        <f>F52*C52-F52*B52</f>
        <v>253</v>
      </c>
      <c r="H52" s="96">
        <v>0</v>
      </c>
      <c r="I52" s="96">
        <f>H52*C52-F52*B52</f>
        <v>-72</v>
      </c>
      <c r="J52" s="96">
        <v>0</v>
      </c>
      <c r="K52" s="96">
        <f>J52*C52-J52*B52</f>
        <v>0</v>
      </c>
      <c r="L52" s="96">
        <v>0</v>
      </c>
      <c r="M52" s="96">
        <f>L52*C52-L52*B52</f>
        <v>0</v>
      </c>
      <c r="N52" s="96">
        <v>0</v>
      </c>
      <c r="O52" s="96">
        <f>N52*C52-N52*B52</f>
        <v>0</v>
      </c>
      <c r="P52" s="96">
        <v>0</v>
      </c>
      <c r="Q52" s="96">
        <f>P52*C52-P52*B52</f>
        <v>0</v>
      </c>
      <c r="R52" s="96">
        <v>0</v>
      </c>
      <c r="S52" s="96">
        <f>R52*C52-R52*B52</f>
        <v>0</v>
      </c>
      <c r="T52" s="96">
        <f>SUM(P52,N52,L52,J52,H52,F52)</f>
        <v>5</v>
      </c>
      <c r="U52" s="96">
        <v>1</v>
      </c>
      <c r="V52" s="97">
        <v>94</v>
      </c>
      <c r="W52">
        <f t="shared" si="0"/>
        <v>22.5</v>
      </c>
    </row>
    <row r="53" spans="1:23" x14ac:dyDescent="0.3">
      <c r="A53" s="90">
        <v>8</v>
      </c>
      <c r="B53" s="90">
        <f>A53*3.2</f>
        <v>25.6</v>
      </c>
      <c r="C53" s="90">
        <v>85</v>
      </c>
      <c r="D53" s="90">
        <f>C53-B53</f>
        <v>59.4</v>
      </c>
      <c r="E53" s="90">
        <f>(CleanedDataset!$F110-CleanedDataset!$E110)/CleanedDataset!$F110</f>
        <v>0.48</v>
      </c>
      <c r="F53" s="91">
        <v>5</v>
      </c>
      <c r="G53" s="91">
        <f>F53*C53-F53*B53</f>
        <v>297</v>
      </c>
      <c r="H53" s="91">
        <v>0</v>
      </c>
      <c r="I53" s="91">
        <f>H53*C53-F53*B53</f>
        <v>-128</v>
      </c>
      <c r="J53" s="91">
        <v>0</v>
      </c>
      <c r="K53" s="91">
        <f>J53*C53-J53*B53</f>
        <v>0</v>
      </c>
      <c r="L53" s="91">
        <v>0</v>
      </c>
      <c r="M53" s="91">
        <f>L53*C53-L53*B53</f>
        <v>0</v>
      </c>
      <c r="N53" s="91">
        <v>0</v>
      </c>
      <c r="O53" s="91">
        <f>N53*C53-N53*B53</f>
        <v>0</v>
      </c>
      <c r="P53" s="91">
        <v>0</v>
      </c>
      <c r="Q53" s="91">
        <f>P53*C53-P53*B53</f>
        <v>0</v>
      </c>
      <c r="R53" s="91">
        <v>0</v>
      </c>
      <c r="S53" s="91">
        <f>R53*C53-R53*B53</f>
        <v>0</v>
      </c>
      <c r="T53" s="91">
        <f>SUM(P53,N53,L53,J53,H53,F53)</f>
        <v>5</v>
      </c>
      <c r="U53" s="91">
        <v>1</v>
      </c>
      <c r="V53" s="92">
        <v>97</v>
      </c>
      <c r="W53">
        <f t="shared" si="0"/>
        <v>40</v>
      </c>
    </row>
    <row r="54" spans="1:23" x14ac:dyDescent="0.3">
      <c r="A54" s="95">
        <v>10</v>
      </c>
      <c r="B54" s="95">
        <f>A54*3.2</f>
        <v>32</v>
      </c>
      <c r="C54" s="95">
        <v>145</v>
      </c>
      <c r="D54" s="95">
        <f>C54-B54</f>
        <v>113</v>
      </c>
      <c r="E54" s="95">
        <f>(CleanedDataset!$F113-CleanedDataset!$E113)/CleanedDataset!$F113</f>
        <v>0.37777777777777777</v>
      </c>
      <c r="F54" s="96">
        <v>13</v>
      </c>
      <c r="G54" s="96">
        <f>F54*C54-F54*B54</f>
        <v>1469</v>
      </c>
      <c r="H54" s="96">
        <v>10</v>
      </c>
      <c r="I54" s="96">
        <f>H54*C54-F54*B54</f>
        <v>1034</v>
      </c>
      <c r="J54" s="96">
        <v>0</v>
      </c>
      <c r="K54" s="96">
        <f>J54*C54-J54*B54</f>
        <v>0</v>
      </c>
      <c r="L54" s="96">
        <v>0</v>
      </c>
      <c r="M54" s="96">
        <f>L54*C54-L54*B54</f>
        <v>0</v>
      </c>
      <c r="N54" s="96">
        <v>0</v>
      </c>
      <c r="O54" s="96">
        <f>N54*C54-N54*B54</f>
        <v>0</v>
      </c>
      <c r="P54" s="96">
        <v>0</v>
      </c>
      <c r="Q54" s="96">
        <f>P54*C54-P54*B54</f>
        <v>0</v>
      </c>
      <c r="R54" s="96">
        <v>0</v>
      </c>
      <c r="S54" s="96">
        <f>R54*C54-R54*B54</f>
        <v>0</v>
      </c>
      <c r="T54" s="96">
        <f>SUM(P54,N54,L54,J54,H54,F54)</f>
        <v>23</v>
      </c>
      <c r="U54" s="96">
        <v>1</v>
      </c>
      <c r="V54" s="97">
        <v>96</v>
      </c>
      <c r="W54">
        <f t="shared" si="0"/>
        <v>130</v>
      </c>
    </row>
    <row r="55" spans="1:23" x14ac:dyDescent="0.3">
      <c r="A55" s="90">
        <v>10</v>
      </c>
      <c r="B55" s="90">
        <f>A55*3</f>
        <v>30</v>
      </c>
      <c r="C55" s="90">
        <v>145</v>
      </c>
      <c r="D55" s="90">
        <f>C55-B55</f>
        <v>115</v>
      </c>
      <c r="E55" s="90">
        <f>(CleanedDataset!$F140-CleanedDataset!$E140)/CleanedDataset!$F140</f>
        <v>0.57999999999999996</v>
      </c>
      <c r="F55" s="91">
        <v>10</v>
      </c>
      <c r="G55" s="91">
        <f>F55*C55-F55*B55</f>
        <v>1150</v>
      </c>
      <c r="H55" s="91">
        <v>0</v>
      </c>
      <c r="I55" s="91">
        <f>H55*C55-F55*B55</f>
        <v>-300</v>
      </c>
      <c r="J55" s="91">
        <v>0</v>
      </c>
      <c r="K55" s="91">
        <f>J55*C55-J55*B55</f>
        <v>0</v>
      </c>
      <c r="L55" s="91">
        <v>0</v>
      </c>
      <c r="M55" s="91">
        <f>L55*C55-L55*B55</f>
        <v>0</v>
      </c>
      <c r="N55" s="91">
        <v>0</v>
      </c>
      <c r="O55" s="91">
        <f>N55*C55-N55*B55</f>
        <v>0</v>
      </c>
      <c r="P55" s="91">
        <v>0</v>
      </c>
      <c r="Q55" s="91">
        <f>P55*C55-P55*B55</f>
        <v>0</v>
      </c>
      <c r="R55" s="91">
        <v>0</v>
      </c>
      <c r="S55" s="91">
        <f>R55*C55-R55*B55</f>
        <v>0</v>
      </c>
      <c r="T55" s="91">
        <f>SUM(P55,N55,L55,J55,H55,F55)</f>
        <v>10</v>
      </c>
      <c r="U55" s="91">
        <v>1</v>
      </c>
      <c r="V55" s="92">
        <v>94</v>
      </c>
      <c r="W55">
        <f t="shared" si="0"/>
        <v>100</v>
      </c>
    </row>
    <row r="56" spans="1:23" x14ac:dyDescent="0.3">
      <c r="A56" s="95">
        <v>3.5</v>
      </c>
      <c r="B56" s="95">
        <f>A56*3</f>
        <v>10.5</v>
      </c>
      <c r="C56" s="95">
        <v>45</v>
      </c>
      <c r="D56" s="95">
        <f>C56-B56</f>
        <v>34.5</v>
      </c>
      <c r="E56" s="95">
        <f>(CleanedDataset!$F143-CleanedDataset!$E143)/CleanedDataset!$F143</f>
        <v>0.55862068965517242</v>
      </c>
      <c r="F56" s="96">
        <v>24</v>
      </c>
      <c r="G56" s="96">
        <f>F56*C56-F56*B56</f>
        <v>828</v>
      </c>
      <c r="H56" s="96">
        <v>0</v>
      </c>
      <c r="I56" s="96">
        <f>H56*C56-F56*B56</f>
        <v>-252</v>
      </c>
      <c r="J56" s="96">
        <v>0</v>
      </c>
      <c r="K56" s="96">
        <f>J56*C56-J56*B56</f>
        <v>0</v>
      </c>
      <c r="L56" s="96">
        <v>0</v>
      </c>
      <c r="M56" s="96">
        <f>L56*C56-L56*B56</f>
        <v>0</v>
      </c>
      <c r="N56" s="96">
        <v>0</v>
      </c>
      <c r="O56" s="96">
        <f>N56*C56-N56*B56</f>
        <v>0</v>
      </c>
      <c r="P56" s="96">
        <v>0</v>
      </c>
      <c r="Q56" s="96">
        <f>P56*C56-P56*B56</f>
        <v>0</v>
      </c>
      <c r="R56" s="96">
        <v>0</v>
      </c>
      <c r="S56" s="96">
        <f>R56*C56-R56*B56</f>
        <v>0</v>
      </c>
      <c r="T56" s="96">
        <f>SUM(P56,N56,L56,J56,H56,F56)</f>
        <v>24</v>
      </c>
      <c r="U56" s="96">
        <v>1</v>
      </c>
      <c r="V56" s="97">
        <v>91</v>
      </c>
      <c r="W56">
        <f t="shared" si="0"/>
        <v>84</v>
      </c>
    </row>
    <row r="57" spans="1:23" x14ac:dyDescent="0.3">
      <c r="A57" s="95">
        <v>4.5</v>
      </c>
      <c r="B57" s="95">
        <f>A57*3</f>
        <v>13.5</v>
      </c>
      <c r="C57" s="95">
        <v>50</v>
      </c>
      <c r="D57" s="95">
        <f>C57-B57</f>
        <v>36.5</v>
      </c>
      <c r="E57" s="95">
        <f>(CleanedDataset!$F145-CleanedDataset!$E145)/CleanedDataset!$F145</f>
        <v>0.53846153846153844</v>
      </c>
      <c r="F57" s="96">
        <v>40</v>
      </c>
      <c r="G57" s="96">
        <f>F57*C57-F57*B57</f>
        <v>1460</v>
      </c>
      <c r="H57" s="96">
        <v>33</v>
      </c>
      <c r="I57" s="96">
        <f>H57*C57-F57*B57</f>
        <v>1110</v>
      </c>
      <c r="J57" s="96">
        <v>45</v>
      </c>
      <c r="K57" s="96">
        <f>J57*C57-J57*B57</f>
        <v>1642.5</v>
      </c>
      <c r="L57" s="96">
        <v>20</v>
      </c>
      <c r="M57" s="96">
        <f>L57*C57-L57*B57</f>
        <v>730</v>
      </c>
      <c r="N57" s="96">
        <v>15</v>
      </c>
      <c r="O57" s="96">
        <f>N57*C57-N57*B57</f>
        <v>547.5</v>
      </c>
      <c r="P57" s="96">
        <v>55</v>
      </c>
      <c r="Q57" s="96">
        <f>P57*C57-P57*B57</f>
        <v>2007.5</v>
      </c>
      <c r="R57" s="96">
        <v>46</v>
      </c>
      <c r="S57" s="96">
        <f>R57*C57-R57*B57</f>
        <v>1679</v>
      </c>
      <c r="T57" s="96">
        <f>SUM(P57,N57,L57,J57,H57,F57)</f>
        <v>208</v>
      </c>
      <c r="U57" s="96">
        <v>1</v>
      </c>
      <c r="V57" s="97">
        <v>100</v>
      </c>
      <c r="W57">
        <f t="shared" si="0"/>
        <v>180</v>
      </c>
    </row>
    <row r="58" spans="1:23" x14ac:dyDescent="0.3">
      <c r="A58" s="95">
        <v>8</v>
      </c>
      <c r="B58" s="95">
        <f>A58*3</f>
        <v>24</v>
      </c>
      <c r="C58" s="95">
        <v>75</v>
      </c>
      <c r="D58" s="95">
        <f>C58-B58</f>
        <v>51</v>
      </c>
      <c r="E58" s="95">
        <f>(CleanedDataset!$F151-CleanedDataset!$E151)/CleanedDataset!$F151</f>
        <v>0.64800000000000002</v>
      </c>
      <c r="F58" s="96">
        <v>135</v>
      </c>
      <c r="G58" s="96">
        <f>F58*C58-F58*B58</f>
        <v>6885</v>
      </c>
      <c r="H58" s="96">
        <v>100</v>
      </c>
      <c r="I58" s="96">
        <f>H58*C58-F58*B58</f>
        <v>4260</v>
      </c>
      <c r="J58" s="96">
        <v>87</v>
      </c>
      <c r="K58" s="96">
        <f>J58*C58-J58*B58</f>
        <v>4437</v>
      </c>
      <c r="L58" s="96">
        <v>15</v>
      </c>
      <c r="M58" s="96">
        <f>L58*C58-L58*B58</f>
        <v>765</v>
      </c>
      <c r="N58" s="96">
        <v>57</v>
      </c>
      <c r="O58" s="96">
        <f>N58*C58-N58*B58</f>
        <v>2907</v>
      </c>
      <c r="P58" s="96">
        <v>180</v>
      </c>
      <c r="Q58" s="96">
        <f>P58*C58-P58*B58</f>
        <v>9180</v>
      </c>
      <c r="R58" s="96">
        <v>167</v>
      </c>
      <c r="S58" s="96">
        <f>R58*C58-R58*B58</f>
        <v>8517</v>
      </c>
      <c r="T58" s="96">
        <f>SUM(P58,N58,L58,J58,H58,F58)</f>
        <v>574</v>
      </c>
      <c r="U58" s="96">
        <v>1</v>
      </c>
      <c r="V58" s="97">
        <v>100</v>
      </c>
      <c r="W58">
        <f t="shared" si="0"/>
        <v>1080</v>
      </c>
    </row>
    <row r="59" spans="1:23" x14ac:dyDescent="0.3">
      <c r="A59" s="95">
        <v>9</v>
      </c>
      <c r="B59" s="95">
        <f>A59*3</f>
        <v>27</v>
      </c>
      <c r="C59" s="95">
        <v>55</v>
      </c>
      <c r="D59" s="95">
        <f>C59-B59</f>
        <v>28</v>
      </c>
      <c r="E59" s="95">
        <f>(CleanedDataset!$F157-CleanedDataset!$E157)/CleanedDataset!$F157</f>
        <v>0.25</v>
      </c>
      <c r="F59" s="96">
        <v>230</v>
      </c>
      <c r="G59" s="96">
        <f>F59*C59-F59*B59</f>
        <v>6440</v>
      </c>
      <c r="H59" s="96">
        <v>185</v>
      </c>
      <c r="I59" s="96">
        <f>H59*C59-F59*B59</f>
        <v>3965</v>
      </c>
      <c r="J59" s="96">
        <v>74</v>
      </c>
      <c r="K59" s="96">
        <f>J59*C59-J59*B59</f>
        <v>2072</v>
      </c>
      <c r="L59" s="96">
        <v>67</v>
      </c>
      <c r="M59" s="96">
        <f>L59*C59-L59*B59</f>
        <v>1876</v>
      </c>
      <c r="N59" s="96">
        <v>55</v>
      </c>
      <c r="O59" s="96">
        <f>N59*C59-N59*B59</f>
        <v>1540</v>
      </c>
      <c r="P59" s="96">
        <v>80</v>
      </c>
      <c r="Q59" s="96">
        <f>P59*C59-P59*B59</f>
        <v>2240</v>
      </c>
      <c r="R59" s="96">
        <v>250</v>
      </c>
      <c r="S59" s="96">
        <f>R59*C59-R59*B59</f>
        <v>7000</v>
      </c>
      <c r="T59" s="96">
        <f>SUM(P59,N59,L59,J59,H59,F59)</f>
        <v>691</v>
      </c>
      <c r="U59" s="96">
        <v>1</v>
      </c>
      <c r="V59" s="97">
        <v>90</v>
      </c>
      <c r="W59">
        <f t="shared" si="0"/>
        <v>2070</v>
      </c>
    </row>
    <row r="60" spans="1:23" x14ac:dyDescent="0.3">
      <c r="A60" s="95">
        <v>5.5</v>
      </c>
      <c r="B60" s="95">
        <f>A60*2.8</f>
        <v>15.399999999999999</v>
      </c>
      <c r="C60" s="95">
        <v>75</v>
      </c>
      <c r="D60" s="95">
        <f>C60-B60</f>
        <v>59.6</v>
      </c>
      <c r="E60" s="95">
        <f>(CleanedDataset!$F15-CleanedDataset!$E15)/CleanedDataset!$F15</f>
        <v>0.72499999999999998</v>
      </c>
      <c r="F60" s="96">
        <v>15</v>
      </c>
      <c r="G60" s="96">
        <f>F60*C60-F60*B60</f>
        <v>894</v>
      </c>
      <c r="H60" s="96">
        <v>15</v>
      </c>
      <c r="I60" s="96">
        <f>H60*C60-F60*B60</f>
        <v>894</v>
      </c>
      <c r="J60" s="96">
        <v>7</v>
      </c>
      <c r="K60" s="96">
        <f>J60*C60-J60*B60</f>
        <v>417.20000000000005</v>
      </c>
      <c r="L60" s="96">
        <v>8</v>
      </c>
      <c r="M60" s="96">
        <f>L60*C60-L60*B60</f>
        <v>476.8</v>
      </c>
      <c r="N60" s="96">
        <v>27</v>
      </c>
      <c r="O60" s="96">
        <f>N60*C60-N60*B60</f>
        <v>1609.2</v>
      </c>
      <c r="P60" s="96">
        <v>12</v>
      </c>
      <c r="Q60" s="96">
        <f>P60*C60-P60*B60</f>
        <v>715.2</v>
      </c>
      <c r="R60" s="96">
        <v>177</v>
      </c>
      <c r="S60" s="96">
        <f>R60*C60-R60*B60</f>
        <v>10549.2</v>
      </c>
      <c r="T60" s="96">
        <f>SUM(P60,N60,L60,J60,H60,F60)</f>
        <v>84</v>
      </c>
      <c r="U60" s="96">
        <v>1</v>
      </c>
      <c r="V60" s="97">
        <v>97</v>
      </c>
      <c r="W60">
        <f t="shared" si="0"/>
        <v>82.5</v>
      </c>
    </row>
    <row r="61" spans="1:23" x14ac:dyDescent="0.3">
      <c r="A61" s="95">
        <v>5.5</v>
      </c>
      <c r="B61" s="95">
        <f>A61*3</f>
        <v>16.5</v>
      </c>
      <c r="C61" s="95">
        <v>99</v>
      </c>
      <c r="D61" s="95">
        <f>C61-B61</f>
        <v>82.5</v>
      </c>
      <c r="E61" s="95">
        <f>(CleanedDataset!$F71-CleanedDataset!$E71)/CleanedDataset!$F71</f>
        <v>0.7846153846153846</v>
      </c>
      <c r="F61" s="96">
        <v>2</v>
      </c>
      <c r="G61" s="96">
        <f>F61*C61-F61*B61</f>
        <v>165</v>
      </c>
      <c r="H61" s="96">
        <v>0</v>
      </c>
      <c r="I61" s="96">
        <f>H61*C61-F61*B61</f>
        <v>-33</v>
      </c>
      <c r="J61" s="96">
        <v>0</v>
      </c>
      <c r="K61" s="96">
        <f>J61*C61-J61*B61</f>
        <v>0</v>
      </c>
      <c r="L61" s="96">
        <v>0</v>
      </c>
      <c r="M61" s="96">
        <f>L61*C61-L61*B61</f>
        <v>0</v>
      </c>
      <c r="N61" s="96">
        <v>0</v>
      </c>
      <c r="O61" s="96">
        <f>N61*C61-N61*B61</f>
        <v>0</v>
      </c>
      <c r="P61" s="96">
        <v>0</v>
      </c>
      <c r="Q61" s="96">
        <f>P61*C61-P61*B61</f>
        <v>0</v>
      </c>
      <c r="R61" s="96">
        <v>0</v>
      </c>
      <c r="S61" s="96">
        <f>R61*C61-R61*B61</f>
        <v>0</v>
      </c>
      <c r="T61" s="96">
        <f>SUM(P61,N61,L61,J61,H61,F61)</f>
        <v>2</v>
      </c>
      <c r="U61" s="96">
        <v>1</v>
      </c>
      <c r="V61" s="97">
        <v>90</v>
      </c>
      <c r="W61">
        <f t="shared" si="0"/>
        <v>11</v>
      </c>
    </row>
    <row r="62" spans="1:23" x14ac:dyDescent="0.3">
      <c r="A62" s="90">
        <v>5.5</v>
      </c>
      <c r="B62" s="90">
        <f>A62*3.2</f>
        <v>17.600000000000001</v>
      </c>
      <c r="C62" s="90">
        <v>99</v>
      </c>
      <c r="D62" s="90">
        <f>C62-B62</f>
        <v>81.400000000000006</v>
      </c>
      <c r="E62" s="90">
        <f>(CleanedDataset!$F114-CleanedDataset!$E114)/CleanedDataset!$F114</f>
        <v>0.37777777777777777</v>
      </c>
      <c r="F62" s="91">
        <v>13</v>
      </c>
      <c r="G62" s="91">
        <f>F62*C62-F62*B62</f>
        <v>1058.2</v>
      </c>
      <c r="H62" s="91">
        <v>10</v>
      </c>
      <c r="I62" s="91">
        <f>H62*C62-F62*B62</f>
        <v>761.2</v>
      </c>
      <c r="J62" s="91">
        <v>0</v>
      </c>
      <c r="K62" s="91">
        <f>J62*C62-J62*B62</f>
        <v>0</v>
      </c>
      <c r="L62" s="91">
        <v>0</v>
      </c>
      <c r="M62" s="91">
        <f>L62*C62-L62*B62</f>
        <v>0</v>
      </c>
      <c r="N62" s="91">
        <v>0</v>
      </c>
      <c r="O62" s="91">
        <f>N62*C62-N62*B62</f>
        <v>0</v>
      </c>
      <c r="P62" s="91">
        <v>0</v>
      </c>
      <c r="Q62" s="91">
        <f>P62*C62-P62*B62</f>
        <v>0</v>
      </c>
      <c r="R62" s="91">
        <v>0</v>
      </c>
      <c r="S62" s="91">
        <f>R62*C62-R62*B62</f>
        <v>0</v>
      </c>
      <c r="T62" s="91">
        <f>SUM(P62,N62,L62,J62,H62,F62)</f>
        <v>23</v>
      </c>
      <c r="U62" s="91">
        <v>1</v>
      </c>
      <c r="V62" s="92">
        <v>93</v>
      </c>
      <c r="W62">
        <f t="shared" si="0"/>
        <v>71.5</v>
      </c>
    </row>
    <row r="63" spans="1:23" x14ac:dyDescent="0.3">
      <c r="A63" s="95">
        <v>5.5</v>
      </c>
      <c r="B63" s="95">
        <f>A63*3</f>
        <v>16.5</v>
      </c>
      <c r="C63" s="95">
        <v>85</v>
      </c>
      <c r="D63" s="95">
        <f>C63-B63</f>
        <v>68.5</v>
      </c>
      <c r="E63" s="95">
        <f>(CleanedDataset!$F141-CleanedDataset!$E141)/CleanedDataset!$F141</f>
        <v>0.4702702702702703</v>
      </c>
      <c r="F63" s="96">
        <v>10</v>
      </c>
      <c r="G63" s="96">
        <f>F63*C63-F63*B63</f>
        <v>685</v>
      </c>
      <c r="H63" s="96">
        <v>0</v>
      </c>
      <c r="I63" s="96">
        <f>H63*C63-F63*B63</f>
        <v>-165</v>
      </c>
      <c r="J63" s="96">
        <v>0</v>
      </c>
      <c r="K63" s="96">
        <f>J63*C63-J63*B63</f>
        <v>0</v>
      </c>
      <c r="L63" s="96">
        <v>0</v>
      </c>
      <c r="M63" s="96">
        <f>L63*C63-L63*B63</f>
        <v>0</v>
      </c>
      <c r="N63" s="96">
        <v>0</v>
      </c>
      <c r="O63" s="96">
        <f>N63*C63-N63*B63</f>
        <v>0</v>
      </c>
      <c r="P63" s="96">
        <v>0</v>
      </c>
      <c r="Q63" s="96">
        <f>P63*C63-P63*B63</f>
        <v>0</v>
      </c>
      <c r="R63" s="96">
        <v>0</v>
      </c>
      <c r="S63" s="96">
        <f>R63*C63-R63*B63</f>
        <v>0</v>
      </c>
      <c r="T63" s="96">
        <f>SUM(P63,N63,L63,J63,H63,F63)</f>
        <v>10</v>
      </c>
      <c r="U63" s="96">
        <v>1</v>
      </c>
      <c r="V63" s="97">
        <v>100</v>
      </c>
      <c r="W63">
        <f t="shared" si="0"/>
        <v>55</v>
      </c>
    </row>
    <row r="64" spans="1:23" x14ac:dyDescent="0.3">
      <c r="A64" s="95">
        <v>5</v>
      </c>
      <c r="B64" s="95">
        <f>A64*2.8</f>
        <v>14</v>
      </c>
      <c r="C64" s="95">
        <v>65</v>
      </c>
      <c r="D64" s="95">
        <f>C64-B64</f>
        <v>51</v>
      </c>
      <c r="E64" s="95">
        <f>(CleanedDataset!$F57-CleanedDataset!$E57)/CleanedDataset!$F57</f>
        <v>0.69882352941176473</v>
      </c>
      <c r="F64" s="96">
        <v>728</v>
      </c>
      <c r="G64" s="96">
        <f>F64*C64-F64*B64</f>
        <v>37128</v>
      </c>
      <c r="H64" s="96">
        <v>871</v>
      </c>
      <c r="I64" s="96">
        <f>H64*C64-F64*B64</f>
        <v>46423</v>
      </c>
      <c r="J64" s="96">
        <v>913</v>
      </c>
      <c r="K64" s="96">
        <f>J64*C64-J64*B64</f>
        <v>46563</v>
      </c>
      <c r="L64" s="96">
        <v>1800</v>
      </c>
      <c r="M64" s="96">
        <f>L64*C64-L64*B64</f>
        <v>91800</v>
      </c>
      <c r="N64" s="96">
        <v>1315</v>
      </c>
      <c r="O64" s="96">
        <f>N64*C64-N64*B64</f>
        <v>67065</v>
      </c>
      <c r="P64" s="96">
        <v>577</v>
      </c>
      <c r="Q64" s="96">
        <f>P64*C64-P64*B64</f>
        <v>29427</v>
      </c>
      <c r="R64" s="96">
        <v>573</v>
      </c>
      <c r="S64" s="96">
        <f>R64*C64-R64*B64</f>
        <v>29223</v>
      </c>
      <c r="T64" s="96">
        <f>SUM(P64,N64,L64,J64,H64,F64)</f>
        <v>6204</v>
      </c>
      <c r="U64" s="96">
        <v>1</v>
      </c>
      <c r="V64" s="97">
        <v>93</v>
      </c>
      <c r="W64">
        <f t="shared" si="0"/>
        <v>3640</v>
      </c>
    </row>
    <row r="65" spans="1:23" x14ac:dyDescent="0.3">
      <c r="A65" s="95">
        <v>4</v>
      </c>
      <c r="B65" s="95">
        <f>A65*2.8</f>
        <v>11.2</v>
      </c>
      <c r="C65" s="95">
        <v>45</v>
      </c>
      <c r="D65" s="95">
        <f>C65-B65</f>
        <v>33.799999999999997</v>
      </c>
      <c r="E65" s="95">
        <f>(CleanedDataset!$F59-CleanedDataset!$E59)/CleanedDataset!$F59</f>
        <v>0.65538461538461545</v>
      </c>
      <c r="F65" s="96">
        <v>962</v>
      </c>
      <c r="G65" s="96">
        <f>F65*C65-F65*B65</f>
        <v>32515.599999999999</v>
      </c>
      <c r="H65" s="96">
        <v>1465</v>
      </c>
      <c r="I65" s="96">
        <f>H65*C65-F65*B65</f>
        <v>55150.6</v>
      </c>
      <c r="J65" s="96">
        <v>1334</v>
      </c>
      <c r="K65" s="96">
        <f>J65*C65-J65*B65</f>
        <v>45089.2</v>
      </c>
      <c r="L65" s="96">
        <v>2383</v>
      </c>
      <c r="M65" s="96">
        <f>L65*C65-L65*B65</f>
        <v>80545.399999999994</v>
      </c>
      <c r="N65" s="96">
        <v>1525</v>
      </c>
      <c r="O65" s="96">
        <f>N65*C65-N65*B65</f>
        <v>51545</v>
      </c>
      <c r="P65" s="96">
        <v>1582</v>
      </c>
      <c r="Q65" s="96">
        <f>P65*C65-P65*B65</f>
        <v>53471.600000000006</v>
      </c>
      <c r="R65" s="96">
        <v>1539</v>
      </c>
      <c r="S65" s="96">
        <f>R65*C65-R65*B65</f>
        <v>52018.2</v>
      </c>
      <c r="T65" s="96">
        <f>SUM(P65,N65,L65,J65,H65,F65)</f>
        <v>9251</v>
      </c>
      <c r="U65" s="96">
        <v>1</v>
      </c>
      <c r="V65" s="97">
        <v>100</v>
      </c>
      <c r="W65">
        <f t="shared" si="0"/>
        <v>3848</v>
      </c>
    </row>
    <row r="66" spans="1:23" x14ac:dyDescent="0.3">
      <c r="A66" s="95">
        <v>4</v>
      </c>
      <c r="B66" s="95">
        <f>A66*3</f>
        <v>12</v>
      </c>
      <c r="C66" s="95">
        <v>55</v>
      </c>
      <c r="D66" s="95">
        <f>C66-B66</f>
        <v>43</v>
      </c>
      <c r="E66" s="95">
        <f>(CleanedDataset!$F63-CleanedDataset!$E63)/CleanedDataset!$F63</f>
        <v>0.50909090909090904</v>
      </c>
      <c r="F66" s="96">
        <v>0</v>
      </c>
      <c r="G66" s="96">
        <f>F66*C66-F66*B66</f>
        <v>0</v>
      </c>
      <c r="H66" s="96">
        <v>5</v>
      </c>
      <c r="I66" s="96">
        <f>H66*C66-F66*B66</f>
        <v>275</v>
      </c>
      <c r="J66" s="96">
        <v>0</v>
      </c>
      <c r="K66" s="96">
        <f>J66*C66-J66*B66</f>
        <v>0</v>
      </c>
      <c r="L66" s="96">
        <v>0</v>
      </c>
      <c r="M66" s="96">
        <f>L66*C66-L66*B66</f>
        <v>0</v>
      </c>
      <c r="N66" s="96">
        <v>0</v>
      </c>
      <c r="O66" s="96">
        <f>N66*C66-N66*B66</f>
        <v>0</v>
      </c>
      <c r="P66" s="96">
        <v>0</v>
      </c>
      <c r="Q66" s="96">
        <f>P66*C66-P66*B66</f>
        <v>0</v>
      </c>
      <c r="R66" s="96">
        <v>0</v>
      </c>
      <c r="S66" s="96">
        <f>R66*C66-R66*B66</f>
        <v>0</v>
      </c>
      <c r="T66" s="96">
        <f>SUM(P66,N66,L66,J66,H66,F66)</f>
        <v>5</v>
      </c>
      <c r="U66" s="96">
        <v>1</v>
      </c>
      <c r="V66" s="97">
        <v>100</v>
      </c>
      <c r="W66">
        <f t="shared" si="0"/>
        <v>0</v>
      </c>
    </row>
    <row r="67" spans="1:23" x14ac:dyDescent="0.3">
      <c r="A67" s="90">
        <v>5</v>
      </c>
      <c r="B67" s="90">
        <f>A67*3</f>
        <v>15</v>
      </c>
      <c r="C67" s="90">
        <v>70</v>
      </c>
      <c r="D67" s="90">
        <f>C67-B67</f>
        <v>55</v>
      </c>
      <c r="E67" s="90">
        <f>(CleanedDataset!$F86-CleanedDataset!$E86)/CleanedDataset!$F86</f>
        <v>0.66666666666666663</v>
      </c>
      <c r="F67" s="91">
        <v>15</v>
      </c>
      <c r="G67" s="91">
        <f>F67*C67-F67*B67</f>
        <v>825</v>
      </c>
      <c r="H67" s="91">
        <v>0</v>
      </c>
      <c r="I67" s="91">
        <f>H67*C67-F67*B67</f>
        <v>-225</v>
      </c>
      <c r="J67" s="91">
        <v>0</v>
      </c>
      <c r="K67" s="91">
        <f>J67*C67-J67*B67</f>
        <v>0</v>
      </c>
      <c r="L67" s="91">
        <v>0</v>
      </c>
      <c r="M67" s="91">
        <f>L67*C67-L67*B67</f>
        <v>0</v>
      </c>
      <c r="N67" s="91">
        <v>0</v>
      </c>
      <c r="O67" s="91">
        <f>N67*C67-N67*B67</f>
        <v>0</v>
      </c>
      <c r="P67" s="91">
        <v>0</v>
      </c>
      <c r="Q67" s="91">
        <f>P67*C67-P67*B67</f>
        <v>0</v>
      </c>
      <c r="R67" s="91">
        <v>0</v>
      </c>
      <c r="S67" s="91">
        <f>R67*C67-R67*B67</f>
        <v>0</v>
      </c>
      <c r="T67" s="91">
        <f>SUM(P67,N67,L67,J67,H67,F67)</f>
        <v>15</v>
      </c>
      <c r="U67" s="91">
        <v>1</v>
      </c>
      <c r="V67" s="92">
        <v>99</v>
      </c>
      <c r="W67">
        <f t="shared" ref="W67:W130" si="1">A67*F67</f>
        <v>75</v>
      </c>
    </row>
    <row r="68" spans="1:23" x14ac:dyDescent="0.3">
      <c r="A68" s="90">
        <v>4</v>
      </c>
      <c r="B68" s="90">
        <f>A68*3</f>
        <v>12</v>
      </c>
      <c r="C68" s="90">
        <v>55</v>
      </c>
      <c r="D68" s="90">
        <f>C68-B68</f>
        <v>43</v>
      </c>
      <c r="E68" s="90">
        <f>(CleanedDataset!$F100-CleanedDataset!$E100)/CleanedDataset!$F100</f>
        <v>0.1</v>
      </c>
      <c r="F68" s="91">
        <v>0</v>
      </c>
      <c r="G68" s="91">
        <f>F68*C68-F68*B68</f>
        <v>0</v>
      </c>
      <c r="H68" s="91">
        <v>5</v>
      </c>
      <c r="I68" s="91">
        <f>H68*C68-F68*B68</f>
        <v>275</v>
      </c>
      <c r="J68" s="91">
        <v>0</v>
      </c>
      <c r="K68" s="91">
        <f>J68*C68-J68*B68</f>
        <v>0</v>
      </c>
      <c r="L68" s="91">
        <v>0</v>
      </c>
      <c r="M68" s="91">
        <f>L68*C68-L68*B68</f>
        <v>0</v>
      </c>
      <c r="N68" s="91">
        <v>0</v>
      </c>
      <c r="O68" s="91">
        <f>N68*C68-N68*B68</f>
        <v>0</v>
      </c>
      <c r="P68" s="91">
        <v>0</v>
      </c>
      <c r="Q68" s="91">
        <f>P68*C68-P68*B68</f>
        <v>0</v>
      </c>
      <c r="R68" s="91">
        <v>0</v>
      </c>
      <c r="S68" s="91">
        <f>R68*C68-R68*B68</f>
        <v>0</v>
      </c>
      <c r="T68" s="91">
        <f>SUM(P68,N68,L68,J68,H68,F68)</f>
        <v>5</v>
      </c>
      <c r="U68" s="91">
        <v>1</v>
      </c>
      <c r="V68" s="92">
        <v>100</v>
      </c>
      <c r="W68">
        <f t="shared" si="1"/>
        <v>0</v>
      </c>
    </row>
    <row r="69" spans="1:23" x14ac:dyDescent="0.3">
      <c r="A69" s="90">
        <v>4</v>
      </c>
      <c r="B69" s="90">
        <f>A69*3</f>
        <v>12</v>
      </c>
      <c r="C69" s="90">
        <v>55</v>
      </c>
      <c r="D69" s="90">
        <f>C69-B69</f>
        <v>43</v>
      </c>
      <c r="E69" s="90">
        <f>(CleanedDataset!$F130-CleanedDataset!$E130)/CleanedDataset!$F130</f>
        <v>0.58750000000000002</v>
      </c>
      <c r="F69" s="91">
        <v>5</v>
      </c>
      <c r="G69" s="91">
        <f>F69*C69-F69*B69</f>
        <v>215</v>
      </c>
      <c r="H69" s="91">
        <v>0</v>
      </c>
      <c r="I69" s="91">
        <f>H69*C69-F69*B69</f>
        <v>-60</v>
      </c>
      <c r="J69" s="91">
        <v>0</v>
      </c>
      <c r="K69" s="91">
        <f>J69*C69-J69*B69</f>
        <v>0</v>
      </c>
      <c r="L69" s="91">
        <v>0</v>
      </c>
      <c r="M69" s="91">
        <f>L69*C69-L69*B69</f>
        <v>0</v>
      </c>
      <c r="N69" s="91">
        <v>0</v>
      </c>
      <c r="O69" s="91">
        <f>N69*C69-N69*B69</f>
        <v>0</v>
      </c>
      <c r="P69" s="91">
        <v>0</v>
      </c>
      <c r="Q69" s="91">
        <f>P69*C69-P69*B69</f>
        <v>0</v>
      </c>
      <c r="R69" s="91">
        <v>0</v>
      </c>
      <c r="S69" s="91">
        <f>R69*C69-R69*B69</f>
        <v>0</v>
      </c>
      <c r="T69" s="91">
        <f>SUM(P69,N69,L69,J69,H69,F69)</f>
        <v>5</v>
      </c>
      <c r="U69" s="91">
        <v>1</v>
      </c>
      <c r="V69" s="92">
        <v>95</v>
      </c>
      <c r="W69">
        <f t="shared" si="1"/>
        <v>20</v>
      </c>
    </row>
    <row r="70" spans="1:23" x14ac:dyDescent="0.3">
      <c r="A70" s="90">
        <v>5</v>
      </c>
      <c r="B70" s="90">
        <f>A70*3</f>
        <v>15</v>
      </c>
      <c r="C70" s="90">
        <v>70</v>
      </c>
      <c r="D70" s="90">
        <f>C70-B70</f>
        <v>55</v>
      </c>
      <c r="E70" s="90">
        <f>(CleanedDataset!$F132-CleanedDataset!$E132)/CleanedDataset!$F132</f>
        <v>0.70461538461538464</v>
      </c>
      <c r="F70" s="91">
        <v>23</v>
      </c>
      <c r="G70" s="91">
        <f>F70*C70-F70*B70</f>
        <v>1265</v>
      </c>
      <c r="H70" s="91">
        <v>5</v>
      </c>
      <c r="I70" s="91">
        <f>H70*C70-F70*B70</f>
        <v>5</v>
      </c>
      <c r="J70" s="91">
        <v>0</v>
      </c>
      <c r="K70" s="91">
        <f>J70*C70-J70*B70</f>
        <v>0</v>
      </c>
      <c r="L70" s="91">
        <v>0</v>
      </c>
      <c r="M70" s="91">
        <f>L70*C70-L70*B70</f>
        <v>0</v>
      </c>
      <c r="N70" s="91">
        <v>0</v>
      </c>
      <c r="O70" s="91">
        <f>N70*C70-N70*B70</f>
        <v>0</v>
      </c>
      <c r="P70" s="91">
        <v>0</v>
      </c>
      <c r="Q70" s="91">
        <f>P70*C70-P70*B70</f>
        <v>0</v>
      </c>
      <c r="R70" s="91">
        <v>0</v>
      </c>
      <c r="S70" s="91">
        <f>R70*C70-R70*B70</f>
        <v>0</v>
      </c>
      <c r="T70" s="91">
        <f>SUM(P70,N70,L70,J70,H70,F70)</f>
        <v>28</v>
      </c>
      <c r="U70" s="91">
        <v>1</v>
      </c>
      <c r="V70" s="92">
        <v>93</v>
      </c>
      <c r="W70">
        <f t="shared" si="1"/>
        <v>115</v>
      </c>
    </row>
    <row r="71" spans="1:23" x14ac:dyDescent="0.3">
      <c r="A71" s="95">
        <v>5</v>
      </c>
      <c r="B71" s="95">
        <f>A71*3</f>
        <v>15</v>
      </c>
      <c r="C71" s="95">
        <v>70</v>
      </c>
      <c r="D71" s="95">
        <f>C71-B71</f>
        <v>55</v>
      </c>
      <c r="E71" s="95">
        <f>(CleanedDataset!$F165-CleanedDataset!$E165)/CleanedDataset!$F165</f>
        <v>0.86</v>
      </c>
      <c r="F71" s="96">
        <v>890</v>
      </c>
      <c r="G71" s="96">
        <f>F71*C71-F71*B71</f>
        <v>48950</v>
      </c>
      <c r="H71" s="96">
        <v>765</v>
      </c>
      <c r="I71" s="96">
        <f>H71*C71-F71*B71</f>
        <v>40200</v>
      </c>
      <c r="J71" s="96">
        <v>521</v>
      </c>
      <c r="K71" s="96">
        <f>J71*C71-J71*B71</f>
        <v>28655</v>
      </c>
      <c r="L71" s="96">
        <v>220</v>
      </c>
      <c r="M71" s="96">
        <f>L71*C71-L71*B71</f>
        <v>12100</v>
      </c>
      <c r="N71" s="96">
        <v>349</v>
      </c>
      <c r="O71" s="96">
        <f>N71*C71-N71*B71</f>
        <v>19195</v>
      </c>
      <c r="P71" s="96">
        <v>1385</v>
      </c>
      <c r="Q71" s="96">
        <f>P71*C71-P71*B71</f>
        <v>76175</v>
      </c>
      <c r="R71" s="96">
        <v>1290</v>
      </c>
      <c r="S71" s="96">
        <f>R71*C71-R71*B71</f>
        <v>70950</v>
      </c>
      <c r="T71" s="96">
        <f>SUM(P71,N71,L71,J71,H71,F71)</f>
        <v>4130</v>
      </c>
      <c r="U71" s="96">
        <v>1</v>
      </c>
      <c r="V71" s="97">
        <v>93</v>
      </c>
      <c r="W71">
        <f t="shared" si="1"/>
        <v>4450</v>
      </c>
    </row>
    <row r="72" spans="1:23" x14ac:dyDescent="0.3">
      <c r="A72" s="90">
        <v>4</v>
      </c>
      <c r="B72" s="90">
        <f>A72*3</f>
        <v>12</v>
      </c>
      <c r="C72" s="90">
        <v>55</v>
      </c>
      <c r="D72" s="90">
        <f>C72-B72</f>
        <v>43</v>
      </c>
      <c r="E72" s="90">
        <f>(CleanedDataset!$F168-CleanedDataset!$E168)/CleanedDataset!$F168</f>
        <v>0.61111111111111116</v>
      </c>
      <c r="F72" s="91">
        <v>1450</v>
      </c>
      <c r="G72" s="91">
        <f>F72*C72-F72*B72</f>
        <v>62350</v>
      </c>
      <c r="H72" s="91">
        <v>834</v>
      </c>
      <c r="I72" s="91">
        <f>H72*C72-F72*B72</f>
        <v>28470</v>
      </c>
      <c r="J72" s="91">
        <v>620</v>
      </c>
      <c r="K72" s="91">
        <f>J72*C72-J72*B72</f>
        <v>26660</v>
      </c>
      <c r="L72" s="91">
        <v>348</v>
      </c>
      <c r="M72" s="91">
        <f>L72*C72-L72*B72</f>
        <v>14964</v>
      </c>
      <c r="N72" s="91">
        <v>930</v>
      </c>
      <c r="O72" s="91">
        <f>N72*C72-N72*B72</f>
        <v>39990</v>
      </c>
      <c r="P72" s="91">
        <v>870</v>
      </c>
      <c r="Q72" s="91">
        <f>P72*C72-P72*B72</f>
        <v>37410</v>
      </c>
      <c r="R72" s="91">
        <v>850</v>
      </c>
      <c r="S72" s="91">
        <f>R72*C72-R72*B72</f>
        <v>36550</v>
      </c>
      <c r="T72" s="91">
        <f>SUM(P72,N72,L72,J72,H72,F72)</f>
        <v>5052</v>
      </c>
      <c r="U72" s="91">
        <v>1</v>
      </c>
      <c r="V72" s="92">
        <v>96</v>
      </c>
      <c r="W72">
        <f t="shared" si="1"/>
        <v>5800</v>
      </c>
    </row>
    <row r="73" spans="1:23" x14ac:dyDescent="0.3">
      <c r="A73" s="90">
        <v>5</v>
      </c>
      <c r="B73" s="90">
        <f>A73*2.8</f>
        <v>14</v>
      </c>
      <c r="C73" s="90">
        <v>85</v>
      </c>
      <c r="D73" s="90">
        <f>C73-B73</f>
        <v>71</v>
      </c>
      <c r="E73" s="90">
        <f>(CleanedDataset!$F48-CleanedDataset!$E48)/CleanedDataset!$F48</f>
        <v>0.75111111111111106</v>
      </c>
      <c r="F73" s="91">
        <v>268</v>
      </c>
      <c r="G73" s="91">
        <f>F73*C73-F73*B73</f>
        <v>19028</v>
      </c>
      <c r="H73" s="91">
        <v>253</v>
      </c>
      <c r="I73" s="91">
        <f>H73*C73-F73*B73</f>
        <v>17753</v>
      </c>
      <c r="J73" s="91">
        <v>178</v>
      </c>
      <c r="K73" s="91">
        <f>J73*C73-J73*B73</f>
        <v>12638</v>
      </c>
      <c r="L73" s="91">
        <v>360</v>
      </c>
      <c r="M73" s="91">
        <f>L73*C73-L73*B73</f>
        <v>25560</v>
      </c>
      <c r="N73" s="91">
        <v>816</v>
      </c>
      <c r="O73" s="91">
        <f>N73*C73-N73*B73</f>
        <v>57936</v>
      </c>
      <c r="P73" s="91">
        <v>410</v>
      </c>
      <c r="Q73" s="91">
        <f>P73*C73-P73*B73</f>
        <v>29110</v>
      </c>
      <c r="R73" s="91">
        <v>301</v>
      </c>
      <c r="S73" s="91">
        <f>R73*C73-R73*B73</f>
        <v>21371</v>
      </c>
      <c r="T73" s="91">
        <f>SUM(P73,N73,L73,J73,H73,F73)</f>
        <v>2285</v>
      </c>
      <c r="U73" s="91">
        <v>1</v>
      </c>
      <c r="V73" s="92">
        <v>93</v>
      </c>
      <c r="W73">
        <f t="shared" si="1"/>
        <v>1340</v>
      </c>
    </row>
    <row r="74" spans="1:23" x14ac:dyDescent="0.3">
      <c r="A74" s="95">
        <v>5</v>
      </c>
      <c r="B74" s="95">
        <f>A74*3</f>
        <v>15</v>
      </c>
      <c r="C74" s="95">
        <v>85</v>
      </c>
      <c r="D74" s="95">
        <f>C74-B74</f>
        <v>70</v>
      </c>
      <c r="E74" s="95">
        <f>(CleanedDataset!$F153-CleanedDataset!$E153)/CleanedDataset!$F153</f>
        <v>0.64893617021276595</v>
      </c>
      <c r="F74" s="96">
        <v>180</v>
      </c>
      <c r="G74" s="96">
        <f>F74*C74-F74*B74</f>
        <v>12600</v>
      </c>
      <c r="H74" s="96">
        <v>0</v>
      </c>
      <c r="I74" s="96">
        <f>H74*C74-F74*B74</f>
        <v>-2700</v>
      </c>
      <c r="J74" s="96">
        <v>0</v>
      </c>
      <c r="K74" s="96">
        <f>J74*C74-J74*B74</f>
        <v>0</v>
      </c>
      <c r="L74" s="96">
        <v>0</v>
      </c>
      <c r="M74" s="96">
        <f>L74*C74-L74*B74</f>
        <v>0</v>
      </c>
      <c r="N74" s="96">
        <v>0</v>
      </c>
      <c r="O74" s="96">
        <f>N74*C74-N74*B74</f>
        <v>0</v>
      </c>
      <c r="P74" s="96">
        <v>0</v>
      </c>
      <c r="Q74" s="96">
        <f>P74*C74-P74*B74</f>
        <v>0</v>
      </c>
      <c r="R74" s="96">
        <v>0</v>
      </c>
      <c r="S74" s="96">
        <f>R74*C74-R74*B74</f>
        <v>0</v>
      </c>
      <c r="T74" s="96">
        <f>SUM(P74,N74,L74,J74,H74,F74)</f>
        <v>180</v>
      </c>
      <c r="U74" s="96">
        <v>1</v>
      </c>
      <c r="V74" s="97">
        <v>98</v>
      </c>
      <c r="W74">
        <f t="shared" si="1"/>
        <v>900</v>
      </c>
    </row>
    <row r="75" spans="1:23" x14ac:dyDescent="0.3">
      <c r="A75" s="95">
        <v>3.5</v>
      </c>
      <c r="B75" s="95">
        <f>A75*2.8</f>
        <v>9.7999999999999989</v>
      </c>
      <c r="C75" s="95">
        <v>28</v>
      </c>
      <c r="D75" s="95">
        <f>C75-B75</f>
        <v>18.200000000000003</v>
      </c>
      <c r="E75" s="95">
        <f>(CleanedDataset!$F49-CleanedDataset!$E49)/CleanedDataset!$F49</f>
        <v>0.73417721518987344</v>
      </c>
      <c r="F75" s="96">
        <v>299</v>
      </c>
      <c r="G75" s="96">
        <f>F75*C75-F75*B75</f>
        <v>5441.8</v>
      </c>
      <c r="H75" s="96">
        <v>83</v>
      </c>
      <c r="I75" s="96">
        <f>H75*C75-F75*B75</f>
        <v>-606.19999999999982</v>
      </c>
      <c r="J75" s="96">
        <v>176</v>
      </c>
      <c r="K75" s="96">
        <f>J75*C75-J75*B75</f>
        <v>3203.2000000000003</v>
      </c>
      <c r="L75" s="96">
        <v>400</v>
      </c>
      <c r="M75" s="96">
        <f>L75*C75-L75*B75</f>
        <v>7280</v>
      </c>
      <c r="N75" s="96">
        <v>427</v>
      </c>
      <c r="O75" s="96">
        <f>N75*C75-N75*B75</f>
        <v>7771.4000000000005</v>
      </c>
      <c r="P75" s="96">
        <v>459</v>
      </c>
      <c r="Q75" s="96">
        <f>P75*C75-P75*B75</f>
        <v>8353.7999999999993</v>
      </c>
      <c r="R75" s="96">
        <v>369</v>
      </c>
      <c r="S75" s="96">
        <f>R75*C75-R75*B75</f>
        <v>6715.8</v>
      </c>
      <c r="T75" s="96">
        <f>SUM(P75,N75,L75,J75,H75,F75)</f>
        <v>1844</v>
      </c>
      <c r="U75" s="96">
        <v>1</v>
      </c>
      <c r="V75" s="97">
        <v>99</v>
      </c>
      <c r="W75">
        <f t="shared" si="1"/>
        <v>1046.5</v>
      </c>
    </row>
    <row r="76" spans="1:23" x14ac:dyDescent="0.3">
      <c r="A76" s="90">
        <v>3.5</v>
      </c>
      <c r="B76" s="90">
        <f>A76*2.8</f>
        <v>9.7999999999999989</v>
      </c>
      <c r="C76" s="90">
        <v>25</v>
      </c>
      <c r="D76" s="90">
        <f>C76-B76</f>
        <v>15.200000000000001</v>
      </c>
      <c r="E76" s="90">
        <f>(CleanedDataset!$F52-CleanedDataset!$E52)/CleanedDataset!$F52</f>
        <v>0.57999999999999996</v>
      </c>
      <c r="F76" s="91">
        <v>382</v>
      </c>
      <c r="G76" s="91">
        <f>F76*C76-F76*B76</f>
        <v>5806.4000000000005</v>
      </c>
      <c r="H76" s="91">
        <v>425</v>
      </c>
      <c r="I76" s="91">
        <f>H76*C76-F76*B76</f>
        <v>6881.4000000000005</v>
      </c>
      <c r="J76" s="91">
        <v>323</v>
      </c>
      <c r="K76" s="91">
        <f>J76*C76-J76*B76</f>
        <v>4909.6000000000004</v>
      </c>
      <c r="L76" s="91">
        <v>238</v>
      </c>
      <c r="M76" s="91">
        <f>L76*C76-L76*B76</f>
        <v>3617.6000000000004</v>
      </c>
      <c r="N76" s="91">
        <v>484</v>
      </c>
      <c r="O76" s="91">
        <f>N76*C76-N76*B76</f>
        <v>7356.8</v>
      </c>
      <c r="P76" s="91">
        <v>394</v>
      </c>
      <c r="Q76" s="91">
        <f>P76*C76-P76*B76</f>
        <v>5988.8000000000011</v>
      </c>
      <c r="R76" s="91">
        <v>213</v>
      </c>
      <c r="S76" s="91">
        <f>R76*C76-R76*B76</f>
        <v>3237.6000000000004</v>
      </c>
      <c r="T76" s="91">
        <f>SUM(P76,N76,L76,J76,H76,F76)</f>
        <v>2246</v>
      </c>
      <c r="U76" s="91">
        <v>1</v>
      </c>
      <c r="V76" s="92">
        <v>97</v>
      </c>
      <c r="W76">
        <f t="shared" si="1"/>
        <v>1337</v>
      </c>
    </row>
    <row r="77" spans="1:23" x14ac:dyDescent="0.3">
      <c r="A77" s="90">
        <v>3.5</v>
      </c>
      <c r="B77" s="90">
        <f>A77*3</f>
        <v>10.5</v>
      </c>
      <c r="C77" s="90">
        <v>35</v>
      </c>
      <c r="D77" s="90">
        <f>C77-B77</f>
        <v>24.5</v>
      </c>
      <c r="E77" s="90">
        <f>(CleanedDataset!$F64-CleanedDataset!$E64)/CleanedDataset!$F64</f>
        <v>0.44</v>
      </c>
      <c r="F77" s="91">
        <v>0</v>
      </c>
      <c r="G77" s="91">
        <f>F77*C77-F77*B77</f>
        <v>0</v>
      </c>
      <c r="H77" s="91">
        <v>13</v>
      </c>
      <c r="I77" s="91">
        <f>H77*C77-F77*B77</f>
        <v>455</v>
      </c>
      <c r="J77" s="91">
        <v>0</v>
      </c>
      <c r="K77" s="91">
        <f>J77*C77-J77*B77</f>
        <v>0</v>
      </c>
      <c r="L77" s="91">
        <v>0</v>
      </c>
      <c r="M77" s="91">
        <f>L77*C77-L77*B77</f>
        <v>0</v>
      </c>
      <c r="N77" s="91">
        <v>0</v>
      </c>
      <c r="O77" s="91">
        <f>N77*C77-N77*B77</f>
        <v>0</v>
      </c>
      <c r="P77" s="91">
        <v>0</v>
      </c>
      <c r="Q77" s="91">
        <f>P77*C77-P77*B77</f>
        <v>0</v>
      </c>
      <c r="R77" s="91">
        <v>0</v>
      </c>
      <c r="S77" s="91">
        <f>R77*C77-R77*B77</f>
        <v>0</v>
      </c>
      <c r="T77" s="91">
        <f>SUM(P77,N77,L77,J77,H77,F77)</f>
        <v>13</v>
      </c>
      <c r="U77" s="91">
        <v>1</v>
      </c>
      <c r="V77" s="92">
        <v>100</v>
      </c>
      <c r="W77">
        <f t="shared" si="1"/>
        <v>0</v>
      </c>
    </row>
    <row r="78" spans="1:23" x14ac:dyDescent="0.3">
      <c r="A78" s="90">
        <v>3.5</v>
      </c>
      <c r="B78" s="90">
        <f>A78*3</f>
        <v>10.5</v>
      </c>
      <c r="C78" s="90">
        <v>35</v>
      </c>
      <c r="D78" s="90">
        <f>C78-B78</f>
        <v>24.5</v>
      </c>
      <c r="E78" s="90">
        <f>(CleanedDataset!$F160-CleanedDataset!$E160)/CleanedDataset!$F160</f>
        <v>0.7</v>
      </c>
      <c r="F78" s="91">
        <v>433</v>
      </c>
      <c r="G78" s="91">
        <f>F78*C78-F78*B78</f>
        <v>10608.5</v>
      </c>
      <c r="H78" s="91">
        <v>350</v>
      </c>
      <c r="I78" s="91">
        <f>H78*C78-F78*B78</f>
        <v>7703.5</v>
      </c>
      <c r="J78" s="91">
        <v>235</v>
      </c>
      <c r="K78" s="91">
        <f>J78*C78-J78*B78</f>
        <v>5757.5</v>
      </c>
      <c r="L78" s="91">
        <v>170</v>
      </c>
      <c r="M78" s="91">
        <f>L78*C78-L78*B78</f>
        <v>4165</v>
      </c>
      <c r="N78" s="91">
        <v>55</v>
      </c>
      <c r="O78" s="91">
        <f>N78*C78-N78*B78</f>
        <v>1347.5</v>
      </c>
      <c r="P78" s="91">
        <v>135</v>
      </c>
      <c r="Q78" s="91">
        <f>P78*C78-P78*B78</f>
        <v>3307.5</v>
      </c>
      <c r="R78" s="91">
        <v>120</v>
      </c>
      <c r="S78" s="91">
        <f>R78*C78-R78*B78</f>
        <v>2940</v>
      </c>
      <c r="T78" s="91">
        <f>SUM(P78,N78,L78,J78,H78,F78)</f>
        <v>1378</v>
      </c>
      <c r="U78" s="91">
        <v>1</v>
      </c>
      <c r="V78" s="92">
        <v>99</v>
      </c>
      <c r="W78">
        <f t="shared" si="1"/>
        <v>1515.5</v>
      </c>
    </row>
    <row r="79" spans="1:23" x14ac:dyDescent="0.3">
      <c r="A79" s="95">
        <v>3.5</v>
      </c>
      <c r="B79" s="95">
        <f>A79*3</f>
        <v>10.5</v>
      </c>
      <c r="C79" s="95">
        <v>35</v>
      </c>
      <c r="D79" s="95">
        <f>C79-B79</f>
        <v>24.5</v>
      </c>
      <c r="E79" s="95">
        <f>(CleanedDataset!$F163-CleanedDataset!$E163)/CleanedDataset!$F163</f>
        <v>0.72</v>
      </c>
      <c r="F79" s="96">
        <v>530</v>
      </c>
      <c r="G79" s="96">
        <f>F79*C79-F79*B79</f>
        <v>12985</v>
      </c>
      <c r="H79" s="96">
        <v>480</v>
      </c>
      <c r="I79" s="96">
        <f>H79*C79-F79*B79</f>
        <v>11235</v>
      </c>
      <c r="J79" s="96">
        <v>257</v>
      </c>
      <c r="K79" s="96">
        <f>J79*C79-J79*B79</f>
        <v>6296.5</v>
      </c>
      <c r="L79" s="96">
        <v>200</v>
      </c>
      <c r="M79" s="96">
        <f>L79*C79-L79*B79</f>
        <v>4900</v>
      </c>
      <c r="N79" s="96">
        <v>230</v>
      </c>
      <c r="O79" s="96">
        <f>N79*C79-N79*B79</f>
        <v>5635</v>
      </c>
      <c r="P79" s="96">
        <v>580</v>
      </c>
      <c r="Q79" s="96">
        <f>P79*C79-P79*B79</f>
        <v>14210</v>
      </c>
      <c r="R79" s="96">
        <v>578</v>
      </c>
      <c r="S79" s="96">
        <f>R79*C79-R79*B79</f>
        <v>14161</v>
      </c>
      <c r="T79" s="96">
        <f>SUM(P79,N79,L79,J79,H79,F79)</f>
        <v>2277</v>
      </c>
      <c r="U79" s="96">
        <v>1</v>
      </c>
      <c r="V79" s="97">
        <v>95</v>
      </c>
      <c r="W79">
        <f t="shared" si="1"/>
        <v>1855</v>
      </c>
    </row>
    <row r="80" spans="1:23" x14ac:dyDescent="0.3">
      <c r="A80" s="95">
        <v>35</v>
      </c>
      <c r="B80" s="95">
        <f>A80*2.8</f>
        <v>98</v>
      </c>
      <c r="C80" s="95">
        <v>135</v>
      </c>
      <c r="D80" s="95">
        <f>C80-B80</f>
        <v>37</v>
      </c>
      <c r="E80" s="95">
        <f>(CleanedDataset!$F43-CleanedDataset!$E43)/CleanedDataset!$F43</f>
        <v>0.82352941176470584</v>
      </c>
      <c r="F80" s="96">
        <v>116</v>
      </c>
      <c r="G80" s="96">
        <f>F80*C80-F80*B80</f>
        <v>4292</v>
      </c>
      <c r="H80" s="96">
        <v>164</v>
      </c>
      <c r="I80" s="96">
        <f>H80*C80-F80*B80</f>
        <v>10772</v>
      </c>
      <c r="J80" s="96">
        <v>319</v>
      </c>
      <c r="K80" s="96">
        <f>J80*C80-J80*B80</f>
        <v>11803</v>
      </c>
      <c r="L80" s="96">
        <v>251</v>
      </c>
      <c r="M80" s="96">
        <f>L80*C80-L80*B80</f>
        <v>9287</v>
      </c>
      <c r="N80" s="96">
        <v>207</v>
      </c>
      <c r="O80" s="96">
        <f>N80*C80-N80*B80</f>
        <v>7659</v>
      </c>
      <c r="P80" s="96">
        <v>182</v>
      </c>
      <c r="Q80" s="96">
        <f>P80*C80-P80*B80</f>
        <v>6734</v>
      </c>
      <c r="R80" s="96">
        <v>54</v>
      </c>
      <c r="S80" s="96">
        <f>R80*C80-R80*B80</f>
        <v>1998</v>
      </c>
      <c r="T80" s="96">
        <f>SUM(P80,N80,L80,J80,H80,F80)</f>
        <v>1239</v>
      </c>
      <c r="U80" s="96">
        <v>1</v>
      </c>
      <c r="V80" s="97">
        <v>96</v>
      </c>
      <c r="W80">
        <f t="shared" si="1"/>
        <v>4060</v>
      </c>
    </row>
    <row r="81" spans="1:23" x14ac:dyDescent="0.3">
      <c r="A81" s="90">
        <v>35</v>
      </c>
      <c r="B81" s="90">
        <f>A81*3.2</f>
        <v>112</v>
      </c>
      <c r="C81" s="90">
        <v>180</v>
      </c>
      <c r="D81" s="90">
        <f>C81-B81</f>
        <v>68</v>
      </c>
      <c r="E81" s="90">
        <f>(CleanedDataset!$F94-CleanedDataset!$E94)/CleanedDataset!$F94</f>
        <v>0.53125</v>
      </c>
      <c r="F81" s="91">
        <v>5</v>
      </c>
      <c r="G81" s="91">
        <f>F81*C81-F81*B81</f>
        <v>340</v>
      </c>
      <c r="H81" s="91">
        <v>0</v>
      </c>
      <c r="I81" s="91">
        <f>H81*C81-F81*B81</f>
        <v>-560</v>
      </c>
      <c r="J81" s="91">
        <v>0</v>
      </c>
      <c r="K81" s="91">
        <f>J81*C81-J81*B81</f>
        <v>0</v>
      </c>
      <c r="L81" s="91">
        <v>0</v>
      </c>
      <c r="M81" s="91">
        <f>L81*C81-L81*B81</f>
        <v>0</v>
      </c>
      <c r="N81" s="91">
        <v>0</v>
      </c>
      <c r="O81" s="91">
        <f>N81*C81-N81*B81</f>
        <v>0</v>
      </c>
      <c r="P81" s="91">
        <v>0</v>
      </c>
      <c r="Q81" s="91">
        <f>P81*C81-P81*B81</f>
        <v>0</v>
      </c>
      <c r="R81" s="91">
        <v>0</v>
      </c>
      <c r="S81" s="91">
        <f>R81*C81-R81*B81</f>
        <v>0</v>
      </c>
      <c r="T81" s="91">
        <f>SUM(P81,N81,L81,J81,H81,F81)</f>
        <v>5</v>
      </c>
      <c r="U81" s="91">
        <v>1</v>
      </c>
      <c r="V81" s="92">
        <v>98</v>
      </c>
      <c r="W81">
        <f t="shared" si="1"/>
        <v>175</v>
      </c>
    </row>
    <row r="82" spans="1:23" x14ac:dyDescent="0.3">
      <c r="A82" s="95">
        <v>35</v>
      </c>
      <c r="B82" s="95">
        <f>A82*3.2</f>
        <v>112</v>
      </c>
      <c r="C82" s="95">
        <v>180</v>
      </c>
      <c r="D82" s="95">
        <f>C82-B82</f>
        <v>68</v>
      </c>
      <c r="E82" s="95">
        <f>(CleanedDataset!$F103-CleanedDataset!$E103)/CleanedDataset!$F103</f>
        <v>0.54430379746835444</v>
      </c>
      <c r="F82" s="96">
        <v>0</v>
      </c>
      <c r="G82" s="96">
        <f>F82*C82-F82*B82</f>
        <v>0</v>
      </c>
      <c r="H82" s="96">
        <v>89</v>
      </c>
      <c r="I82" s="96">
        <f>H82*C82-F82*B82</f>
        <v>16020</v>
      </c>
      <c r="J82" s="96">
        <v>0</v>
      </c>
      <c r="K82" s="96">
        <f>J82*C82-J82*B82</f>
        <v>0</v>
      </c>
      <c r="L82" s="96">
        <v>0</v>
      </c>
      <c r="M82" s="96">
        <f>L82*C82-L82*B82</f>
        <v>0</v>
      </c>
      <c r="N82" s="96">
        <v>0</v>
      </c>
      <c r="O82" s="96">
        <f>N82*C82-N82*B82</f>
        <v>0</v>
      </c>
      <c r="P82" s="96">
        <v>0</v>
      </c>
      <c r="Q82" s="96">
        <f>P82*C82-P82*B82</f>
        <v>0</v>
      </c>
      <c r="R82" s="96">
        <v>0</v>
      </c>
      <c r="S82" s="96">
        <f>R82*C82-R82*B82</f>
        <v>0</v>
      </c>
      <c r="T82" s="96">
        <f>SUM(P82,N82,L82,J82,H82,F82)</f>
        <v>89</v>
      </c>
      <c r="U82" s="96">
        <v>1</v>
      </c>
      <c r="V82" s="97">
        <v>92</v>
      </c>
      <c r="W82">
        <f t="shared" si="1"/>
        <v>0</v>
      </c>
    </row>
    <row r="83" spans="1:23" x14ac:dyDescent="0.3">
      <c r="A83" s="95">
        <v>35</v>
      </c>
      <c r="B83" s="95">
        <f>A83*3.2</f>
        <v>112</v>
      </c>
      <c r="C83" s="95">
        <v>180</v>
      </c>
      <c r="D83" s="95">
        <f>C83-B83</f>
        <v>68</v>
      </c>
      <c r="E83" s="95">
        <f>(CleanedDataset!$F203-CleanedDataset!$E203)/CleanedDataset!$F203</f>
        <v>0.77599999999999991</v>
      </c>
      <c r="F83" s="96">
        <v>5</v>
      </c>
      <c r="G83" s="96">
        <f>F83*C83-F83*B83</f>
        <v>340</v>
      </c>
      <c r="H83" s="96">
        <v>0</v>
      </c>
      <c r="I83" s="96">
        <f>H83*C83-F83*B83</f>
        <v>-560</v>
      </c>
      <c r="J83" s="96">
        <v>0</v>
      </c>
      <c r="K83" s="96">
        <f>J83*C83-J83*B83</f>
        <v>0</v>
      </c>
      <c r="L83" s="96">
        <v>0</v>
      </c>
      <c r="M83" s="96">
        <f>L83*C83-L83*B83</f>
        <v>0</v>
      </c>
      <c r="N83" s="96">
        <v>0</v>
      </c>
      <c r="O83" s="96">
        <f>N83*C83-N83*B83</f>
        <v>0</v>
      </c>
      <c r="P83" s="96">
        <v>0</v>
      </c>
      <c r="Q83" s="96">
        <f>P83*C83-P83*B83</f>
        <v>0</v>
      </c>
      <c r="R83" s="96">
        <v>0</v>
      </c>
      <c r="S83" s="96">
        <f>R83*C83-R83*B83</f>
        <v>0</v>
      </c>
      <c r="T83" s="96">
        <f>SUM(P83,N83,L83,J83,H83,F83)</f>
        <v>5</v>
      </c>
      <c r="U83" s="96">
        <v>1</v>
      </c>
      <c r="V83" s="97">
        <v>97</v>
      </c>
      <c r="W83">
        <f t="shared" si="1"/>
        <v>175</v>
      </c>
    </row>
    <row r="84" spans="1:23" x14ac:dyDescent="0.3">
      <c r="A84" s="90">
        <v>40</v>
      </c>
      <c r="B84" s="90">
        <f>A84*2.8</f>
        <v>112</v>
      </c>
      <c r="C84" s="90">
        <v>220</v>
      </c>
      <c r="D84" s="90">
        <f>C84-B84</f>
        <v>108</v>
      </c>
      <c r="E84" s="90">
        <f>(CleanedDataset!$F2-CleanedDataset!$E2)/CleanedDataset!$F2</f>
        <v>0.82079999999999997</v>
      </c>
      <c r="F84" s="91">
        <v>0</v>
      </c>
      <c r="G84" s="91">
        <f>F84*C84-F84*B84</f>
        <v>0</v>
      </c>
      <c r="H84" s="91">
        <v>1</v>
      </c>
      <c r="I84" s="91">
        <f>H84*C84-F84*B84</f>
        <v>220</v>
      </c>
      <c r="J84" s="91">
        <v>0</v>
      </c>
      <c r="K84" s="91">
        <f>J84*C84-J84*B84</f>
        <v>0</v>
      </c>
      <c r="L84" s="91">
        <v>1</v>
      </c>
      <c r="M84" s="91">
        <f>L84*C84-L84*B84</f>
        <v>108</v>
      </c>
      <c r="N84" s="91">
        <v>38</v>
      </c>
      <c r="O84" s="91">
        <f>N84*C84-N84*B84</f>
        <v>4104</v>
      </c>
      <c r="P84" s="91">
        <v>0</v>
      </c>
      <c r="Q84" s="91">
        <f>P84*C84-P84*B84</f>
        <v>0</v>
      </c>
      <c r="R84" s="91">
        <v>0</v>
      </c>
      <c r="S84" s="91">
        <f>R84*C84-R84*B84</f>
        <v>0</v>
      </c>
      <c r="T84" s="91">
        <f>SUM(P84,N84,L84,J84,H84,F84)</f>
        <v>40</v>
      </c>
      <c r="U84" s="91">
        <v>1</v>
      </c>
      <c r="V84" s="92">
        <v>98</v>
      </c>
      <c r="W84">
        <f t="shared" si="1"/>
        <v>0</v>
      </c>
    </row>
    <row r="85" spans="1:23" x14ac:dyDescent="0.3">
      <c r="A85" s="90">
        <v>40</v>
      </c>
      <c r="B85" s="90">
        <f>A85*3</f>
        <v>120</v>
      </c>
      <c r="C85" s="90">
        <v>250</v>
      </c>
      <c r="D85" s="90">
        <f>C85-B85</f>
        <v>130</v>
      </c>
      <c r="E85" s="90">
        <f>(CleanedDataset!$F68-CleanedDataset!$E68)/CleanedDataset!$F68</f>
        <v>0.7931034482758621</v>
      </c>
      <c r="F85" s="91">
        <v>0</v>
      </c>
      <c r="G85" s="91">
        <f>F85*C85-F85*B85</f>
        <v>0</v>
      </c>
      <c r="H85" s="91">
        <v>5</v>
      </c>
      <c r="I85" s="91">
        <f>H85*C85-F85*B85</f>
        <v>1250</v>
      </c>
      <c r="J85" s="91">
        <v>0</v>
      </c>
      <c r="K85" s="91">
        <f>J85*C85-J85*B85</f>
        <v>0</v>
      </c>
      <c r="L85" s="91">
        <v>0</v>
      </c>
      <c r="M85" s="91">
        <f>L85*C85-L85*B85</f>
        <v>0</v>
      </c>
      <c r="N85" s="91">
        <v>0</v>
      </c>
      <c r="O85" s="91">
        <f>N85*C85-N85*B85</f>
        <v>0</v>
      </c>
      <c r="P85" s="91">
        <v>0</v>
      </c>
      <c r="Q85" s="91">
        <f>P85*C85-P85*B85</f>
        <v>0</v>
      </c>
      <c r="R85" s="91">
        <v>0</v>
      </c>
      <c r="S85" s="91">
        <f>R85*C85-R85*B85</f>
        <v>0</v>
      </c>
      <c r="T85" s="91">
        <f>SUM(P85,N85,L85,J85,H85,F85)</f>
        <v>5</v>
      </c>
      <c r="U85" s="91">
        <v>1</v>
      </c>
      <c r="V85" s="92">
        <v>98</v>
      </c>
      <c r="W85">
        <f t="shared" si="1"/>
        <v>0</v>
      </c>
    </row>
    <row r="86" spans="1:23" x14ac:dyDescent="0.3">
      <c r="A86" s="90">
        <v>40</v>
      </c>
      <c r="B86" s="90">
        <f>A86*3.2</f>
        <v>128</v>
      </c>
      <c r="C86" s="90">
        <v>300</v>
      </c>
      <c r="D86" s="90">
        <f>C86-B86</f>
        <v>172</v>
      </c>
      <c r="E86" s="90">
        <f>(CleanedDataset!$F88-CleanedDataset!$E88)/CleanedDataset!$F88</f>
        <v>0.48</v>
      </c>
      <c r="F86" s="91">
        <v>0</v>
      </c>
      <c r="G86" s="91">
        <f>F86*C86-F86*B86</f>
        <v>0</v>
      </c>
      <c r="H86" s="91">
        <v>5</v>
      </c>
      <c r="I86" s="91">
        <f>H86*C86-F86*B86</f>
        <v>1500</v>
      </c>
      <c r="J86" s="91">
        <v>0</v>
      </c>
      <c r="K86" s="91">
        <f>J86*C86-J86*B86</f>
        <v>0</v>
      </c>
      <c r="L86" s="91">
        <v>0</v>
      </c>
      <c r="M86" s="91">
        <f>L86*C86-L86*B86</f>
        <v>0</v>
      </c>
      <c r="N86" s="91">
        <v>0</v>
      </c>
      <c r="O86" s="91">
        <f>N86*C86-N86*B86</f>
        <v>0</v>
      </c>
      <c r="P86" s="91">
        <v>0</v>
      </c>
      <c r="Q86" s="91">
        <f>P86*C86-P86*B86</f>
        <v>0</v>
      </c>
      <c r="R86" s="91">
        <v>0</v>
      </c>
      <c r="S86" s="91">
        <f>R86*C86-R86*B86</f>
        <v>0</v>
      </c>
      <c r="T86" s="91">
        <f>SUM(P86,N86,L86,J86,H86,F86)</f>
        <v>5</v>
      </c>
      <c r="U86" s="91">
        <v>1</v>
      </c>
      <c r="V86" s="92">
        <v>99</v>
      </c>
      <c r="W86">
        <f t="shared" si="1"/>
        <v>0</v>
      </c>
    </row>
    <row r="87" spans="1:23" x14ac:dyDescent="0.3">
      <c r="A87" s="90">
        <v>40</v>
      </c>
      <c r="B87" s="90">
        <f>A87*3.2</f>
        <v>128</v>
      </c>
      <c r="C87" s="90">
        <v>300</v>
      </c>
      <c r="D87" s="90">
        <f>C87-B87</f>
        <v>172</v>
      </c>
      <c r="E87" s="90">
        <f>(CleanedDataset!$F104-CleanedDataset!$E104)/CleanedDataset!$F104</f>
        <v>0.47058823529411764</v>
      </c>
      <c r="F87" s="91">
        <v>0</v>
      </c>
      <c r="G87" s="91">
        <f>F87*C87-F87*B87</f>
        <v>0</v>
      </c>
      <c r="H87" s="91">
        <v>5</v>
      </c>
      <c r="I87" s="91">
        <f>H87*C87-F87*B87</f>
        <v>1500</v>
      </c>
      <c r="J87" s="91">
        <v>0</v>
      </c>
      <c r="K87" s="91">
        <f>J87*C87-J87*B87</f>
        <v>0</v>
      </c>
      <c r="L87" s="91">
        <v>0</v>
      </c>
      <c r="M87" s="91">
        <f>L87*C87-L87*B87</f>
        <v>0</v>
      </c>
      <c r="N87" s="91">
        <v>0</v>
      </c>
      <c r="O87" s="91">
        <f>N87*C87-N87*B87</f>
        <v>0</v>
      </c>
      <c r="P87" s="91">
        <v>0</v>
      </c>
      <c r="Q87" s="91">
        <f>P87*C87-P87*B87</f>
        <v>0</v>
      </c>
      <c r="R87" s="91">
        <v>0</v>
      </c>
      <c r="S87" s="91">
        <f>R87*C87-R87*B87</f>
        <v>0</v>
      </c>
      <c r="T87" s="91">
        <f>SUM(P87,N87,L87,J87,H87,F87)</f>
        <v>5</v>
      </c>
      <c r="U87" s="91">
        <v>1</v>
      </c>
      <c r="V87" s="92">
        <v>94</v>
      </c>
      <c r="W87">
        <f t="shared" si="1"/>
        <v>0</v>
      </c>
    </row>
    <row r="88" spans="1:23" x14ac:dyDescent="0.3">
      <c r="A88" s="95">
        <v>40</v>
      </c>
      <c r="B88" s="95">
        <f>A88*3</f>
        <v>120</v>
      </c>
      <c r="C88" s="95">
        <v>250</v>
      </c>
      <c r="D88" s="95">
        <f>C88-B88</f>
        <v>130</v>
      </c>
      <c r="E88" s="95">
        <f>(CleanedDataset!$F127-CleanedDataset!$E127)/CleanedDataset!$F127</f>
        <v>0.61294117647058821</v>
      </c>
      <c r="F88" s="96">
        <v>0</v>
      </c>
      <c r="G88" s="96">
        <f>F88*C88-F88*B88</f>
        <v>0</v>
      </c>
      <c r="H88" s="96">
        <v>5</v>
      </c>
      <c r="I88" s="96">
        <f>H88*C88-F88*B88</f>
        <v>1250</v>
      </c>
      <c r="J88" s="96">
        <v>0</v>
      </c>
      <c r="K88" s="96">
        <f>J88*C88-J88*B88</f>
        <v>0</v>
      </c>
      <c r="L88" s="96">
        <v>0</v>
      </c>
      <c r="M88" s="96">
        <f>L88*C88-L88*B88</f>
        <v>0</v>
      </c>
      <c r="N88" s="96">
        <v>0</v>
      </c>
      <c r="O88" s="96">
        <f>N88*C88-N88*B88</f>
        <v>0</v>
      </c>
      <c r="P88" s="96">
        <v>0</v>
      </c>
      <c r="Q88" s="96">
        <f>P88*C88-P88*B88</f>
        <v>0</v>
      </c>
      <c r="R88" s="96">
        <v>0</v>
      </c>
      <c r="S88" s="96">
        <f>R88*C88-R88*B88</f>
        <v>0</v>
      </c>
      <c r="T88" s="96">
        <f>SUM(P88,N88,L88,J88,H88,F88)</f>
        <v>5</v>
      </c>
      <c r="U88" s="96">
        <v>1</v>
      </c>
      <c r="V88" s="97">
        <v>90</v>
      </c>
      <c r="W88">
        <f t="shared" si="1"/>
        <v>0</v>
      </c>
    </row>
    <row r="89" spans="1:23" x14ac:dyDescent="0.3">
      <c r="A89" s="90">
        <v>40</v>
      </c>
      <c r="B89" s="90">
        <f>A89*3</f>
        <v>120</v>
      </c>
      <c r="C89" s="90">
        <v>250</v>
      </c>
      <c r="D89" s="90">
        <f>C89-B89</f>
        <v>130</v>
      </c>
      <c r="E89" s="90">
        <f>(CleanedDataset!$F134-CleanedDataset!$E134)/CleanedDataset!$F134</f>
        <v>0.69439728353140917</v>
      </c>
      <c r="F89" s="91">
        <v>1</v>
      </c>
      <c r="G89" s="91">
        <f>F89*C89-F89*B89</f>
        <v>130</v>
      </c>
      <c r="H89" s="91">
        <v>0</v>
      </c>
      <c r="I89" s="91">
        <f>H89*C89-F89*B89</f>
        <v>-120</v>
      </c>
      <c r="J89" s="91">
        <v>0</v>
      </c>
      <c r="K89" s="91">
        <f>J89*C89-J89*B89</f>
        <v>0</v>
      </c>
      <c r="L89" s="91">
        <v>0</v>
      </c>
      <c r="M89" s="91">
        <f>L89*C89-L89*B89</f>
        <v>0</v>
      </c>
      <c r="N89" s="91">
        <v>0</v>
      </c>
      <c r="O89" s="91">
        <f>N89*C89-N89*B89</f>
        <v>0</v>
      </c>
      <c r="P89" s="91">
        <v>0</v>
      </c>
      <c r="Q89" s="91">
        <f>P89*C89-P89*B89</f>
        <v>0</v>
      </c>
      <c r="R89" s="91">
        <v>0</v>
      </c>
      <c r="S89" s="91">
        <f>R89*C89-R89*B89</f>
        <v>0</v>
      </c>
      <c r="T89" s="91">
        <f>SUM(P89,N89,L89,J89,H89,F89)</f>
        <v>1</v>
      </c>
      <c r="U89" s="91">
        <v>1</v>
      </c>
      <c r="V89" s="92">
        <v>100</v>
      </c>
      <c r="W89">
        <f t="shared" si="1"/>
        <v>40</v>
      </c>
    </row>
    <row r="90" spans="1:23" x14ac:dyDescent="0.3">
      <c r="A90" s="95">
        <v>47</v>
      </c>
      <c r="B90" s="95">
        <f>A90*2.8</f>
        <v>131.6</v>
      </c>
      <c r="C90" s="95">
        <v>340</v>
      </c>
      <c r="D90" s="95">
        <f>C90-B90</f>
        <v>208.4</v>
      </c>
      <c r="E90" s="95">
        <f>(CleanedDataset!$F7-CleanedDataset!$E7)/CleanedDataset!$F7</f>
        <v>0.63793103448275867</v>
      </c>
      <c r="F90" s="96">
        <v>2</v>
      </c>
      <c r="G90" s="96">
        <f>F90*C90-F90*B90</f>
        <v>416.8</v>
      </c>
      <c r="H90" s="96">
        <v>34</v>
      </c>
      <c r="I90" s="96">
        <f>H90*C90-F90*B90</f>
        <v>11296.8</v>
      </c>
      <c r="J90" s="96">
        <v>36</v>
      </c>
      <c r="K90" s="96">
        <f>J90*C90-J90*B90</f>
        <v>7502.4000000000005</v>
      </c>
      <c r="L90" s="96">
        <v>2</v>
      </c>
      <c r="M90" s="96">
        <f>L90*C90-L90*B90</f>
        <v>416.8</v>
      </c>
      <c r="N90" s="96">
        <v>0</v>
      </c>
      <c r="O90" s="96">
        <f>N90*C90-N90*B90</f>
        <v>0</v>
      </c>
      <c r="P90" s="96">
        <v>0</v>
      </c>
      <c r="Q90" s="96">
        <f>P90*C90-P90*B90</f>
        <v>0</v>
      </c>
      <c r="R90" s="96">
        <v>0</v>
      </c>
      <c r="S90" s="96">
        <f>R90*C90-R90*B90</f>
        <v>0</v>
      </c>
      <c r="T90" s="96">
        <f>SUM(P90,N90,L90,J90,H90,F90)</f>
        <v>74</v>
      </c>
      <c r="U90" s="96">
        <v>1</v>
      </c>
      <c r="V90" s="97">
        <v>92</v>
      </c>
      <c r="W90">
        <f t="shared" si="1"/>
        <v>94</v>
      </c>
    </row>
    <row r="91" spans="1:23" x14ac:dyDescent="0.3">
      <c r="A91" s="90">
        <v>47</v>
      </c>
      <c r="B91" s="90">
        <f>A91*3</f>
        <v>141</v>
      </c>
      <c r="C91" s="90">
        <v>370</v>
      </c>
      <c r="D91" s="90">
        <f>C91-B91</f>
        <v>229</v>
      </c>
      <c r="E91" s="90">
        <f>(CleanedDataset!$F72-CleanedDataset!$E72)/CleanedDataset!$F72</f>
        <v>0.83333333333333337</v>
      </c>
      <c r="F91" s="91">
        <v>2</v>
      </c>
      <c r="G91" s="91">
        <f>F91*C91-F91*B91</f>
        <v>458</v>
      </c>
      <c r="H91" s="91">
        <v>0</v>
      </c>
      <c r="I91" s="91">
        <f>H91*C91-F91*B91</f>
        <v>-282</v>
      </c>
      <c r="J91" s="91">
        <v>0</v>
      </c>
      <c r="K91" s="91">
        <f>J91*C91-J91*B91</f>
        <v>0</v>
      </c>
      <c r="L91" s="91">
        <v>0</v>
      </c>
      <c r="M91" s="91">
        <f>L91*C91-L91*B91</f>
        <v>0</v>
      </c>
      <c r="N91" s="91">
        <v>0</v>
      </c>
      <c r="O91" s="91">
        <f>N91*C91-N91*B91</f>
        <v>0</v>
      </c>
      <c r="P91" s="91">
        <v>0</v>
      </c>
      <c r="Q91" s="91">
        <f>P91*C91-P91*B91</f>
        <v>0</v>
      </c>
      <c r="R91" s="91">
        <v>0</v>
      </c>
      <c r="S91" s="91">
        <f>R91*C91-R91*B91</f>
        <v>0</v>
      </c>
      <c r="T91" s="91">
        <f>SUM(P91,N91,L91,J91,H91,F91)</f>
        <v>2</v>
      </c>
      <c r="U91" s="91">
        <v>1</v>
      </c>
      <c r="V91" s="92">
        <v>99</v>
      </c>
      <c r="W91">
        <f t="shared" si="1"/>
        <v>94</v>
      </c>
    </row>
    <row r="92" spans="1:23" x14ac:dyDescent="0.3">
      <c r="A92" s="95">
        <v>47</v>
      </c>
      <c r="B92" s="95">
        <f>A92*3.2</f>
        <v>150.4</v>
      </c>
      <c r="C92" s="95">
        <v>400</v>
      </c>
      <c r="D92" s="95">
        <f>C92-B92</f>
        <v>249.6</v>
      </c>
      <c r="E92" s="95">
        <f>(CleanedDataset!$F89-CleanedDataset!$E89)/CleanedDataset!$F89</f>
        <v>0.43333333333333335</v>
      </c>
      <c r="F92" s="96">
        <v>0</v>
      </c>
      <c r="G92" s="96">
        <f>F92*C92-F92*B92</f>
        <v>0</v>
      </c>
      <c r="H92" s="96">
        <v>1</v>
      </c>
      <c r="I92" s="96">
        <f>H92*C92-F92*B92</f>
        <v>400</v>
      </c>
      <c r="J92" s="96">
        <v>0</v>
      </c>
      <c r="K92" s="96">
        <f>J92*C92-J92*B92</f>
        <v>0</v>
      </c>
      <c r="L92" s="96">
        <v>0</v>
      </c>
      <c r="M92" s="96">
        <f>L92*C92-L92*B92</f>
        <v>0</v>
      </c>
      <c r="N92" s="96">
        <v>0</v>
      </c>
      <c r="O92" s="96">
        <f>N92*C92-N92*B92</f>
        <v>0</v>
      </c>
      <c r="P92" s="96">
        <v>0</v>
      </c>
      <c r="Q92" s="96">
        <f>P92*C92-P92*B92</f>
        <v>0</v>
      </c>
      <c r="R92" s="96">
        <v>0</v>
      </c>
      <c r="S92" s="96">
        <f>R92*C92-R92*B92</f>
        <v>0</v>
      </c>
      <c r="T92" s="96">
        <f>SUM(P92,N92,L92,J92,H92,F92)</f>
        <v>1</v>
      </c>
      <c r="U92" s="96">
        <v>1</v>
      </c>
      <c r="V92" s="97">
        <v>90</v>
      </c>
      <c r="W92">
        <f t="shared" si="1"/>
        <v>0</v>
      </c>
    </row>
    <row r="93" spans="1:23" x14ac:dyDescent="0.3">
      <c r="A93" s="95">
        <v>47</v>
      </c>
      <c r="B93" s="95">
        <f>A93*3.2</f>
        <v>150.4</v>
      </c>
      <c r="C93" s="95">
        <v>400</v>
      </c>
      <c r="D93" s="95">
        <f>C93-B93</f>
        <v>249.6</v>
      </c>
      <c r="E93" s="95">
        <f>(CleanedDataset!$F111-CleanedDataset!$E111)/CleanedDataset!$F111</f>
        <v>0.48863636363636365</v>
      </c>
      <c r="F93" s="96">
        <v>5</v>
      </c>
      <c r="G93" s="96">
        <f>F93*C93-F93*B93</f>
        <v>1248</v>
      </c>
      <c r="H93" s="96">
        <v>0</v>
      </c>
      <c r="I93" s="96">
        <f>H93*C93-F93*B93</f>
        <v>-752</v>
      </c>
      <c r="J93" s="96">
        <v>0</v>
      </c>
      <c r="K93" s="96">
        <f>J93*C93-J93*B93</f>
        <v>0</v>
      </c>
      <c r="L93" s="96">
        <v>0</v>
      </c>
      <c r="M93" s="96">
        <f>L93*C93-L93*B93</f>
        <v>0</v>
      </c>
      <c r="N93" s="96">
        <v>0</v>
      </c>
      <c r="O93" s="96">
        <f>N93*C93-N93*B93</f>
        <v>0</v>
      </c>
      <c r="P93" s="96">
        <v>0</v>
      </c>
      <c r="Q93" s="96">
        <f>P93*C93-P93*B93</f>
        <v>0</v>
      </c>
      <c r="R93" s="96">
        <v>0</v>
      </c>
      <c r="S93" s="96">
        <f>R93*C93-R93*B93</f>
        <v>0</v>
      </c>
      <c r="T93" s="96">
        <f>SUM(P93,N93,L93,J93,H93,F93)</f>
        <v>5</v>
      </c>
      <c r="U93" s="96">
        <v>1</v>
      </c>
      <c r="V93" s="97">
        <v>90</v>
      </c>
      <c r="W93">
        <f t="shared" si="1"/>
        <v>235</v>
      </c>
    </row>
    <row r="94" spans="1:23" x14ac:dyDescent="0.3">
      <c r="A94" s="90">
        <v>47</v>
      </c>
      <c r="B94" s="90">
        <f>A94*3</f>
        <v>141</v>
      </c>
      <c r="C94" s="90">
        <v>370</v>
      </c>
      <c r="D94" s="90">
        <f>C94-B94</f>
        <v>229</v>
      </c>
      <c r="E94" s="90">
        <f>(CleanedDataset!$F138-CleanedDataset!$E138)/CleanedDataset!$F138</f>
        <v>0.55200000000000005</v>
      </c>
      <c r="F94" s="91">
        <v>3</v>
      </c>
      <c r="G94" s="91">
        <f>F94*C94-F94*B94</f>
        <v>687</v>
      </c>
      <c r="H94" s="91">
        <v>0</v>
      </c>
      <c r="I94" s="91">
        <f>H94*C94-F94*B94</f>
        <v>-423</v>
      </c>
      <c r="J94" s="91">
        <v>0</v>
      </c>
      <c r="K94" s="91">
        <f>J94*C94-J94*B94</f>
        <v>0</v>
      </c>
      <c r="L94" s="91">
        <v>0</v>
      </c>
      <c r="M94" s="91">
        <f>L94*C94-L94*B94</f>
        <v>0</v>
      </c>
      <c r="N94" s="91">
        <v>0</v>
      </c>
      <c r="O94" s="91">
        <f>N94*C94-N94*B94</f>
        <v>0</v>
      </c>
      <c r="P94" s="91">
        <v>0</v>
      </c>
      <c r="Q94" s="91">
        <f>P94*C94-P94*B94</f>
        <v>0</v>
      </c>
      <c r="R94" s="91">
        <v>0</v>
      </c>
      <c r="S94" s="91">
        <f>R94*C94-R94*B94</f>
        <v>0</v>
      </c>
      <c r="T94" s="91">
        <f>SUM(P94,N94,L94,J94,H94,F94)</f>
        <v>3</v>
      </c>
      <c r="U94" s="91">
        <v>1</v>
      </c>
      <c r="V94" s="92">
        <v>97</v>
      </c>
      <c r="W94">
        <f t="shared" si="1"/>
        <v>141</v>
      </c>
    </row>
    <row r="95" spans="1:23" x14ac:dyDescent="0.3">
      <c r="A95" s="90">
        <v>55</v>
      </c>
      <c r="B95" s="90">
        <f>A95*2.8</f>
        <v>154</v>
      </c>
      <c r="C95" s="90">
        <v>375</v>
      </c>
      <c r="D95" s="90">
        <f>C95-B95</f>
        <v>221</v>
      </c>
      <c r="E95" s="90">
        <f>(CleanedDataset!$F24-CleanedDataset!$E24)/CleanedDataset!$F24</f>
        <v>0.47499999999999998</v>
      </c>
      <c r="F95" s="91">
        <v>36</v>
      </c>
      <c r="G95" s="91">
        <f>F95*C95-F95*B95</f>
        <v>7956</v>
      </c>
      <c r="H95" s="91">
        <v>40</v>
      </c>
      <c r="I95" s="91">
        <f>H95*C95-F95*B95</f>
        <v>9456</v>
      </c>
      <c r="J95" s="91">
        <v>45</v>
      </c>
      <c r="K95" s="91">
        <f>J95*C95-J95*B95</f>
        <v>9945</v>
      </c>
      <c r="L95" s="91">
        <v>141</v>
      </c>
      <c r="M95" s="91">
        <f>L95*C95-L95*B95</f>
        <v>31161</v>
      </c>
      <c r="N95" s="91">
        <v>156</v>
      </c>
      <c r="O95" s="91">
        <f>N95*C95-N95*B95</f>
        <v>34476</v>
      </c>
      <c r="P95" s="91">
        <v>73</v>
      </c>
      <c r="Q95" s="91">
        <f>P95*C95-P95*B95</f>
        <v>16133</v>
      </c>
      <c r="R95" s="91">
        <v>39</v>
      </c>
      <c r="S95" s="91">
        <f>R95*C95-R95*B95</f>
        <v>8619</v>
      </c>
      <c r="T95" s="91">
        <f>SUM(P95,N95,L95,J95,H95,F95)</f>
        <v>491</v>
      </c>
      <c r="U95" s="91">
        <v>1</v>
      </c>
      <c r="V95" s="92">
        <v>92</v>
      </c>
      <c r="W95">
        <f t="shared" si="1"/>
        <v>1980</v>
      </c>
    </row>
    <row r="96" spans="1:23" x14ac:dyDescent="0.3">
      <c r="A96" s="95">
        <v>55</v>
      </c>
      <c r="B96" s="95">
        <f>A96*3.2</f>
        <v>176</v>
      </c>
      <c r="C96" s="95">
        <v>510</v>
      </c>
      <c r="D96" s="95">
        <f>C96-B96</f>
        <v>334</v>
      </c>
      <c r="E96" s="95">
        <f>(CleanedDataset!$F81-CleanedDataset!$E81)/CleanedDataset!$F81</f>
        <v>0</v>
      </c>
      <c r="F96" s="96">
        <v>53</v>
      </c>
      <c r="G96" s="96">
        <f>F96*C96-F96*B96</f>
        <v>17702</v>
      </c>
      <c r="H96" s="96">
        <v>21</v>
      </c>
      <c r="I96" s="96">
        <f>H96*C96-F96*B96</f>
        <v>1382</v>
      </c>
      <c r="J96" s="96">
        <v>0</v>
      </c>
      <c r="K96" s="96">
        <f>J96*C96-J96*B96</f>
        <v>0</v>
      </c>
      <c r="L96" s="96">
        <v>0</v>
      </c>
      <c r="M96" s="96">
        <f>L96*C96-L96*B96</f>
        <v>0</v>
      </c>
      <c r="N96" s="96">
        <v>0</v>
      </c>
      <c r="O96" s="96">
        <f>N96*C96-N96*B96</f>
        <v>0</v>
      </c>
      <c r="P96" s="96">
        <v>0</v>
      </c>
      <c r="Q96" s="96">
        <f>P96*C96-P96*B96</f>
        <v>0</v>
      </c>
      <c r="R96" s="96">
        <v>0</v>
      </c>
      <c r="S96" s="96">
        <f>R96*C96-R96*B96</f>
        <v>0</v>
      </c>
      <c r="T96" s="96">
        <f>SUM(P96,N96,L96,J96,H96,F96)</f>
        <v>74</v>
      </c>
      <c r="U96" s="96">
        <v>1</v>
      </c>
      <c r="V96" s="97">
        <v>99</v>
      </c>
      <c r="W96">
        <f t="shared" si="1"/>
        <v>2915</v>
      </c>
    </row>
    <row r="97" spans="1:23" x14ac:dyDescent="0.3">
      <c r="A97" s="90">
        <v>55</v>
      </c>
      <c r="B97" s="90">
        <f>A97*3.2</f>
        <v>176</v>
      </c>
      <c r="C97" s="90">
        <v>510</v>
      </c>
      <c r="D97" s="90">
        <f>C97-B97</f>
        <v>334</v>
      </c>
      <c r="E97" s="90">
        <f>(CleanedDataset!$F116-CleanedDataset!$E116)/CleanedDataset!$F116</f>
        <v>0.27407407407407408</v>
      </c>
      <c r="F97" s="91">
        <v>33</v>
      </c>
      <c r="G97" s="91">
        <f>F97*C97-F97*B97</f>
        <v>11022</v>
      </c>
      <c r="H97" s="91">
        <v>15</v>
      </c>
      <c r="I97" s="91">
        <f>H97*C97-F97*B97</f>
        <v>1842</v>
      </c>
      <c r="J97" s="91">
        <v>0</v>
      </c>
      <c r="K97" s="91">
        <f>J97*C97-J97*B97</f>
        <v>0</v>
      </c>
      <c r="L97" s="91">
        <v>0</v>
      </c>
      <c r="M97" s="91">
        <f>L97*C97-L97*B97</f>
        <v>0</v>
      </c>
      <c r="N97" s="91">
        <v>0</v>
      </c>
      <c r="O97" s="91">
        <f>N97*C97-N97*B97</f>
        <v>0</v>
      </c>
      <c r="P97" s="91">
        <v>0</v>
      </c>
      <c r="Q97" s="91">
        <f>P97*C97-P97*B97</f>
        <v>0</v>
      </c>
      <c r="R97" s="91">
        <v>0</v>
      </c>
      <c r="S97" s="91">
        <f>R97*C97-R97*B97</f>
        <v>0</v>
      </c>
      <c r="T97" s="91">
        <f>SUM(P97,N97,L97,J97,H97,F97)</f>
        <v>48</v>
      </c>
      <c r="U97" s="91">
        <v>1</v>
      </c>
      <c r="V97" s="92">
        <v>98</v>
      </c>
      <c r="W97">
        <f t="shared" si="1"/>
        <v>1815</v>
      </c>
    </row>
    <row r="98" spans="1:23" x14ac:dyDescent="0.3">
      <c r="A98" s="90">
        <v>55</v>
      </c>
      <c r="B98" s="90">
        <f>A98*3</f>
        <v>165</v>
      </c>
      <c r="C98" s="90">
        <v>400</v>
      </c>
      <c r="D98" s="90">
        <f>C98-B98</f>
        <v>235</v>
      </c>
      <c r="E98" s="90">
        <f>(CleanedDataset!$F144-CleanedDataset!$E144)/CleanedDataset!$F144</f>
        <v>0.55862068965517242</v>
      </c>
      <c r="F98" s="91">
        <v>25</v>
      </c>
      <c r="G98" s="91">
        <f>F98*C98-F98*B98</f>
        <v>5875</v>
      </c>
      <c r="H98" s="91">
        <v>30</v>
      </c>
      <c r="I98" s="91">
        <f>H98*C98-F98*B98</f>
        <v>7875</v>
      </c>
      <c r="J98" s="91">
        <v>23</v>
      </c>
      <c r="K98" s="91">
        <f>J98*C98-J98*B98</f>
        <v>5405</v>
      </c>
      <c r="L98" s="91">
        <v>22</v>
      </c>
      <c r="M98" s="91">
        <f>L98*C98-L98*B98</f>
        <v>5170</v>
      </c>
      <c r="N98" s="91">
        <v>35</v>
      </c>
      <c r="O98" s="91">
        <f>N98*C98-N98*B98</f>
        <v>8225</v>
      </c>
      <c r="P98" s="91">
        <v>135</v>
      </c>
      <c r="Q98" s="91">
        <f>P98*C98-P98*B98</f>
        <v>31725</v>
      </c>
      <c r="R98" s="91">
        <v>142</v>
      </c>
      <c r="S98" s="91">
        <f>R98*C98-R98*B98</f>
        <v>33370</v>
      </c>
      <c r="T98" s="91">
        <f>SUM(P98,N98,L98,J98,H98,F98)</f>
        <v>270</v>
      </c>
      <c r="U98" s="91">
        <v>1</v>
      </c>
      <c r="V98" s="92">
        <v>95</v>
      </c>
      <c r="W98">
        <f t="shared" si="1"/>
        <v>1375</v>
      </c>
    </row>
    <row r="99" spans="1:23" x14ac:dyDescent="0.3">
      <c r="A99" s="95">
        <v>60</v>
      </c>
      <c r="B99" s="95">
        <f>A99*2.8</f>
        <v>168</v>
      </c>
      <c r="C99" s="95">
        <v>579</v>
      </c>
      <c r="D99" s="95">
        <f>C99-B99</f>
        <v>411</v>
      </c>
      <c r="E99" s="95">
        <f>(CleanedDataset!$F3-CleanedDataset!$E3)/CleanedDataset!$F3</f>
        <v>0.57999999999999996</v>
      </c>
      <c r="F99" s="96">
        <v>0</v>
      </c>
      <c r="G99" s="96">
        <f>F99*C99-F99*B99</f>
        <v>0</v>
      </c>
      <c r="H99" s="96">
        <v>0</v>
      </c>
      <c r="I99" s="96">
        <f>H99*C99-F99*B99</f>
        <v>0</v>
      </c>
      <c r="J99" s="96">
        <v>0</v>
      </c>
      <c r="K99" s="96">
        <f>J99*C99-J99*B99</f>
        <v>0</v>
      </c>
      <c r="L99" s="96">
        <v>0</v>
      </c>
      <c r="M99" s="96">
        <f>L99*C99-L99*B99</f>
        <v>0</v>
      </c>
      <c r="N99" s="96">
        <v>12</v>
      </c>
      <c r="O99" s="96">
        <f>N99*C99-N99*B99</f>
        <v>4932</v>
      </c>
      <c r="P99" s="96">
        <v>0</v>
      </c>
      <c r="Q99" s="96">
        <f>P99*C99-P99*B99</f>
        <v>0</v>
      </c>
      <c r="R99" s="96">
        <v>0</v>
      </c>
      <c r="S99" s="96">
        <f>R99*C99-R99*B99</f>
        <v>0</v>
      </c>
      <c r="T99" s="96">
        <f>SUM(P99,N99,L99,J99,H99,F99)</f>
        <v>12</v>
      </c>
      <c r="U99" s="96">
        <v>1</v>
      </c>
      <c r="V99" s="97">
        <v>96</v>
      </c>
      <c r="W99">
        <f t="shared" si="1"/>
        <v>0</v>
      </c>
    </row>
    <row r="100" spans="1:23" x14ac:dyDescent="0.3">
      <c r="A100" s="95">
        <v>60</v>
      </c>
      <c r="B100" s="95">
        <f>A100*3.2</f>
        <v>192</v>
      </c>
      <c r="C100" s="95">
        <v>650</v>
      </c>
      <c r="D100" s="95">
        <f>C100-B100</f>
        <v>458</v>
      </c>
      <c r="E100" s="95">
        <f>(CleanedDataset!$F95-CleanedDataset!$E95)/CleanedDataset!$F95</f>
        <v>0.53333333333333333</v>
      </c>
      <c r="F100" s="96">
        <v>5</v>
      </c>
      <c r="G100" s="96">
        <f>F100*C100-F100*B100</f>
        <v>2290</v>
      </c>
      <c r="H100" s="96">
        <v>0</v>
      </c>
      <c r="I100" s="96">
        <f>H100*C100-F100*B100</f>
        <v>-960</v>
      </c>
      <c r="J100" s="96">
        <v>0</v>
      </c>
      <c r="K100" s="96">
        <f>J100*C100-J100*B100</f>
        <v>0</v>
      </c>
      <c r="L100" s="96">
        <v>0</v>
      </c>
      <c r="M100" s="96">
        <f>L100*C100-L100*B100</f>
        <v>0</v>
      </c>
      <c r="N100" s="96">
        <v>0</v>
      </c>
      <c r="O100" s="96">
        <f>N100*C100-N100*B100</f>
        <v>0</v>
      </c>
      <c r="P100" s="96">
        <v>0</v>
      </c>
      <c r="Q100" s="96">
        <f>P100*C100-P100*B100</f>
        <v>0</v>
      </c>
      <c r="R100" s="96">
        <v>0</v>
      </c>
      <c r="S100" s="96">
        <f>R100*C100-R100*B100</f>
        <v>0</v>
      </c>
      <c r="T100" s="96">
        <f>SUM(P100,N100,L100,J100,H100,F100)</f>
        <v>5</v>
      </c>
      <c r="U100" s="96">
        <v>1</v>
      </c>
      <c r="V100" s="97">
        <v>99</v>
      </c>
      <c r="W100">
        <f t="shared" si="1"/>
        <v>300</v>
      </c>
    </row>
    <row r="101" spans="1:23" x14ac:dyDescent="0.3">
      <c r="A101" s="90">
        <v>60</v>
      </c>
      <c r="B101" s="90">
        <f>A101*3.2</f>
        <v>192</v>
      </c>
      <c r="C101" s="90">
        <v>650</v>
      </c>
      <c r="D101" s="90">
        <f>C101-B101</f>
        <v>458</v>
      </c>
      <c r="E101" s="90">
        <f>(CleanedDataset!$F108-CleanedDataset!$E108)/CleanedDataset!$F108</f>
        <v>0.42727272727272725</v>
      </c>
      <c r="F101" s="91">
        <v>3</v>
      </c>
      <c r="G101" s="91">
        <f>F101*C101-F101*B101</f>
        <v>1374</v>
      </c>
      <c r="H101" s="91">
        <v>0</v>
      </c>
      <c r="I101" s="91">
        <f>H101*C101-F101*B101</f>
        <v>-576</v>
      </c>
      <c r="J101" s="91">
        <v>0</v>
      </c>
      <c r="K101" s="91">
        <f>J101*C101-J101*B101</f>
        <v>0</v>
      </c>
      <c r="L101" s="91">
        <v>0</v>
      </c>
      <c r="M101" s="91">
        <f>L101*C101-L101*B101</f>
        <v>0</v>
      </c>
      <c r="N101" s="91">
        <v>0</v>
      </c>
      <c r="O101" s="91">
        <f>N101*C101-N101*B101</f>
        <v>0</v>
      </c>
      <c r="P101" s="91">
        <v>0</v>
      </c>
      <c r="Q101" s="91">
        <f>P101*C101-P101*B101</f>
        <v>0</v>
      </c>
      <c r="R101" s="91">
        <v>0</v>
      </c>
      <c r="S101" s="91">
        <f>R101*C101-R101*B101</f>
        <v>0</v>
      </c>
      <c r="T101" s="91">
        <f>SUM(P101,N101,L101,J101,H101,F101)</f>
        <v>3</v>
      </c>
      <c r="U101" s="91">
        <v>1</v>
      </c>
      <c r="V101" s="92">
        <v>92</v>
      </c>
      <c r="W101">
        <f t="shared" si="1"/>
        <v>180</v>
      </c>
    </row>
    <row r="102" spans="1:23" x14ac:dyDescent="0.3">
      <c r="A102" s="90">
        <v>60</v>
      </c>
      <c r="B102" s="90">
        <f>A102*3</f>
        <v>180</v>
      </c>
      <c r="C102" s="90">
        <v>589</v>
      </c>
      <c r="D102" s="90">
        <f>C102-B102</f>
        <v>409</v>
      </c>
      <c r="E102" s="90">
        <f>(CleanedDataset!$F142-CleanedDataset!$E142)/CleanedDataset!$F142</f>
        <v>0.55862068965517242</v>
      </c>
      <c r="F102" s="91">
        <v>10</v>
      </c>
      <c r="G102" s="91">
        <f>F102*C102-F102*B102</f>
        <v>4090</v>
      </c>
      <c r="H102" s="91">
        <v>0</v>
      </c>
      <c r="I102" s="91">
        <f>H102*C102-F102*B102</f>
        <v>-1800</v>
      </c>
      <c r="J102" s="91">
        <v>0</v>
      </c>
      <c r="K102" s="91">
        <f>J102*C102-J102*B102</f>
        <v>0</v>
      </c>
      <c r="L102" s="91">
        <v>0</v>
      </c>
      <c r="M102" s="91">
        <f>L102*C102-L102*B102</f>
        <v>0</v>
      </c>
      <c r="N102" s="91">
        <v>0</v>
      </c>
      <c r="O102" s="91">
        <f>N102*C102-N102*B102</f>
        <v>0</v>
      </c>
      <c r="P102" s="91">
        <v>0</v>
      </c>
      <c r="Q102" s="91">
        <f>P102*C102-P102*B102</f>
        <v>0</v>
      </c>
      <c r="R102" s="91">
        <v>0</v>
      </c>
      <c r="S102" s="91">
        <f>R102*C102-R102*B102</f>
        <v>0</v>
      </c>
      <c r="T102" s="91">
        <f>SUM(P102,N102,L102,J102,H102,F102)</f>
        <v>10</v>
      </c>
      <c r="U102" s="91">
        <v>1</v>
      </c>
      <c r="V102" s="92">
        <v>90</v>
      </c>
      <c r="W102">
        <f t="shared" si="1"/>
        <v>600</v>
      </c>
    </row>
    <row r="103" spans="1:23" x14ac:dyDescent="0.3">
      <c r="A103" s="90">
        <v>35</v>
      </c>
      <c r="B103" s="90">
        <f>A103*2.8</f>
        <v>98</v>
      </c>
      <c r="C103" s="90">
        <v>185</v>
      </c>
      <c r="D103" s="90">
        <f>C103-B103</f>
        <v>87</v>
      </c>
      <c r="E103" s="90">
        <f>(CleanedDataset!$F42-CleanedDataset!$E42)/CleanedDataset!$F42</f>
        <v>0.83529411764705885</v>
      </c>
      <c r="F103" s="91">
        <v>112</v>
      </c>
      <c r="G103" s="91">
        <f>F103*C103-F103*B103</f>
        <v>9744</v>
      </c>
      <c r="H103" s="91">
        <v>98</v>
      </c>
      <c r="I103" s="91">
        <f>H103*C103-F103*B103</f>
        <v>7154</v>
      </c>
      <c r="J103" s="91">
        <v>92</v>
      </c>
      <c r="K103" s="91">
        <f>J103*C103-J103*B103</f>
        <v>8004</v>
      </c>
      <c r="L103" s="91">
        <v>235</v>
      </c>
      <c r="M103" s="91">
        <f>L103*C103-L103*B103</f>
        <v>20445</v>
      </c>
      <c r="N103" s="91">
        <v>176</v>
      </c>
      <c r="O103" s="91">
        <f>N103*C103-N103*B103</f>
        <v>15312</v>
      </c>
      <c r="P103" s="91">
        <v>88</v>
      </c>
      <c r="Q103" s="91">
        <f>P103*C103-P103*B103</f>
        <v>7656</v>
      </c>
      <c r="R103" s="91">
        <v>28</v>
      </c>
      <c r="S103" s="91">
        <f>R103*C103-R103*B103</f>
        <v>2436</v>
      </c>
      <c r="T103" s="91">
        <f>SUM(P103,N103,L103,J103,H103,F103)</f>
        <v>801</v>
      </c>
      <c r="U103" s="91">
        <v>1</v>
      </c>
      <c r="V103" s="92">
        <v>97</v>
      </c>
      <c r="W103">
        <f t="shared" si="1"/>
        <v>3920</v>
      </c>
    </row>
    <row r="104" spans="1:23" x14ac:dyDescent="0.3">
      <c r="A104" s="90">
        <v>35</v>
      </c>
      <c r="B104" s="90">
        <f>A104*3.2</f>
        <v>112</v>
      </c>
      <c r="C104" s="90">
        <v>250</v>
      </c>
      <c r="D104" s="90">
        <f>C104-B104</f>
        <v>138</v>
      </c>
      <c r="E104" s="90">
        <f>(CleanedDataset!$F76-CleanedDataset!$E76)/CleanedDataset!$F76</f>
        <v>-0.2</v>
      </c>
      <c r="F104" s="91">
        <v>26</v>
      </c>
      <c r="G104" s="91">
        <f>F104*C104-F104*B104</f>
        <v>3588</v>
      </c>
      <c r="H104" s="91">
        <v>13</v>
      </c>
      <c r="I104" s="91">
        <f>H104*C104-F104*B104</f>
        <v>338</v>
      </c>
      <c r="J104" s="91">
        <v>0</v>
      </c>
      <c r="K104" s="91">
        <f>J104*C104-J104*B104</f>
        <v>0</v>
      </c>
      <c r="L104" s="91">
        <v>0</v>
      </c>
      <c r="M104" s="91">
        <f>L104*C104-L104*B104</f>
        <v>0</v>
      </c>
      <c r="N104" s="91">
        <v>0</v>
      </c>
      <c r="O104" s="91">
        <f>N104*C104-N104*B104</f>
        <v>0</v>
      </c>
      <c r="P104" s="91">
        <v>0</v>
      </c>
      <c r="Q104" s="91">
        <f>P104*C104-P104*B104</f>
        <v>0</v>
      </c>
      <c r="R104" s="91">
        <v>0</v>
      </c>
      <c r="S104" s="91">
        <f>R104*C104-R104*B104</f>
        <v>0</v>
      </c>
      <c r="T104" s="91">
        <f>SUM(P104,N104,L104,J104,H104,F104)</f>
        <v>39</v>
      </c>
      <c r="U104" s="91">
        <v>1</v>
      </c>
      <c r="V104" s="92">
        <v>95</v>
      </c>
      <c r="W104">
        <f t="shared" si="1"/>
        <v>910</v>
      </c>
    </row>
    <row r="105" spans="1:23" x14ac:dyDescent="0.3">
      <c r="A105" s="95">
        <v>35</v>
      </c>
      <c r="B105" s="95">
        <f>A105*3.2</f>
        <v>112</v>
      </c>
      <c r="C105" s="95">
        <v>250</v>
      </c>
      <c r="D105" s="95">
        <f>C105-B105</f>
        <v>138</v>
      </c>
      <c r="E105" s="95">
        <f>(CleanedDataset!$F83-CleanedDataset!$E83)/CleanedDataset!$F83</f>
        <v>0.56000000000000005</v>
      </c>
      <c r="F105" s="96">
        <v>135</v>
      </c>
      <c r="G105" s="96">
        <f>F105*C105-F105*B105</f>
        <v>18630</v>
      </c>
      <c r="H105" s="96">
        <v>78</v>
      </c>
      <c r="I105" s="96">
        <f>H105*C105-F105*B105</f>
        <v>4380</v>
      </c>
      <c r="J105" s="96">
        <v>0</v>
      </c>
      <c r="K105" s="96">
        <f>J105*C105-J105*B105</f>
        <v>0</v>
      </c>
      <c r="L105" s="96">
        <v>0</v>
      </c>
      <c r="M105" s="96">
        <f>L105*C105-L105*B105</f>
        <v>0</v>
      </c>
      <c r="N105" s="96">
        <v>0</v>
      </c>
      <c r="O105" s="96">
        <f>N105*C105-N105*B105</f>
        <v>0</v>
      </c>
      <c r="P105" s="96">
        <v>0</v>
      </c>
      <c r="Q105" s="96">
        <f>P105*C105-P105*B105</f>
        <v>0</v>
      </c>
      <c r="R105" s="96">
        <v>0</v>
      </c>
      <c r="S105" s="96">
        <f>R105*C105-R105*B105</f>
        <v>0</v>
      </c>
      <c r="T105" s="96">
        <f>SUM(P105,N105,L105,J105,H105,F105)</f>
        <v>213</v>
      </c>
      <c r="U105" s="96">
        <v>1</v>
      </c>
      <c r="V105" s="97">
        <v>95</v>
      </c>
      <c r="W105">
        <f t="shared" si="1"/>
        <v>4725</v>
      </c>
    </row>
    <row r="106" spans="1:23" x14ac:dyDescent="0.3">
      <c r="A106" s="90">
        <v>35</v>
      </c>
      <c r="B106" s="90">
        <f>A106*3.2</f>
        <v>112</v>
      </c>
      <c r="C106" s="90">
        <v>250</v>
      </c>
      <c r="D106" s="90">
        <f>C106-B106</f>
        <v>138</v>
      </c>
      <c r="E106" s="90">
        <f>(CleanedDataset!$F98-CleanedDataset!$E98)/CleanedDataset!$F98</f>
        <v>0</v>
      </c>
      <c r="F106" s="91">
        <v>15</v>
      </c>
      <c r="G106" s="91">
        <f>F106*C106-F106*B106</f>
        <v>2070</v>
      </c>
      <c r="H106" s="91">
        <v>8</v>
      </c>
      <c r="I106" s="91">
        <f>H106*C106-F106*B106</f>
        <v>320</v>
      </c>
      <c r="J106" s="91">
        <v>0</v>
      </c>
      <c r="K106" s="91">
        <f>J106*C106-J106*B106</f>
        <v>0</v>
      </c>
      <c r="L106" s="91">
        <v>0</v>
      </c>
      <c r="M106" s="91">
        <f>L106*C106-L106*B106</f>
        <v>0</v>
      </c>
      <c r="N106" s="91">
        <v>0</v>
      </c>
      <c r="O106" s="91">
        <f>N106*C106-N106*B106</f>
        <v>0</v>
      </c>
      <c r="P106" s="91">
        <v>0</v>
      </c>
      <c r="Q106" s="91">
        <f>P106*C106-P106*B106</f>
        <v>0</v>
      </c>
      <c r="R106" s="91">
        <v>0</v>
      </c>
      <c r="S106" s="91">
        <f>R106*C106-R106*B106</f>
        <v>0</v>
      </c>
      <c r="T106" s="91">
        <f>SUM(P106,N106,L106,J106,H106,F106)</f>
        <v>23</v>
      </c>
      <c r="U106" s="91">
        <v>1</v>
      </c>
      <c r="V106" s="92">
        <v>97</v>
      </c>
      <c r="W106">
        <f t="shared" si="1"/>
        <v>525</v>
      </c>
    </row>
    <row r="107" spans="1:23" x14ac:dyDescent="0.3">
      <c r="A107" s="95">
        <v>35</v>
      </c>
      <c r="B107" s="95">
        <f>A107*3.2</f>
        <v>112</v>
      </c>
      <c r="C107" s="95">
        <v>250</v>
      </c>
      <c r="D107" s="95">
        <f>C107-B107</f>
        <v>138</v>
      </c>
      <c r="E107" s="95">
        <f>(CleanedDataset!$F125-CleanedDataset!$E125)/CleanedDataset!$F125</f>
        <v>0.61891891891891893</v>
      </c>
      <c r="F107" s="96">
        <v>76</v>
      </c>
      <c r="G107" s="96">
        <f>F107*C107-F107*B107</f>
        <v>10488</v>
      </c>
      <c r="H107" s="96">
        <v>55</v>
      </c>
      <c r="I107" s="96">
        <f>H107*C107-F107*B107</f>
        <v>5238</v>
      </c>
      <c r="J107" s="96">
        <v>0</v>
      </c>
      <c r="K107" s="96">
        <f>J107*C107-J107*B107</f>
        <v>0</v>
      </c>
      <c r="L107" s="96">
        <v>0</v>
      </c>
      <c r="M107" s="96">
        <f>L107*C107-L107*B107</f>
        <v>0</v>
      </c>
      <c r="N107" s="96">
        <v>0</v>
      </c>
      <c r="O107" s="96">
        <f>N107*C107-N107*B107</f>
        <v>0</v>
      </c>
      <c r="P107" s="96">
        <v>0</v>
      </c>
      <c r="Q107" s="96">
        <f>P107*C107-P107*B107</f>
        <v>0</v>
      </c>
      <c r="R107" s="96">
        <v>0</v>
      </c>
      <c r="S107" s="96">
        <f>R107*C107-R107*B107</f>
        <v>0</v>
      </c>
      <c r="T107" s="96">
        <f>SUM(P107,N107,L107,J107,H107,F107)</f>
        <v>131</v>
      </c>
      <c r="U107" s="96">
        <v>1</v>
      </c>
      <c r="V107" s="97">
        <v>95</v>
      </c>
      <c r="W107">
        <f t="shared" si="1"/>
        <v>2660</v>
      </c>
    </row>
    <row r="108" spans="1:23" x14ac:dyDescent="0.3">
      <c r="A108" s="90">
        <v>35</v>
      </c>
      <c r="B108" s="90">
        <f>A108*3</f>
        <v>105</v>
      </c>
      <c r="C108" s="90">
        <v>250</v>
      </c>
      <c r="D108" s="90">
        <f>C108-B108</f>
        <v>145</v>
      </c>
      <c r="E108" s="90">
        <f>(CleanedDataset!$F156-CleanedDataset!$E156)/CleanedDataset!$F156</f>
        <v>0.36</v>
      </c>
      <c r="F108" s="91">
        <v>230</v>
      </c>
      <c r="G108" s="91">
        <f>F108*C108-F108*B108</f>
        <v>33350</v>
      </c>
      <c r="H108" s="91">
        <v>187</v>
      </c>
      <c r="I108" s="91">
        <f>H108*C108-F108*B108</f>
        <v>22600</v>
      </c>
      <c r="J108" s="91">
        <v>135</v>
      </c>
      <c r="K108" s="91">
        <f>J108*C108-J108*B108</f>
        <v>19575</v>
      </c>
      <c r="L108" s="91">
        <v>87</v>
      </c>
      <c r="M108" s="91">
        <f>L108*C108-L108*B108</f>
        <v>12615</v>
      </c>
      <c r="N108" s="91">
        <v>53</v>
      </c>
      <c r="O108" s="91">
        <f>N108*C108-N108*B108</f>
        <v>7685</v>
      </c>
      <c r="P108" s="91">
        <v>235</v>
      </c>
      <c r="Q108" s="91">
        <f>P108*C108-P108*B108</f>
        <v>34075</v>
      </c>
      <c r="R108" s="91">
        <v>200</v>
      </c>
      <c r="S108" s="91">
        <f>R108*C108-R108*B108</f>
        <v>29000</v>
      </c>
      <c r="T108" s="91">
        <f>SUM(P108,N108,L108,J108,H108,F108)</f>
        <v>927</v>
      </c>
      <c r="U108" s="91">
        <v>1</v>
      </c>
      <c r="V108" s="92">
        <v>96</v>
      </c>
      <c r="W108">
        <f t="shared" si="1"/>
        <v>8050</v>
      </c>
    </row>
    <row r="109" spans="1:23" x14ac:dyDescent="0.3">
      <c r="A109" s="90">
        <v>40</v>
      </c>
      <c r="B109" s="90">
        <f>A109*2.8</f>
        <v>112</v>
      </c>
      <c r="C109" s="90">
        <v>250</v>
      </c>
      <c r="D109" s="90">
        <f>C109-B109</f>
        <v>138</v>
      </c>
      <c r="E109" s="90">
        <f>(CleanedDataset!$F8-CleanedDataset!$E8)/CleanedDataset!$F8</f>
        <v>0.65090909090909088</v>
      </c>
      <c r="F109" s="91">
        <v>5</v>
      </c>
      <c r="G109" s="91">
        <f>F109*C109-F109*B109</f>
        <v>690</v>
      </c>
      <c r="H109" s="91">
        <v>0</v>
      </c>
      <c r="I109" s="91">
        <f>H109*C109-F109*B109</f>
        <v>-560</v>
      </c>
      <c r="J109" s="91">
        <v>0</v>
      </c>
      <c r="K109" s="91">
        <f>J109*C109-J109*B109</f>
        <v>0</v>
      </c>
      <c r="L109" s="91">
        <v>2</v>
      </c>
      <c r="M109" s="91">
        <f>L109*C109-L109*B109</f>
        <v>276</v>
      </c>
      <c r="N109" s="91">
        <v>52</v>
      </c>
      <c r="O109" s="91">
        <f>N109*C109-N109*B109</f>
        <v>7176</v>
      </c>
      <c r="P109" s="91">
        <v>0</v>
      </c>
      <c r="Q109" s="91">
        <f>P109*C109-P109*B109</f>
        <v>0</v>
      </c>
      <c r="R109" s="91">
        <v>0</v>
      </c>
      <c r="S109" s="91">
        <f>R109*C109-R109*B109</f>
        <v>0</v>
      </c>
      <c r="T109" s="91">
        <f>SUM(P109,N109,L109,J109,H109,F109)</f>
        <v>59</v>
      </c>
      <c r="U109" s="91">
        <v>1</v>
      </c>
      <c r="V109" s="92">
        <v>95</v>
      </c>
      <c r="W109">
        <f t="shared" si="1"/>
        <v>200</v>
      </c>
    </row>
    <row r="110" spans="1:23" x14ac:dyDescent="0.3">
      <c r="A110" s="95">
        <v>40</v>
      </c>
      <c r="B110" s="95">
        <f>A110*3.2</f>
        <v>128</v>
      </c>
      <c r="C110" s="95">
        <v>290</v>
      </c>
      <c r="D110" s="95">
        <f>C110-B110</f>
        <v>162</v>
      </c>
      <c r="E110" s="95">
        <f>(CleanedDataset!$F77-CleanedDataset!$E77)/CleanedDataset!$F77</f>
        <v>-0.30666666666666653</v>
      </c>
      <c r="F110" s="96">
        <v>0</v>
      </c>
      <c r="G110" s="96">
        <f>F110*C110-F110*B110</f>
        <v>0</v>
      </c>
      <c r="H110" s="96">
        <v>1</v>
      </c>
      <c r="I110" s="96">
        <f>H110*C110-F110*B110</f>
        <v>290</v>
      </c>
      <c r="J110" s="96">
        <v>0</v>
      </c>
      <c r="K110" s="96">
        <f>J110*C110-J110*B110</f>
        <v>0</v>
      </c>
      <c r="L110" s="96">
        <v>0</v>
      </c>
      <c r="M110" s="96">
        <f>L110*C110-L110*B110</f>
        <v>0</v>
      </c>
      <c r="N110" s="96">
        <v>0</v>
      </c>
      <c r="O110" s="96">
        <f>N110*C110-N110*B110</f>
        <v>0</v>
      </c>
      <c r="P110" s="96">
        <v>0</v>
      </c>
      <c r="Q110" s="96">
        <f>P110*C110-P110*B110</f>
        <v>0</v>
      </c>
      <c r="R110" s="96">
        <v>0</v>
      </c>
      <c r="S110" s="96">
        <f>R110*C110-R110*B110</f>
        <v>0</v>
      </c>
      <c r="T110" s="96">
        <f>SUM(P110,N110,L110,J110,H110,F110)</f>
        <v>1</v>
      </c>
      <c r="U110" s="96">
        <v>1</v>
      </c>
      <c r="V110" s="97">
        <v>90</v>
      </c>
      <c r="W110">
        <f t="shared" si="1"/>
        <v>0</v>
      </c>
    </row>
    <row r="111" spans="1:23" x14ac:dyDescent="0.3">
      <c r="A111" s="90">
        <v>40</v>
      </c>
      <c r="B111" s="90">
        <f>A111*3.2</f>
        <v>128</v>
      </c>
      <c r="C111" s="90">
        <v>290</v>
      </c>
      <c r="D111" s="90">
        <f>C111-B111</f>
        <v>162</v>
      </c>
      <c r="E111" s="90">
        <f>(CleanedDataset!$F96-CleanedDataset!$E96)/CleanedDataset!$F96</f>
        <v>0.52941176470588236</v>
      </c>
      <c r="F111" s="91">
        <v>5</v>
      </c>
      <c r="G111" s="91">
        <f>F111*C111-F111*B111</f>
        <v>810</v>
      </c>
      <c r="H111" s="91">
        <v>0</v>
      </c>
      <c r="I111" s="91">
        <f>H111*C111-F111*B111</f>
        <v>-640</v>
      </c>
      <c r="J111" s="91">
        <v>0</v>
      </c>
      <c r="K111" s="91">
        <f>J111*C111-J111*B111</f>
        <v>0</v>
      </c>
      <c r="L111" s="91">
        <v>0</v>
      </c>
      <c r="M111" s="91">
        <f>L111*C111-L111*B111</f>
        <v>0</v>
      </c>
      <c r="N111" s="91">
        <v>0</v>
      </c>
      <c r="O111" s="91">
        <f>N111*C111-N111*B111</f>
        <v>0</v>
      </c>
      <c r="P111" s="91">
        <v>0</v>
      </c>
      <c r="Q111" s="91">
        <f>P111*C111-P111*B111</f>
        <v>0</v>
      </c>
      <c r="R111" s="91">
        <v>0</v>
      </c>
      <c r="S111" s="91">
        <f>R111*C111-R111*B111</f>
        <v>0</v>
      </c>
      <c r="T111" s="91">
        <f>SUM(P111,N111,L111,J111,H111,F111)</f>
        <v>5</v>
      </c>
      <c r="U111" s="91">
        <v>1</v>
      </c>
      <c r="V111" s="92">
        <v>95</v>
      </c>
      <c r="W111">
        <f t="shared" si="1"/>
        <v>200</v>
      </c>
    </row>
    <row r="112" spans="1:23" x14ac:dyDescent="0.3">
      <c r="A112" s="90">
        <v>40</v>
      </c>
      <c r="B112" s="90">
        <f>A112*3.2</f>
        <v>128</v>
      </c>
      <c r="C112" s="90">
        <v>290</v>
      </c>
      <c r="D112" s="90">
        <f>C112-B112</f>
        <v>162</v>
      </c>
      <c r="E112" s="90">
        <f>(CleanedDataset!$F112-CleanedDataset!$E112)/CleanedDataset!$F112</f>
        <v>0.578125</v>
      </c>
      <c r="F112" s="91">
        <v>5</v>
      </c>
      <c r="G112" s="91">
        <f>F112*C112-F112*B112</f>
        <v>810</v>
      </c>
      <c r="H112" s="91">
        <v>0</v>
      </c>
      <c r="I112" s="91">
        <f>H112*C112-F112*B112</f>
        <v>-640</v>
      </c>
      <c r="J112" s="91">
        <v>0</v>
      </c>
      <c r="K112" s="91">
        <f>J112*C112-J112*B112</f>
        <v>0</v>
      </c>
      <c r="L112" s="91">
        <v>0</v>
      </c>
      <c r="M112" s="91">
        <f>L112*C112-L112*B112</f>
        <v>0</v>
      </c>
      <c r="N112" s="91">
        <v>0</v>
      </c>
      <c r="O112" s="91">
        <f>N112*C112-N112*B112</f>
        <v>0</v>
      </c>
      <c r="P112" s="91">
        <v>0</v>
      </c>
      <c r="Q112" s="91">
        <f>P112*C112-P112*B112</f>
        <v>0</v>
      </c>
      <c r="R112" s="91">
        <v>0</v>
      </c>
      <c r="S112" s="91">
        <f>R112*C112-R112*B112</f>
        <v>0</v>
      </c>
      <c r="T112" s="91">
        <f>SUM(P112,N112,L112,J112,H112,F112)</f>
        <v>5</v>
      </c>
      <c r="U112" s="91">
        <v>1</v>
      </c>
      <c r="V112" s="92">
        <v>93</v>
      </c>
      <c r="W112">
        <f t="shared" si="1"/>
        <v>200</v>
      </c>
    </row>
    <row r="113" spans="1:23" x14ac:dyDescent="0.3">
      <c r="A113" s="95">
        <v>40</v>
      </c>
      <c r="B113" s="95">
        <f>A113*3</f>
        <v>120</v>
      </c>
      <c r="C113" s="95">
        <v>260</v>
      </c>
      <c r="D113" s="95">
        <f>C113-B113</f>
        <v>140</v>
      </c>
      <c r="E113" s="95">
        <f>(CleanedDataset!$F129-CleanedDataset!$E129)/CleanedDataset!$F129</f>
        <v>0.65490196078431373</v>
      </c>
      <c r="F113" s="96">
        <v>1</v>
      </c>
      <c r="G113" s="96">
        <f>F113*C113-F113*B113</f>
        <v>140</v>
      </c>
      <c r="H113" s="96">
        <v>0</v>
      </c>
      <c r="I113" s="96">
        <f>H113*C113-F113*B113</f>
        <v>-120</v>
      </c>
      <c r="J113" s="96">
        <v>0</v>
      </c>
      <c r="K113" s="96">
        <f>J113*C113-J113*B113</f>
        <v>0</v>
      </c>
      <c r="L113" s="96">
        <v>0</v>
      </c>
      <c r="M113" s="96">
        <f>L113*C113-L113*B113</f>
        <v>0</v>
      </c>
      <c r="N113" s="96">
        <v>0</v>
      </c>
      <c r="O113" s="96">
        <f>N113*C113-N113*B113</f>
        <v>0</v>
      </c>
      <c r="P113" s="96">
        <v>0</v>
      </c>
      <c r="Q113" s="96">
        <f>P113*C113-P113*B113</f>
        <v>0</v>
      </c>
      <c r="R113" s="96">
        <v>0</v>
      </c>
      <c r="S113" s="96">
        <f>R113*C113-R113*B113</f>
        <v>0</v>
      </c>
      <c r="T113" s="96">
        <f>SUM(P113,N113,L113,J113,H113,F113)</f>
        <v>1</v>
      </c>
      <c r="U113" s="96">
        <v>1</v>
      </c>
      <c r="V113" s="97">
        <v>92</v>
      </c>
      <c r="W113">
        <f t="shared" si="1"/>
        <v>40</v>
      </c>
    </row>
    <row r="114" spans="1:23" x14ac:dyDescent="0.3">
      <c r="A114" s="90">
        <v>47</v>
      </c>
      <c r="B114" s="90">
        <f>A114*2.8</f>
        <v>131.6</v>
      </c>
      <c r="C114" s="90">
        <v>315</v>
      </c>
      <c r="D114" s="90">
        <f>C114-B114</f>
        <v>183.4</v>
      </c>
      <c r="E114" s="90">
        <f>(CleanedDataset!$F4-CleanedDataset!$E4)/CleanedDataset!$F4</f>
        <v>0.62666666666666671</v>
      </c>
      <c r="F114" s="91">
        <v>0</v>
      </c>
      <c r="G114" s="91">
        <f>F114*C114-F114*B114</f>
        <v>0</v>
      </c>
      <c r="H114" s="91">
        <v>0</v>
      </c>
      <c r="I114" s="91">
        <f>H114*C114-F114*B114</f>
        <v>0</v>
      </c>
      <c r="J114" s="91">
        <v>0</v>
      </c>
      <c r="K114" s="91">
        <f>J114*C114-J114*B114</f>
        <v>0</v>
      </c>
      <c r="L114" s="91">
        <v>1</v>
      </c>
      <c r="M114" s="91">
        <f>L114*C114-L114*B114</f>
        <v>183.4</v>
      </c>
      <c r="N114" s="91">
        <v>0</v>
      </c>
      <c r="O114" s="91">
        <f>N114*C114-N114*B114</f>
        <v>0</v>
      </c>
      <c r="P114" s="91">
        <v>0</v>
      </c>
      <c r="Q114" s="91">
        <f>P114*C114-P114*B114</f>
        <v>0</v>
      </c>
      <c r="R114" s="91">
        <v>0</v>
      </c>
      <c r="S114" s="91">
        <f>R114*C114-R114*B114</f>
        <v>0</v>
      </c>
      <c r="T114" s="91">
        <f>SUM(P114,N114,L114,J114,H114,F114)</f>
        <v>1</v>
      </c>
      <c r="U114" s="91">
        <v>1</v>
      </c>
      <c r="V114" s="92">
        <v>93</v>
      </c>
      <c r="W114">
        <f t="shared" si="1"/>
        <v>0</v>
      </c>
    </row>
    <row r="115" spans="1:23" x14ac:dyDescent="0.3">
      <c r="A115" s="90">
        <v>47</v>
      </c>
      <c r="B115" s="90">
        <f>A115*3.2</f>
        <v>150.4</v>
      </c>
      <c r="C115" s="90">
        <v>370</v>
      </c>
      <c r="D115" s="90">
        <f>C115-B115</f>
        <v>219.6</v>
      </c>
      <c r="E115" s="90">
        <f>(CleanedDataset!$F90-CleanedDataset!$E90)/CleanedDataset!$F90</f>
        <v>0.46666666666666667</v>
      </c>
      <c r="F115" s="91">
        <v>0</v>
      </c>
      <c r="G115" s="91">
        <f>F115*C115-F115*B115</f>
        <v>0</v>
      </c>
      <c r="H115" s="91">
        <v>1</v>
      </c>
      <c r="I115" s="91">
        <f>H115*C115-F115*B115</f>
        <v>370</v>
      </c>
      <c r="J115" s="91">
        <v>0</v>
      </c>
      <c r="K115" s="91">
        <f>J115*C115-J115*B115</f>
        <v>0</v>
      </c>
      <c r="L115" s="91">
        <v>0</v>
      </c>
      <c r="M115" s="91">
        <f>L115*C115-L115*B115</f>
        <v>0</v>
      </c>
      <c r="N115" s="91">
        <v>0</v>
      </c>
      <c r="O115" s="91">
        <f>N115*C115-N115*B115</f>
        <v>0</v>
      </c>
      <c r="P115" s="91">
        <v>0</v>
      </c>
      <c r="Q115" s="91">
        <f>P115*C115-P115*B115</f>
        <v>0</v>
      </c>
      <c r="R115" s="91">
        <v>0</v>
      </c>
      <c r="S115" s="91">
        <f>R115*C115-R115*B115</f>
        <v>0</v>
      </c>
      <c r="T115" s="91">
        <f>SUM(P115,N115,L115,J115,H115,F115)</f>
        <v>1</v>
      </c>
      <c r="U115" s="91">
        <v>1</v>
      </c>
      <c r="V115" s="92">
        <v>93</v>
      </c>
      <c r="W115">
        <f t="shared" si="1"/>
        <v>0</v>
      </c>
    </row>
    <row r="116" spans="1:23" x14ac:dyDescent="0.3">
      <c r="A116" s="95">
        <v>47</v>
      </c>
      <c r="B116" s="95">
        <f>A116*3.2</f>
        <v>150.4</v>
      </c>
      <c r="C116" s="95">
        <v>370</v>
      </c>
      <c r="D116" s="95">
        <f>C116-B116</f>
        <v>219.6</v>
      </c>
      <c r="E116" s="95">
        <f>(CleanedDataset!$F105-CleanedDataset!$E105)/CleanedDataset!$F105</f>
        <v>0.5</v>
      </c>
      <c r="F116" s="96">
        <v>1</v>
      </c>
      <c r="G116" s="96">
        <f>F116*C116-F116*B116</f>
        <v>219.6</v>
      </c>
      <c r="H116" s="96">
        <v>0</v>
      </c>
      <c r="I116" s="96">
        <f>H116*C116-F116*B116</f>
        <v>-150.4</v>
      </c>
      <c r="J116" s="96">
        <v>0</v>
      </c>
      <c r="K116" s="96">
        <f>J116*C116-J116*B116</f>
        <v>0</v>
      </c>
      <c r="L116" s="96">
        <v>0</v>
      </c>
      <c r="M116" s="96">
        <f>L116*C116-L116*B116</f>
        <v>0</v>
      </c>
      <c r="N116" s="96">
        <v>0</v>
      </c>
      <c r="O116" s="96">
        <f>N116*C116-N116*B116</f>
        <v>0</v>
      </c>
      <c r="P116" s="96">
        <v>0</v>
      </c>
      <c r="Q116" s="96">
        <f>P116*C116-P116*B116</f>
        <v>0</v>
      </c>
      <c r="R116" s="96">
        <v>0</v>
      </c>
      <c r="S116" s="96">
        <f>R116*C116-R116*B116</f>
        <v>0</v>
      </c>
      <c r="T116" s="96">
        <f>SUM(P116,N116,L116,J116,H116,F116)</f>
        <v>1</v>
      </c>
      <c r="U116" s="96">
        <v>1</v>
      </c>
      <c r="V116" s="97">
        <v>99</v>
      </c>
      <c r="W116">
        <f t="shared" si="1"/>
        <v>47</v>
      </c>
    </row>
    <row r="117" spans="1:23" x14ac:dyDescent="0.3">
      <c r="A117" s="95">
        <v>47</v>
      </c>
      <c r="B117" s="95">
        <f>A117*3</f>
        <v>141</v>
      </c>
      <c r="C117" s="95">
        <v>340</v>
      </c>
      <c r="D117" s="95">
        <f>C117-B117</f>
        <v>199</v>
      </c>
      <c r="E117" s="95">
        <f>(CleanedDataset!$F135-CleanedDataset!$E135)/CleanedDataset!$F135</f>
        <v>0.7098445595854922</v>
      </c>
      <c r="F117" s="96">
        <v>1</v>
      </c>
      <c r="G117" s="96">
        <f>F117*C117-F117*B117</f>
        <v>199</v>
      </c>
      <c r="H117" s="96">
        <v>0</v>
      </c>
      <c r="I117" s="96">
        <f>H117*C117-F117*B117</f>
        <v>-141</v>
      </c>
      <c r="J117" s="96">
        <v>0</v>
      </c>
      <c r="K117" s="96">
        <f>J117*C117-J117*B117</f>
        <v>0</v>
      </c>
      <c r="L117" s="96">
        <v>0</v>
      </c>
      <c r="M117" s="96">
        <f>L117*C117-L117*B117</f>
        <v>0</v>
      </c>
      <c r="N117" s="96">
        <v>0</v>
      </c>
      <c r="O117" s="96">
        <f>N117*C117-N117*B117</f>
        <v>0</v>
      </c>
      <c r="P117" s="96">
        <v>0</v>
      </c>
      <c r="Q117" s="96">
        <f>P117*C117-P117*B117</f>
        <v>0</v>
      </c>
      <c r="R117" s="96">
        <v>0</v>
      </c>
      <c r="S117" s="96">
        <f>R117*C117-R117*B117</f>
        <v>0</v>
      </c>
      <c r="T117" s="96">
        <f>SUM(P117,N117,L117,J117,H117,F117)</f>
        <v>1</v>
      </c>
      <c r="U117" s="96">
        <v>1</v>
      </c>
      <c r="V117" s="97">
        <v>91</v>
      </c>
      <c r="W117">
        <f t="shared" si="1"/>
        <v>47</v>
      </c>
    </row>
    <row r="118" spans="1:23" x14ac:dyDescent="0.3">
      <c r="A118" s="90">
        <v>55</v>
      </c>
      <c r="B118" s="90">
        <f>A118*2.8</f>
        <v>154</v>
      </c>
      <c r="C118" s="90">
        <v>450</v>
      </c>
      <c r="D118" s="90">
        <f>C118-B118</f>
        <v>296</v>
      </c>
      <c r="E118" s="90">
        <f>(CleanedDataset!$F10-CleanedDataset!$E10)/CleanedDataset!$F10</f>
        <v>0.58000000000000007</v>
      </c>
      <c r="F118" s="91">
        <v>7</v>
      </c>
      <c r="G118" s="91">
        <f>F118*C118-F118*B118</f>
        <v>2072</v>
      </c>
      <c r="H118" s="91">
        <v>2</v>
      </c>
      <c r="I118" s="91">
        <f>H118*C118-F118*B118</f>
        <v>-178</v>
      </c>
      <c r="J118" s="91">
        <v>3</v>
      </c>
      <c r="K118" s="91">
        <f>J118*C118-J118*B118</f>
        <v>888</v>
      </c>
      <c r="L118" s="91">
        <v>1</v>
      </c>
      <c r="M118" s="91">
        <f>L118*C118-L118*B118</f>
        <v>296</v>
      </c>
      <c r="N118" s="91">
        <v>8</v>
      </c>
      <c r="O118" s="91">
        <f>N118*C118-N118*B118</f>
        <v>2368</v>
      </c>
      <c r="P118" s="91">
        <v>0</v>
      </c>
      <c r="Q118" s="91">
        <f>P118*C118-P118*B118</f>
        <v>0</v>
      </c>
      <c r="R118" s="91">
        <v>0</v>
      </c>
      <c r="S118" s="91">
        <f>R118*C118-R118*B118</f>
        <v>0</v>
      </c>
      <c r="T118" s="91">
        <f>SUM(P118,N118,L118,J118,H118,F118)</f>
        <v>21</v>
      </c>
      <c r="U118" s="91">
        <v>1</v>
      </c>
      <c r="V118" s="92">
        <v>95</v>
      </c>
      <c r="W118">
        <f t="shared" si="1"/>
        <v>385</v>
      </c>
    </row>
    <row r="119" spans="1:23" x14ac:dyDescent="0.3">
      <c r="A119" s="95">
        <v>55</v>
      </c>
      <c r="B119" s="95">
        <f>A119*3.2</f>
        <v>176</v>
      </c>
      <c r="C119" s="95">
        <v>500</v>
      </c>
      <c r="D119" s="95">
        <f>C119-B119</f>
        <v>324</v>
      </c>
      <c r="E119" s="95">
        <f>(CleanedDataset!$F91-CleanedDataset!$E91)/CleanedDataset!$F91</f>
        <v>0.5</v>
      </c>
      <c r="F119" s="96">
        <v>0</v>
      </c>
      <c r="G119" s="96">
        <f>F119*C119-F119*B119</f>
        <v>0</v>
      </c>
      <c r="H119" s="96">
        <v>1</v>
      </c>
      <c r="I119" s="96">
        <f>H119*C119-F119*B119</f>
        <v>500</v>
      </c>
      <c r="J119" s="96">
        <v>0</v>
      </c>
      <c r="K119" s="96">
        <f>J119*C119-J119*B119</f>
        <v>0</v>
      </c>
      <c r="L119" s="96">
        <v>0</v>
      </c>
      <c r="M119" s="96">
        <f>L119*C119-L119*B119</f>
        <v>0</v>
      </c>
      <c r="N119" s="96">
        <v>0</v>
      </c>
      <c r="O119" s="96">
        <f>N119*C119-N119*B119</f>
        <v>0</v>
      </c>
      <c r="P119" s="96">
        <v>0</v>
      </c>
      <c r="Q119" s="96">
        <f>P119*C119-P119*B119</f>
        <v>0</v>
      </c>
      <c r="R119" s="96">
        <v>0</v>
      </c>
      <c r="S119" s="96">
        <f>R119*C119-R119*B119</f>
        <v>0</v>
      </c>
      <c r="T119" s="96">
        <f>SUM(P119,N119,L119,J119,H119,F119)</f>
        <v>1</v>
      </c>
      <c r="U119" s="96">
        <v>1</v>
      </c>
      <c r="V119" s="97">
        <v>93</v>
      </c>
      <c r="W119">
        <f t="shared" si="1"/>
        <v>0</v>
      </c>
    </row>
    <row r="120" spans="1:23" x14ac:dyDescent="0.3">
      <c r="A120" s="90">
        <v>55</v>
      </c>
      <c r="B120" s="90">
        <f>A120*3.2</f>
        <v>176</v>
      </c>
      <c r="C120" s="90">
        <v>500</v>
      </c>
      <c r="D120" s="90">
        <f>C120-B120</f>
        <v>324</v>
      </c>
      <c r="E120" s="90">
        <f>(CleanedDataset!$F106-CleanedDataset!$E106)/CleanedDataset!$F106</f>
        <v>0.4</v>
      </c>
      <c r="F120" s="91">
        <v>1</v>
      </c>
      <c r="G120" s="91">
        <f>F120*C120-F120*B120</f>
        <v>324</v>
      </c>
      <c r="H120" s="91">
        <v>0</v>
      </c>
      <c r="I120" s="91">
        <f>H120*C120-F120*B120</f>
        <v>-176</v>
      </c>
      <c r="J120" s="91">
        <v>0</v>
      </c>
      <c r="K120" s="91">
        <f>J120*C120-J120*B120</f>
        <v>0</v>
      </c>
      <c r="L120" s="91">
        <v>0</v>
      </c>
      <c r="M120" s="91">
        <f>L120*C120-L120*B120</f>
        <v>0</v>
      </c>
      <c r="N120" s="91">
        <v>0</v>
      </c>
      <c r="O120" s="91">
        <f>N120*C120-N120*B120</f>
        <v>0</v>
      </c>
      <c r="P120" s="91">
        <v>0</v>
      </c>
      <c r="Q120" s="91">
        <f>P120*C120-P120*B120</f>
        <v>0</v>
      </c>
      <c r="R120" s="91">
        <v>0</v>
      </c>
      <c r="S120" s="91">
        <f>R120*C120-R120*B120</f>
        <v>0</v>
      </c>
      <c r="T120" s="91">
        <f>SUM(P120,N120,L120,J120,H120,F120)</f>
        <v>1</v>
      </c>
      <c r="U120" s="91">
        <v>1</v>
      </c>
      <c r="V120" s="92">
        <v>100</v>
      </c>
      <c r="W120">
        <f t="shared" si="1"/>
        <v>55</v>
      </c>
    </row>
    <row r="121" spans="1:23" x14ac:dyDescent="0.3">
      <c r="A121" s="90">
        <v>55</v>
      </c>
      <c r="B121" s="90">
        <f>A121*3</f>
        <v>165</v>
      </c>
      <c r="C121" s="90">
        <v>470</v>
      </c>
      <c r="D121" s="90">
        <f>C121-B121</f>
        <v>305</v>
      </c>
      <c r="E121" s="90">
        <f>(CleanedDataset!$F136-CleanedDataset!$E136)/CleanedDataset!$F136</f>
        <v>0.55200000000000005</v>
      </c>
      <c r="F121" s="91">
        <v>2</v>
      </c>
      <c r="G121" s="91">
        <f>F121*C121-F121*B121</f>
        <v>610</v>
      </c>
      <c r="H121" s="91">
        <v>0</v>
      </c>
      <c r="I121" s="91">
        <f>H121*C121-F121*B121</f>
        <v>-330</v>
      </c>
      <c r="J121" s="91">
        <v>0</v>
      </c>
      <c r="K121" s="91">
        <f>J121*C121-J121*B121</f>
        <v>0</v>
      </c>
      <c r="L121" s="91">
        <v>0</v>
      </c>
      <c r="M121" s="91">
        <f>L121*C121-L121*B121</f>
        <v>0</v>
      </c>
      <c r="N121" s="91">
        <v>0</v>
      </c>
      <c r="O121" s="91">
        <f>N121*C121-N121*B121</f>
        <v>0</v>
      </c>
      <c r="P121" s="91">
        <v>0</v>
      </c>
      <c r="Q121" s="91">
        <f>P121*C121-P121*B121</f>
        <v>0</v>
      </c>
      <c r="R121" s="91">
        <v>0</v>
      </c>
      <c r="S121" s="91">
        <f>R121*C121-R121*B121</f>
        <v>0</v>
      </c>
      <c r="T121" s="91">
        <f>SUM(P121,N121,L121,J121,H121,F121)</f>
        <v>2</v>
      </c>
      <c r="U121" s="91">
        <v>1</v>
      </c>
      <c r="V121" s="92">
        <v>96</v>
      </c>
      <c r="W121">
        <f t="shared" si="1"/>
        <v>110</v>
      </c>
    </row>
    <row r="122" spans="1:23" x14ac:dyDescent="0.3">
      <c r="A122" s="95">
        <v>6</v>
      </c>
      <c r="B122" s="95">
        <f>A122*3</f>
        <v>18</v>
      </c>
      <c r="C122" s="95">
        <v>60</v>
      </c>
      <c r="D122" s="95">
        <f>C122-B122</f>
        <v>42</v>
      </c>
      <c r="E122" s="95">
        <f>(CleanedDataset!$F161-CleanedDataset!$E161)/CleanedDataset!$F161</f>
        <v>0.66400000000000003</v>
      </c>
      <c r="F122" s="96">
        <v>444</v>
      </c>
      <c r="G122" s="96">
        <f>F122*C122-F122*B122</f>
        <v>18648</v>
      </c>
      <c r="H122" s="96">
        <v>294</v>
      </c>
      <c r="I122" s="96">
        <f>H122*C122-F122*B122</f>
        <v>9648</v>
      </c>
      <c r="J122" s="96">
        <v>180</v>
      </c>
      <c r="K122" s="96">
        <f>J122*C122-J122*B122</f>
        <v>7560</v>
      </c>
      <c r="L122" s="96">
        <v>222</v>
      </c>
      <c r="M122" s="96">
        <f>L122*C122-L122*B122</f>
        <v>9324</v>
      </c>
      <c r="N122" s="96">
        <v>493</v>
      </c>
      <c r="O122" s="96">
        <f>N122*C122-N122*B122</f>
        <v>20706</v>
      </c>
      <c r="P122" s="96">
        <v>450</v>
      </c>
      <c r="Q122" s="96">
        <f>P122*C122-P122*B122</f>
        <v>18900</v>
      </c>
      <c r="R122" s="96">
        <v>0</v>
      </c>
      <c r="S122" s="96">
        <f>R122*C122-R122*B122</f>
        <v>0</v>
      </c>
      <c r="T122" s="96">
        <f>SUM(P122,N122,L122,J122,H122,F122)</f>
        <v>2083</v>
      </c>
      <c r="U122" s="96">
        <v>1</v>
      </c>
      <c r="V122" s="97">
        <v>96</v>
      </c>
      <c r="W122">
        <f t="shared" si="1"/>
        <v>2664</v>
      </c>
    </row>
    <row r="123" spans="1:23" x14ac:dyDescent="0.3">
      <c r="A123" s="90">
        <v>7</v>
      </c>
      <c r="B123" s="90">
        <f>A123*2.8</f>
        <v>19.599999999999998</v>
      </c>
      <c r="C123" s="90">
        <v>69</v>
      </c>
      <c r="D123" s="90">
        <f>C123-B123</f>
        <v>49.400000000000006</v>
      </c>
      <c r="E123" s="90">
        <f>(CleanedDataset!$F22-CleanedDataset!$E22)/CleanedDataset!$F22</f>
        <v>0.68835616438356162</v>
      </c>
      <c r="F123" s="91">
        <v>32</v>
      </c>
      <c r="G123" s="91">
        <f>F123*C123-F123*B123</f>
        <v>1580.8000000000002</v>
      </c>
      <c r="H123" s="91">
        <v>20</v>
      </c>
      <c r="I123" s="91">
        <f>H123*C123-F123*B123</f>
        <v>752.80000000000007</v>
      </c>
      <c r="J123" s="91">
        <v>24</v>
      </c>
      <c r="K123" s="91">
        <f>J123*C123-J123*B123</f>
        <v>1185.5999999999999</v>
      </c>
      <c r="L123" s="91">
        <v>49</v>
      </c>
      <c r="M123" s="91">
        <f>L123*C123-L123*B123</f>
        <v>2420.6000000000004</v>
      </c>
      <c r="N123" s="91">
        <v>40</v>
      </c>
      <c r="O123" s="91">
        <f>N123*C123-N123*B123</f>
        <v>1976</v>
      </c>
      <c r="P123" s="91">
        <v>69</v>
      </c>
      <c r="Q123" s="91">
        <f>P123*C123-P123*B123</f>
        <v>3408.6000000000004</v>
      </c>
      <c r="R123" s="91">
        <v>59</v>
      </c>
      <c r="S123" s="91">
        <f>R123*C123-R123*B123</f>
        <v>2914.6000000000004</v>
      </c>
      <c r="T123" s="91">
        <f>SUM(P123,N123,L123,J123,H123,F123)</f>
        <v>234</v>
      </c>
      <c r="U123" s="91">
        <v>1</v>
      </c>
      <c r="V123" s="92">
        <v>94</v>
      </c>
      <c r="W123">
        <f t="shared" si="1"/>
        <v>224</v>
      </c>
    </row>
    <row r="124" spans="1:23" x14ac:dyDescent="0.3">
      <c r="A124" s="95">
        <v>5</v>
      </c>
      <c r="B124" s="95">
        <f>A124*2.8</f>
        <v>14</v>
      </c>
      <c r="C124" s="95">
        <v>39</v>
      </c>
      <c r="D124" s="95">
        <f>C124-B124</f>
        <v>25</v>
      </c>
      <c r="E124" s="95">
        <f>(CleanedDataset!$F25-CleanedDataset!$E25)/CleanedDataset!$F25</f>
        <v>0.47499999999999998</v>
      </c>
      <c r="F124" s="96">
        <v>36</v>
      </c>
      <c r="G124" s="96">
        <f>F124*C124-F124*B124</f>
        <v>900</v>
      </c>
      <c r="H124" s="96">
        <v>49</v>
      </c>
      <c r="I124" s="96">
        <f>H124*C124-F124*B124</f>
        <v>1407</v>
      </c>
      <c r="J124" s="96">
        <v>38</v>
      </c>
      <c r="K124" s="96">
        <f>J124*C124-J124*B124</f>
        <v>950</v>
      </c>
      <c r="L124" s="96">
        <v>69</v>
      </c>
      <c r="M124" s="96">
        <f>L124*C124-L124*B124</f>
        <v>1725</v>
      </c>
      <c r="N124" s="96">
        <v>39</v>
      </c>
      <c r="O124" s="96">
        <f>N124*C124-N124*B124</f>
        <v>975</v>
      </c>
      <c r="P124" s="96">
        <v>46</v>
      </c>
      <c r="Q124" s="96">
        <f>P124*C124-P124*B124</f>
        <v>1150</v>
      </c>
      <c r="R124" s="96">
        <v>8</v>
      </c>
      <c r="S124" s="96">
        <f>R124*C124-R124*B124</f>
        <v>200</v>
      </c>
      <c r="T124" s="96">
        <f>SUM(P124,N124,L124,J124,H124,F124)</f>
        <v>277</v>
      </c>
      <c r="U124" s="96">
        <v>1</v>
      </c>
      <c r="V124" s="97">
        <v>94</v>
      </c>
      <c r="W124">
        <f t="shared" si="1"/>
        <v>180</v>
      </c>
    </row>
    <row r="125" spans="1:23" x14ac:dyDescent="0.3">
      <c r="A125" s="90">
        <v>7</v>
      </c>
      <c r="B125" s="90">
        <f>A125*3</f>
        <v>21</v>
      </c>
      <c r="C125" s="90">
        <v>79</v>
      </c>
      <c r="D125" s="90">
        <f>C125-B125</f>
        <v>58</v>
      </c>
      <c r="E125" s="90">
        <f>(CleanedDataset!$F66-CleanedDataset!$E66)/CleanedDataset!$F66</f>
        <v>0.73</v>
      </c>
      <c r="F125" s="91">
        <v>0</v>
      </c>
      <c r="G125" s="91">
        <f>F125*C125-F125*B125</f>
        <v>0</v>
      </c>
      <c r="H125" s="91">
        <v>3</v>
      </c>
      <c r="I125" s="91">
        <f>H125*C125-F125*B125</f>
        <v>237</v>
      </c>
      <c r="J125" s="91">
        <v>0</v>
      </c>
      <c r="K125" s="91">
        <f>J125*C125-J125*B125</f>
        <v>0</v>
      </c>
      <c r="L125" s="91">
        <v>0</v>
      </c>
      <c r="M125" s="91">
        <f>L125*C125-L125*B125</f>
        <v>0</v>
      </c>
      <c r="N125" s="91">
        <v>0</v>
      </c>
      <c r="O125" s="91">
        <f>N125*C125-N125*B125</f>
        <v>0</v>
      </c>
      <c r="P125" s="91">
        <v>0</v>
      </c>
      <c r="Q125" s="91">
        <f>P125*C125-P125*B125</f>
        <v>0</v>
      </c>
      <c r="R125" s="91">
        <v>0</v>
      </c>
      <c r="S125" s="91">
        <f>R125*C125-R125*B125</f>
        <v>0</v>
      </c>
      <c r="T125" s="91">
        <f>SUM(P125,N125,L125,J125,H125,F125)</f>
        <v>3</v>
      </c>
      <c r="U125" s="91">
        <v>1</v>
      </c>
      <c r="V125" s="92">
        <v>93</v>
      </c>
      <c r="W125">
        <f t="shared" si="1"/>
        <v>0</v>
      </c>
    </row>
    <row r="126" spans="1:23" x14ac:dyDescent="0.3">
      <c r="A126" s="95">
        <v>5</v>
      </c>
      <c r="B126" s="95">
        <f>A126*3</f>
        <v>15</v>
      </c>
      <c r="C126" s="95">
        <v>49</v>
      </c>
      <c r="D126" s="95">
        <f>C126-B126</f>
        <v>34</v>
      </c>
      <c r="E126" s="95">
        <f>(CleanedDataset!$F69-CleanedDataset!$E69)/CleanedDataset!$F69</f>
        <v>0.77931034482758621</v>
      </c>
      <c r="F126" s="96">
        <v>1</v>
      </c>
      <c r="G126" s="96">
        <f>F126*C126-F126*B126</f>
        <v>34</v>
      </c>
      <c r="H126" s="96">
        <v>0</v>
      </c>
      <c r="I126" s="96">
        <f>H126*C126-F126*B126</f>
        <v>-15</v>
      </c>
      <c r="J126" s="96">
        <v>0</v>
      </c>
      <c r="K126" s="96">
        <f>J126*C126-J126*B126</f>
        <v>0</v>
      </c>
      <c r="L126" s="96">
        <v>0</v>
      </c>
      <c r="M126" s="96">
        <f>L126*C126-L126*B126</f>
        <v>0</v>
      </c>
      <c r="N126" s="96">
        <v>0</v>
      </c>
      <c r="O126" s="96">
        <f>N126*C126-N126*B126</f>
        <v>0</v>
      </c>
      <c r="P126" s="96">
        <v>0</v>
      </c>
      <c r="Q126" s="96">
        <f>P126*C126-P126*B126</f>
        <v>0</v>
      </c>
      <c r="R126" s="96">
        <v>0</v>
      </c>
      <c r="S126" s="96">
        <f>R126*C126-R126*B126</f>
        <v>0</v>
      </c>
      <c r="T126" s="96">
        <f>SUM(P126,N126,L126,J126,H126,F126)</f>
        <v>1</v>
      </c>
      <c r="U126" s="96">
        <v>1</v>
      </c>
      <c r="V126" s="97">
        <v>100</v>
      </c>
      <c r="W126">
        <f t="shared" si="1"/>
        <v>5</v>
      </c>
    </row>
    <row r="127" spans="1:23" x14ac:dyDescent="0.3">
      <c r="A127" s="95">
        <v>7</v>
      </c>
      <c r="B127" s="95">
        <f>A127*3.2</f>
        <v>22.400000000000002</v>
      </c>
      <c r="C127" s="95">
        <v>90</v>
      </c>
      <c r="D127" s="95">
        <f>C127-B127</f>
        <v>67.599999999999994</v>
      </c>
      <c r="E127" s="95">
        <f>(CleanedDataset!$F115-CleanedDataset!$E115)/CleanedDataset!$F115</f>
        <v>0.37777777777777777</v>
      </c>
      <c r="F127" s="96">
        <v>25</v>
      </c>
      <c r="G127" s="96">
        <f>F127*C127-F127*B127</f>
        <v>1690</v>
      </c>
      <c r="H127" s="96">
        <v>0</v>
      </c>
      <c r="I127" s="96">
        <f>H127*C127-F127*B127</f>
        <v>-560</v>
      </c>
      <c r="J127" s="96">
        <v>0</v>
      </c>
      <c r="K127" s="96">
        <f>J127*C127-J127*B127</f>
        <v>0</v>
      </c>
      <c r="L127" s="96">
        <v>0</v>
      </c>
      <c r="M127" s="96">
        <f>L127*C127-L127*B127</f>
        <v>0</v>
      </c>
      <c r="N127" s="96">
        <v>0</v>
      </c>
      <c r="O127" s="96">
        <f>N127*C127-N127*B127</f>
        <v>0</v>
      </c>
      <c r="P127" s="96">
        <v>0</v>
      </c>
      <c r="Q127" s="96">
        <f>P127*C127-P127*B127</f>
        <v>0</v>
      </c>
      <c r="R127" s="96">
        <v>0</v>
      </c>
      <c r="S127" s="96">
        <f>R127*C127-R127*B127</f>
        <v>0</v>
      </c>
      <c r="T127" s="96">
        <f>SUM(P127,N127,L127,J127,H127,F127)</f>
        <v>25</v>
      </c>
      <c r="U127" s="96">
        <v>1</v>
      </c>
      <c r="V127" s="97">
        <v>92</v>
      </c>
      <c r="W127">
        <f t="shared" si="1"/>
        <v>175</v>
      </c>
    </row>
    <row r="128" spans="1:23" x14ac:dyDescent="0.3">
      <c r="A128" s="90">
        <v>5</v>
      </c>
      <c r="B128" s="90">
        <f>A128*3</f>
        <v>15</v>
      </c>
      <c r="C128" s="90">
        <v>49</v>
      </c>
      <c r="D128" s="90">
        <f>C128-B128</f>
        <v>34</v>
      </c>
      <c r="E128" s="90">
        <f>(CleanedDataset!$F128-CleanedDataset!$E128)/CleanedDataset!$F128</f>
        <v>0.65490196078431373</v>
      </c>
      <c r="F128" s="91">
        <v>1</v>
      </c>
      <c r="G128" s="91">
        <f>F128*C128-F128*B128</f>
        <v>34</v>
      </c>
      <c r="H128" s="91">
        <v>0</v>
      </c>
      <c r="I128" s="91">
        <f>H128*C128-F128*B128</f>
        <v>-15</v>
      </c>
      <c r="J128" s="91">
        <v>0</v>
      </c>
      <c r="K128" s="91">
        <f>J128*C128-J128*B128</f>
        <v>0</v>
      </c>
      <c r="L128" s="91">
        <v>0</v>
      </c>
      <c r="M128" s="91">
        <f>L128*C128-L128*B128</f>
        <v>0</v>
      </c>
      <c r="N128" s="91">
        <v>0</v>
      </c>
      <c r="O128" s="91">
        <f>N128*C128-N128*B128</f>
        <v>0</v>
      </c>
      <c r="P128" s="91">
        <v>0</v>
      </c>
      <c r="Q128" s="91">
        <f>P128*C128-P128*B128</f>
        <v>0</v>
      </c>
      <c r="R128" s="91">
        <v>0</v>
      </c>
      <c r="S128" s="91">
        <f>R128*C128-R128*B128</f>
        <v>0</v>
      </c>
      <c r="T128" s="91">
        <f>SUM(P128,N128,L128,J128,H128,F128)</f>
        <v>1</v>
      </c>
      <c r="U128" s="91">
        <v>1</v>
      </c>
      <c r="V128" s="92">
        <v>95</v>
      </c>
      <c r="W128">
        <f t="shared" si="1"/>
        <v>5</v>
      </c>
    </row>
    <row r="129" spans="1:23" x14ac:dyDescent="0.3">
      <c r="A129" s="90">
        <v>7</v>
      </c>
      <c r="B129" s="90">
        <f>A129*3</f>
        <v>21</v>
      </c>
      <c r="C129" s="90">
        <v>79</v>
      </c>
      <c r="D129" s="90">
        <f>C129-B129</f>
        <v>58</v>
      </c>
      <c r="E129" s="90">
        <f>(CleanedDataset!$F146-CleanedDataset!$E146)/CleanedDataset!$F146</f>
        <v>0.55200000000000005</v>
      </c>
      <c r="F129" s="91">
        <v>40</v>
      </c>
      <c r="G129" s="91">
        <f>F129*C129-F129*B129</f>
        <v>2320</v>
      </c>
      <c r="H129" s="91">
        <v>32</v>
      </c>
      <c r="I129" s="91">
        <f>H129*C129-F129*B129</f>
        <v>1688</v>
      </c>
      <c r="J129" s="91">
        <v>45</v>
      </c>
      <c r="K129" s="91">
        <f>J129*C129-J129*B129</f>
        <v>2610</v>
      </c>
      <c r="L129" s="91">
        <v>13</v>
      </c>
      <c r="M129" s="91">
        <f>L129*C129-L129*B129</f>
        <v>754</v>
      </c>
      <c r="N129" s="91">
        <v>25</v>
      </c>
      <c r="O129" s="91">
        <f>N129*C129-N129*B129</f>
        <v>1450</v>
      </c>
      <c r="P129" s="91">
        <v>66</v>
      </c>
      <c r="Q129" s="91">
        <f>P129*C129-P129*B129</f>
        <v>3828</v>
      </c>
      <c r="R129" s="91">
        <v>45</v>
      </c>
      <c r="S129" s="91">
        <f>R129*C129-R129*B129</f>
        <v>2610</v>
      </c>
      <c r="T129" s="91">
        <f>SUM(P129,N129,L129,J129,H129,F129)</f>
        <v>221</v>
      </c>
      <c r="U129" s="91">
        <v>1</v>
      </c>
      <c r="V129" s="92">
        <v>92</v>
      </c>
      <c r="W129">
        <f t="shared" si="1"/>
        <v>280</v>
      </c>
    </row>
    <row r="130" spans="1:23" x14ac:dyDescent="0.3">
      <c r="A130" s="95">
        <v>5</v>
      </c>
      <c r="B130" s="95">
        <f>A130*3</f>
        <v>15</v>
      </c>
      <c r="C130" s="95">
        <v>49</v>
      </c>
      <c r="D130" s="95">
        <f>C130-B130</f>
        <v>34</v>
      </c>
      <c r="E130" s="95">
        <f>(CleanedDataset!$F149-CleanedDataset!$E149)/CleanedDataset!$F149</f>
        <v>0.58529411764705885</v>
      </c>
      <c r="F130" s="96">
        <v>68</v>
      </c>
      <c r="G130" s="96">
        <f>F130*C130-F130*B130</f>
        <v>2312</v>
      </c>
      <c r="H130" s="96">
        <v>55</v>
      </c>
      <c r="I130" s="96">
        <f>H130*C130-F130*B130</f>
        <v>1675</v>
      </c>
      <c r="J130" s="96">
        <v>20</v>
      </c>
      <c r="K130" s="96">
        <f>J130*C130-J130*B130</f>
        <v>680</v>
      </c>
      <c r="L130" s="96">
        <v>25</v>
      </c>
      <c r="M130" s="96">
        <f>L130*C130-L130*B130</f>
        <v>850</v>
      </c>
      <c r="N130" s="96">
        <v>30</v>
      </c>
      <c r="O130" s="96">
        <f>N130*C130-N130*B130</f>
        <v>1020</v>
      </c>
      <c r="P130" s="96">
        <v>44</v>
      </c>
      <c r="Q130" s="96">
        <f>P130*C130-P130*B130</f>
        <v>1496</v>
      </c>
      <c r="R130" s="96">
        <v>10</v>
      </c>
      <c r="S130" s="96">
        <f>R130*C130-R130*B130</f>
        <v>340</v>
      </c>
      <c r="T130" s="96">
        <f>SUM(P130,N130,L130,J130,H130,F130)</f>
        <v>242</v>
      </c>
      <c r="U130" s="96">
        <v>1</v>
      </c>
      <c r="V130" s="97">
        <v>93</v>
      </c>
      <c r="W130">
        <f t="shared" si="1"/>
        <v>340</v>
      </c>
    </row>
    <row r="131" spans="1:23" x14ac:dyDescent="0.3">
      <c r="A131" s="95">
        <v>6</v>
      </c>
      <c r="B131" s="95">
        <f>A131*2.8</f>
        <v>16.799999999999997</v>
      </c>
      <c r="C131" s="95">
        <v>60</v>
      </c>
      <c r="D131" s="95">
        <f>C131-B131</f>
        <v>43.2</v>
      </c>
      <c r="E131" s="95">
        <f>(CleanedDataset!$F11-CleanedDataset!$E11)/CleanedDataset!$F11</f>
        <v>0.7</v>
      </c>
      <c r="F131" s="96">
        <v>10</v>
      </c>
      <c r="G131" s="96">
        <f>F131*C131-F131*B131</f>
        <v>432</v>
      </c>
      <c r="H131" s="96">
        <v>10</v>
      </c>
      <c r="I131" s="96">
        <f>H131*C131-F131*B131</f>
        <v>432</v>
      </c>
      <c r="J131" s="96">
        <v>12</v>
      </c>
      <c r="K131" s="96">
        <f>J131*C131-J131*B131</f>
        <v>518.40000000000009</v>
      </c>
      <c r="L131" s="96">
        <v>13</v>
      </c>
      <c r="M131" s="96">
        <f>L131*C131-L131*B131</f>
        <v>561.6</v>
      </c>
      <c r="N131" s="96">
        <v>36</v>
      </c>
      <c r="O131" s="96">
        <f>N131*C131-N131*B131</f>
        <v>1555.2</v>
      </c>
      <c r="P131" s="96">
        <v>34</v>
      </c>
      <c r="Q131" s="96">
        <f>P131*C131-P131*B131</f>
        <v>1468.8000000000002</v>
      </c>
      <c r="R131" s="96">
        <v>0</v>
      </c>
      <c r="S131" s="96">
        <f>R131*C131-R131*B131</f>
        <v>0</v>
      </c>
      <c r="T131" s="96">
        <f>SUM(P131,N131,L131,J131,H131,F131)</f>
        <v>115</v>
      </c>
      <c r="U131" s="96">
        <v>1</v>
      </c>
      <c r="V131" s="97">
        <v>98</v>
      </c>
      <c r="W131">
        <f t="shared" ref="W131:W194" si="2">A131*F131</f>
        <v>60</v>
      </c>
    </row>
    <row r="132" spans="1:23" x14ac:dyDescent="0.3">
      <c r="A132" s="90">
        <v>10</v>
      </c>
      <c r="B132" s="90">
        <f>A132*2.8</f>
        <v>28</v>
      </c>
      <c r="C132" s="90">
        <v>130</v>
      </c>
      <c r="D132" s="90">
        <f>C132-B132</f>
        <v>102</v>
      </c>
      <c r="E132" s="90">
        <f>(CleanedDataset!$F26-CleanedDataset!$E26)/CleanedDataset!$F26</f>
        <v>0.47499999999999998</v>
      </c>
      <c r="F132" s="91">
        <v>38</v>
      </c>
      <c r="G132" s="91">
        <f>F132*C132-F132*B132</f>
        <v>3876</v>
      </c>
      <c r="H132" s="91">
        <v>16</v>
      </c>
      <c r="I132" s="91">
        <f>H132*C132-F132*B132</f>
        <v>1016</v>
      </c>
      <c r="J132" s="91">
        <v>36</v>
      </c>
      <c r="K132" s="91">
        <f>J132*C132-J132*B132</f>
        <v>3672</v>
      </c>
      <c r="L132" s="91">
        <v>79</v>
      </c>
      <c r="M132" s="91">
        <f>L132*C132-L132*B132</f>
        <v>8058</v>
      </c>
      <c r="N132" s="91">
        <v>23</v>
      </c>
      <c r="O132" s="91">
        <f>N132*C132-N132*B132</f>
        <v>2346</v>
      </c>
      <c r="P132" s="91">
        <v>78</v>
      </c>
      <c r="Q132" s="91">
        <f>P132*C132-P132*B132</f>
        <v>7956</v>
      </c>
      <c r="R132" s="91">
        <v>124</v>
      </c>
      <c r="S132" s="91">
        <f>R132*C132-R132*B132</f>
        <v>12648</v>
      </c>
      <c r="T132" s="91">
        <f>SUM(P132,N132,L132,J132,H132,F132)</f>
        <v>270</v>
      </c>
      <c r="U132" s="91">
        <v>1</v>
      </c>
      <c r="V132" s="92">
        <v>97</v>
      </c>
      <c r="W132">
        <f t="shared" si="2"/>
        <v>380</v>
      </c>
    </row>
    <row r="133" spans="1:23" x14ac:dyDescent="0.3">
      <c r="A133" s="90">
        <v>5.5</v>
      </c>
      <c r="B133" s="90">
        <f>A133*2.8</f>
        <v>15.399999999999999</v>
      </c>
      <c r="C133" s="90">
        <v>75</v>
      </c>
      <c r="D133" s="90">
        <f>C133-B133</f>
        <v>59.6</v>
      </c>
      <c r="E133" s="90">
        <f>(CleanedDataset!$F30-CleanedDataset!$E30)/CleanedDataset!$F30</f>
        <v>0.68888888888888888</v>
      </c>
      <c r="F133" s="91">
        <v>45</v>
      </c>
      <c r="G133" s="91">
        <f>F133*C133-F133*B133</f>
        <v>2682</v>
      </c>
      <c r="H133" s="91">
        <v>3</v>
      </c>
      <c r="I133" s="91">
        <f>H133*C133-F133*B133</f>
        <v>-467.99999999999989</v>
      </c>
      <c r="J133" s="91">
        <v>10</v>
      </c>
      <c r="K133" s="91">
        <f>J133*C133-J133*B133</f>
        <v>596</v>
      </c>
      <c r="L133" s="91">
        <v>21</v>
      </c>
      <c r="M133" s="91">
        <f>L133*C133-L133*B133</f>
        <v>1251.5999999999999</v>
      </c>
      <c r="N133" s="91">
        <v>1</v>
      </c>
      <c r="O133" s="91">
        <f>N133*C133-N133*B133</f>
        <v>59.6</v>
      </c>
      <c r="P133" s="91">
        <v>40</v>
      </c>
      <c r="Q133" s="91">
        <f>P133*C133-P133*B133</f>
        <v>2384</v>
      </c>
      <c r="R133" s="91">
        <v>41</v>
      </c>
      <c r="S133" s="91">
        <f>R133*C133-R133*B133</f>
        <v>2443.6</v>
      </c>
      <c r="T133" s="91">
        <f>SUM(P133,N133,L133,J133,H133,F133)</f>
        <v>120</v>
      </c>
      <c r="U133" s="91">
        <v>1</v>
      </c>
      <c r="V133" s="92">
        <v>91</v>
      </c>
      <c r="W133">
        <f t="shared" si="2"/>
        <v>247.5</v>
      </c>
    </row>
    <row r="134" spans="1:23" x14ac:dyDescent="0.3">
      <c r="A134" s="90">
        <v>3.5</v>
      </c>
      <c r="B134" s="90">
        <f>A134*2.8</f>
        <v>9.7999999999999989</v>
      </c>
      <c r="C134" s="90">
        <v>35</v>
      </c>
      <c r="D134" s="90">
        <f>C134-B134</f>
        <v>25.200000000000003</v>
      </c>
      <c r="E134" s="90">
        <f>(CleanedDataset!$F36-CleanedDataset!$E36)/CleanedDataset!$F36</f>
        <v>0.77272727272727271</v>
      </c>
      <c r="F134" s="91">
        <v>62</v>
      </c>
      <c r="G134" s="91">
        <f>F134*C134-F134*B134</f>
        <v>1562.4</v>
      </c>
      <c r="H134" s="91">
        <v>36</v>
      </c>
      <c r="I134" s="91">
        <f>H134*C134-F134*B134</f>
        <v>652.40000000000009</v>
      </c>
      <c r="J134" s="91">
        <v>46</v>
      </c>
      <c r="K134" s="91">
        <f>J134*C134-J134*B134</f>
        <v>1159.2</v>
      </c>
      <c r="L134" s="91">
        <v>34</v>
      </c>
      <c r="M134" s="91">
        <f>L134*C134-L134*B134</f>
        <v>856.8</v>
      </c>
      <c r="N134" s="91">
        <v>1</v>
      </c>
      <c r="O134" s="91">
        <f>N134*C134-N134*B134</f>
        <v>25.200000000000003</v>
      </c>
      <c r="P134" s="91">
        <v>1</v>
      </c>
      <c r="Q134" s="91">
        <f>P134*C134-P134*B134</f>
        <v>25.200000000000003</v>
      </c>
      <c r="R134" s="91">
        <v>4</v>
      </c>
      <c r="S134" s="91">
        <f>R134*C134-R134*B134</f>
        <v>100.80000000000001</v>
      </c>
      <c r="T134" s="91">
        <f>SUM(P134,N134,L134,J134,H134,F134)</f>
        <v>180</v>
      </c>
      <c r="U134" s="91">
        <v>1</v>
      </c>
      <c r="V134" s="92">
        <v>100</v>
      </c>
      <c r="W134">
        <f t="shared" si="2"/>
        <v>217</v>
      </c>
    </row>
    <row r="135" spans="1:23" x14ac:dyDescent="0.3">
      <c r="A135" s="95">
        <v>8</v>
      </c>
      <c r="B135" s="95">
        <f>A135*2.8</f>
        <v>22.4</v>
      </c>
      <c r="C135" s="95">
        <v>65</v>
      </c>
      <c r="D135" s="95">
        <f>C135-B135</f>
        <v>42.6</v>
      </c>
      <c r="E135" s="95">
        <f>(CleanedDataset!$F45-CleanedDataset!$E45)/CleanedDataset!$F45</f>
        <v>0.69387755102040816</v>
      </c>
      <c r="F135" s="96">
        <v>163</v>
      </c>
      <c r="G135" s="96">
        <f>F135*C135-F135*B135</f>
        <v>6943.8</v>
      </c>
      <c r="H135" s="96">
        <v>33</v>
      </c>
      <c r="I135" s="96">
        <f>H135*C135-F135*B135</f>
        <v>-1506.1999999999998</v>
      </c>
      <c r="J135" s="96">
        <v>68</v>
      </c>
      <c r="K135" s="96">
        <f>J135*C135-J135*B135</f>
        <v>2896.8</v>
      </c>
      <c r="L135" s="96">
        <v>32</v>
      </c>
      <c r="M135" s="96">
        <f>L135*C135-L135*B135</f>
        <v>1363.2</v>
      </c>
      <c r="N135" s="96">
        <v>138</v>
      </c>
      <c r="O135" s="96">
        <f>N135*C135-N135*B135</f>
        <v>5878.8</v>
      </c>
      <c r="P135" s="96">
        <v>386</v>
      </c>
      <c r="Q135" s="96">
        <f>P135*C135-P135*B135</f>
        <v>16443.599999999999</v>
      </c>
      <c r="R135" s="96">
        <v>233</v>
      </c>
      <c r="S135" s="96">
        <f>R135*C135-R135*B135</f>
        <v>9925.7999999999993</v>
      </c>
      <c r="T135" s="96">
        <f>SUM(P135,N135,L135,J135,H135,F135)</f>
        <v>820</v>
      </c>
      <c r="U135" s="96">
        <v>1</v>
      </c>
      <c r="V135" s="97">
        <v>91</v>
      </c>
      <c r="W135">
        <f t="shared" si="2"/>
        <v>1304</v>
      </c>
    </row>
    <row r="136" spans="1:23" x14ac:dyDescent="0.3">
      <c r="A136" s="95">
        <v>6</v>
      </c>
      <c r="B136" s="95">
        <f>A136*3</f>
        <v>18</v>
      </c>
      <c r="C136" s="95">
        <v>70</v>
      </c>
      <c r="D136" s="95">
        <f>C136-B136</f>
        <v>52</v>
      </c>
      <c r="E136" s="95">
        <f>(CleanedDataset!$F67-CleanedDataset!$E67)/CleanedDataset!$F67</f>
        <v>0.68499999999999994</v>
      </c>
      <c r="F136" s="96">
        <v>0</v>
      </c>
      <c r="G136" s="96">
        <f>F136*C136-F136*B136</f>
        <v>0</v>
      </c>
      <c r="H136" s="96">
        <v>3</v>
      </c>
      <c r="I136" s="96">
        <f>H136*C136-F136*B136</f>
        <v>210</v>
      </c>
      <c r="J136" s="96">
        <v>0</v>
      </c>
      <c r="K136" s="96">
        <f>J136*C136-J136*B136</f>
        <v>0</v>
      </c>
      <c r="L136" s="96">
        <v>0</v>
      </c>
      <c r="M136" s="96">
        <f>L136*C136-L136*B136</f>
        <v>0</v>
      </c>
      <c r="N136" s="96">
        <v>0</v>
      </c>
      <c r="O136" s="96">
        <f>N136*C136-N136*B136</f>
        <v>0</v>
      </c>
      <c r="P136" s="96">
        <v>0</v>
      </c>
      <c r="Q136" s="96">
        <f>P136*C136-P136*B136</f>
        <v>0</v>
      </c>
      <c r="R136" s="96">
        <v>0</v>
      </c>
      <c r="S136" s="96">
        <f>R136*C136-R136*B136</f>
        <v>0</v>
      </c>
      <c r="T136" s="96">
        <f>SUM(P136,N136,L136,J136,H136,F136)</f>
        <v>3</v>
      </c>
      <c r="U136" s="96">
        <v>1</v>
      </c>
      <c r="V136" s="97">
        <v>90</v>
      </c>
      <c r="W136">
        <f t="shared" si="2"/>
        <v>0</v>
      </c>
    </row>
    <row r="137" spans="1:23" x14ac:dyDescent="0.3">
      <c r="A137" s="95">
        <v>3.5</v>
      </c>
      <c r="B137" s="95">
        <f>A137*3</f>
        <v>10.5</v>
      </c>
      <c r="C137" s="95">
        <v>50</v>
      </c>
      <c r="D137" s="95">
        <f>C137-B137</f>
        <v>39.5</v>
      </c>
      <c r="E137" s="95">
        <f>(CleanedDataset!$F85-CleanedDataset!$E85)/CleanedDataset!$F85</f>
        <v>0.29411764705882354</v>
      </c>
      <c r="F137" s="96">
        <v>3</v>
      </c>
      <c r="G137" s="96">
        <f>F137*C137-F137*B137</f>
        <v>118.5</v>
      </c>
      <c r="H137" s="96">
        <v>0</v>
      </c>
      <c r="I137" s="96">
        <f>H137*C137-F137*B137</f>
        <v>-31.5</v>
      </c>
      <c r="J137" s="96">
        <v>0</v>
      </c>
      <c r="K137" s="96">
        <f>J137*C137-J137*B137</f>
        <v>0</v>
      </c>
      <c r="L137" s="96">
        <v>0</v>
      </c>
      <c r="M137" s="96">
        <f>L137*C137-L137*B137</f>
        <v>0</v>
      </c>
      <c r="N137" s="96">
        <v>0</v>
      </c>
      <c r="O137" s="96">
        <f>N137*C137-N137*B137</f>
        <v>0</v>
      </c>
      <c r="P137" s="96">
        <v>0</v>
      </c>
      <c r="Q137" s="96">
        <f>P137*C137-P137*B137</f>
        <v>0</v>
      </c>
      <c r="R137" s="96">
        <v>0</v>
      </c>
      <c r="S137" s="96">
        <f>R137*C137-R137*B137</f>
        <v>0</v>
      </c>
      <c r="T137" s="96">
        <f>SUM(P137,N137,L137,J137,H137,F137)</f>
        <v>3</v>
      </c>
      <c r="U137" s="96">
        <v>1</v>
      </c>
      <c r="V137" s="97">
        <v>93</v>
      </c>
      <c r="W137">
        <f t="shared" si="2"/>
        <v>10.5</v>
      </c>
    </row>
    <row r="138" spans="1:23" x14ac:dyDescent="0.3">
      <c r="A138" s="90">
        <v>3.5</v>
      </c>
      <c r="B138" s="90">
        <f>A138*3.2</f>
        <v>11.200000000000001</v>
      </c>
      <c r="C138" s="90">
        <v>65</v>
      </c>
      <c r="D138" s="90">
        <f>C138-B138</f>
        <v>53.8</v>
      </c>
      <c r="E138" s="90">
        <f>(CleanedDataset!$F118-CleanedDataset!$E118)/CleanedDataset!$F118</f>
        <v>0.57333333333333336</v>
      </c>
      <c r="F138" s="91">
        <v>35</v>
      </c>
      <c r="G138" s="91">
        <f>F138*C138-F138*B138</f>
        <v>1883</v>
      </c>
      <c r="H138" s="91">
        <v>0</v>
      </c>
      <c r="I138" s="91">
        <f>H138*C138-F138*B138</f>
        <v>-392.00000000000006</v>
      </c>
      <c r="J138" s="91">
        <v>0</v>
      </c>
      <c r="K138" s="91">
        <f>J138*C138-J138*B138</f>
        <v>0</v>
      </c>
      <c r="L138" s="91">
        <v>0</v>
      </c>
      <c r="M138" s="91">
        <f>L138*C138-L138*B138</f>
        <v>0</v>
      </c>
      <c r="N138" s="91">
        <v>0</v>
      </c>
      <c r="O138" s="91">
        <f>N138*C138-N138*B138</f>
        <v>0</v>
      </c>
      <c r="P138" s="91">
        <v>0</v>
      </c>
      <c r="Q138" s="91">
        <f>P138*C138-P138*B138</f>
        <v>0</v>
      </c>
      <c r="R138" s="91">
        <v>0</v>
      </c>
      <c r="S138" s="91">
        <f>R138*C138-R138*B138</f>
        <v>0</v>
      </c>
      <c r="T138" s="91">
        <f>SUM(P138,N138,L138,J138,H138,F138)</f>
        <v>35</v>
      </c>
      <c r="U138" s="91">
        <v>1</v>
      </c>
      <c r="V138" s="92">
        <v>96</v>
      </c>
      <c r="W138">
        <f t="shared" si="2"/>
        <v>122.5</v>
      </c>
    </row>
    <row r="139" spans="1:23" x14ac:dyDescent="0.3">
      <c r="A139" s="95">
        <v>5.5</v>
      </c>
      <c r="B139" s="95">
        <f>A139*3.2</f>
        <v>17.600000000000001</v>
      </c>
      <c r="C139" s="95">
        <v>95</v>
      </c>
      <c r="D139" s="95">
        <f>C139-B139</f>
        <v>77.400000000000006</v>
      </c>
      <c r="E139" s="95">
        <f>(CleanedDataset!$F119-CleanedDataset!$E119)/CleanedDataset!$F119</f>
        <v>0.52</v>
      </c>
      <c r="F139" s="96">
        <v>35</v>
      </c>
      <c r="G139" s="96">
        <f>F139*C139-F139*B139</f>
        <v>2709</v>
      </c>
      <c r="H139" s="96">
        <v>0</v>
      </c>
      <c r="I139" s="96">
        <f>H139*C139-F139*B139</f>
        <v>-616</v>
      </c>
      <c r="J139" s="96">
        <v>0</v>
      </c>
      <c r="K139" s="96">
        <f>J139*C139-J139*B139</f>
        <v>0</v>
      </c>
      <c r="L139" s="96">
        <v>0</v>
      </c>
      <c r="M139" s="96">
        <f>L139*C139-L139*B139</f>
        <v>0</v>
      </c>
      <c r="N139" s="96">
        <v>0</v>
      </c>
      <c r="O139" s="96">
        <f>N139*C139-N139*B139</f>
        <v>0</v>
      </c>
      <c r="P139" s="96">
        <v>0</v>
      </c>
      <c r="Q139" s="96">
        <f>P139*C139-P139*B139</f>
        <v>0</v>
      </c>
      <c r="R139" s="96">
        <v>0</v>
      </c>
      <c r="S139" s="96">
        <f>R139*C139-R139*B139</f>
        <v>0</v>
      </c>
      <c r="T139" s="96">
        <f>SUM(P139,N139,L139,J139,H139,F139)</f>
        <v>35</v>
      </c>
      <c r="U139" s="96">
        <v>1</v>
      </c>
      <c r="V139" s="97">
        <v>96</v>
      </c>
      <c r="W139">
        <f t="shared" si="2"/>
        <v>192.5</v>
      </c>
    </row>
    <row r="140" spans="1:23" x14ac:dyDescent="0.3">
      <c r="A140" s="90">
        <v>8</v>
      </c>
      <c r="B140" s="90">
        <f>A140*3.2</f>
        <v>25.6</v>
      </c>
      <c r="C140" s="90">
        <v>80</v>
      </c>
      <c r="D140" s="90">
        <f>C140-B140</f>
        <v>54.4</v>
      </c>
      <c r="E140" s="90">
        <f>(CleanedDataset!$F120-CleanedDataset!$E120)/CleanedDataset!$F120</f>
        <v>0.52</v>
      </c>
      <c r="F140" s="91">
        <v>35</v>
      </c>
      <c r="G140" s="91">
        <f>F140*C140-F140*B140</f>
        <v>1904</v>
      </c>
      <c r="H140" s="91">
        <v>23</v>
      </c>
      <c r="I140" s="91">
        <f>H140*C140-F140*B140</f>
        <v>944</v>
      </c>
      <c r="J140" s="91">
        <v>0</v>
      </c>
      <c r="K140" s="91">
        <f>J140*C140-J140*B140</f>
        <v>0</v>
      </c>
      <c r="L140" s="91">
        <v>0</v>
      </c>
      <c r="M140" s="91">
        <f>L140*C140-L140*B140</f>
        <v>0</v>
      </c>
      <c r="N140" s="91">
        <v>0</v>
      </c>
      <c r="O140" s="91">
        <f>N140*C140-N140*B140</f>
        <v>0</v>
      </c>
      <c r="P140" s="91">
        <v>0</v>
      </c>
      <c r="Q140" s="91">
        <f>P140*C140-P140*B140</f>
        <v>0</v>
      </c>
      <c r="R140" s="91">
        <v>0</v>
      </c>
      <c r="S140" s="91">
        <f>R140*C140-R140*B140</f>
        <v>0</v>
      </c>
      <c r="T140" s="91">
        <f>SUM(P140,N140,L140,J140,H140,F140)</f>
        <v>58</v>
      </c>
      <c r="U140" s="91">
        <v>1</v>
      </c>
      <c r="V140" s="92">
        <v>93</v>
      </c>
      <c r="W140">
        <f t="shared" si="2"/>
        <v>280</v>
      </c>
    </row>
    <row r="141" spans="1:23" x14ac:dyDescent="0.3">
      <c r="A141" s="90">
        <v>10</v>
      </c>
      <c r="B141" s="90">
        <f>A141*3.2</f>
        <v>32</v>
      </c>
      <c r="C141" s="90">
        <v>160</v>
      </c>
      <c r="D141" s="90">
        <f>C141-B141</f>
        <v>128</v>
      </c>
      <c r="E141" s="90">
        <f>(CleanedDataset!$F124-CleanedDataset!$E124)/CleanedDataset!$F124</f>
        <v>0.624</v>
      </c>
      <c r="F141" s="91">
        <v>55</v>
      </c>
      <c r="G141" s="91">
        <f>F141*C141-F141*B141</f>
        <v>7040</v>
      </c>
      <c r="H141" s="91">
        <v>0</v>
      </c>
      <c r="I141" s="91">
        <f>H141*C141-F141*B141</f>
        <v>-1760</v>
      </c>
      <c r="J141" s="91">
        <v>0</v>
      </c>
      <c r="K141" s="91">
        <f>J141*C141-J141*B141</f>
        <v>0</v>
      </c>
      <c r="L141" s="91">
        <v>0</v>
      </c>
      <c r="M141" s="91">
        <f>L141*C141-L141*B141</f>
        <v>0</v>
      </c>
      <c r="N141" s="91">
        <v>0</v>
      </c>
      <c r="O141" s="91">
        <f>N141*C141-N141*B141</f>
        <v>0</v>
      </c>
      <c r="P141" s="91">
        <v>0</v>
      </c>
      <c r="Q141" s="91">
        <f>P141*C141-P141*B141</f>
        <v>0</v>
      </c>
      <c r="R141" s="91">
        <v>0</v>
      </c>
      <c r="S141" s="91">
        <f>R141*C141-R141*B141</f>
        <v>0</v>
      </c>
      <c r="T141" s="91">
        <f>SUM(P141,N141,L141,J141,H141,F141)</f>
        <v>55</v>
      </c>
      <c r="U141" s="91">
        <v>1</v>
      </c>
      <c r="V141" s="92">
        <v>99</v>
      </c>
      <c r="W141">
        <f t="shared" si="2"/>
        <v>550</v>
      </c>
    </row>
    <row r="142" spans="1:23" x14ac:dyDescent="0.3">
      <c r="A142" s="95">
        <v>6</v>
      </c>
      <c r="B142" s="95">
        <f>A142*3</f>
        <v>18</v>
      </c>
      <c r="C142" s="95">
        <v>70</v>
      </c>
      <c r="D142" s="95">
        <f>C142-B142</f>
        <v>52</v>
      </c>
      <c r="E142" s="95">
        <f>(CleanedDataset!$F137-CleanedDataset!$E137)/CleanedDataset!$F137</f>
        <v>0.55200000000000005</v>
      </c>
      <c r="F142" s="96">
        <v>3</v>
      </c>
      <c r="G142" s="96">
        <f>F142*C142-F142*B142</f>
        <v>156</v>
      </c>
      <c r="H142" s="96">
        <v>0</v>
      </c>
      <c r="I142" s="96">
        <f>H142*C142-F142*B142</f>
        <v>-54</v>
      </c>
      <c r="J142" s="96">
        <v>0</v>
      </c>
      <c r="K142" s="96">
        <f>J142*C142-J142*B142</f>
        <v>0</v>
      </c>
      <c r="L142" s="96">
        <v>0</v>
      </c>
      <c r="M142" s="96">
        <f>L142*C142-L142*B142</f>
        <v>0</v>
      </c>
      <c r="N142" s="96">
        <v>0</v>
      </c>
      <c r="O142" s="96">
        <f>N142*C142-N142*B142</f>
        <v>0</v>
      </c>
      <c r="P142" s="96">
        <v>0</v>
      </c>
      <c r="Q142" s="96">
        <f>P142*C142-P142*B142</f>
        <v>0</v>
      </c>
      <c r="R142" s="96">
        <v>0</v>
      </c>
      <c r="S142" s="96">
        <f>R142*C142-R142*B142</f>
        <v>0</v>
      </c>
      <c r="T142" s="96">
        <f>SUM(P142,N142,L142,J142,H142,F142)</f>
        <v>3</v>
      </c>
      <c r="U142" s="96">
        <v>1</v>
      </c>
      <c r="V142" s="97">
        <v>94</v>
      </c>
      <c r="W142">
        <f t="shared" si="2"/>
        <v>18</v>
      </c>
    </row>
    <row r="143" spans="1:23" x14ac:dyDescent="0.3">
      <c r="A143" s="95">
        <v>3.5</v>
      </c>
      <c r="B143" s="95">
        <f>A143*3</f>
        <v>10.5</v>
      </c>
      <c r="C143" s="95">
        <v>50</v>
      </c>
      <c r="D143" s="95">
        <f>C143-B143</f>
        <v>39.5</v>
      </c>
      <c r="E143" s="95">
        <f>(CleanedDataset!$F139-CleanedDataset!$E139)/CleanedDataset!$F139</f>
        <v>0.55200000000000005</v>
      </c>
      <c r="F143" s="96">
        <v>5</v>
      </c>
      <c r="G143" s="96">
        <f>F143*C143-F143*B143</f>
        <v>197.5</v>
      </c>
      <c r="H143" s="96">
        <v>0</v>
      </c>
      <c r="I143" s="96">
        <f>H143*C143-F143*B143</f>
        <v>-52.5</v>
      </c>
      <c r="J143" s="96">
        <v>0</v>
      </c>
      <c r="K143" s="96">
        <f>J143*C143-J143*B143</f>
        <v>0</v>
      </c>
      <c r="L143" s="96">
        <v>0</v>
      </c>
      <c r="M143" s="96">
        <f>L143*C143-L143*B143</f>
        <v>0</v>
      </c>
      <c r="N143" s="96">
        <v>0</v>
      </c>
      <c r="O143" s="96">
        <f>N143*C143-N143*B143</f>
        <v>0</v>
      </c>
      <c r="P143" s="96">
        <v>0</v>
      </c>
      <c r="Q143" s="96">
        <f>P143*C143-P143*B143</f>
        <v>0</v>
      </c>
      <c r="R143" s="96">
        <v>0</v>
      </c>
      <c r="S143" s="96">
        <f>R143*C143-R143*B143</f>
        <v>0</v>
      </c>
      <c r="T143" s="96">
        <f>SUM(P143,N143,L143,J143,H143,F143)</f>
        <v>5</v>
      </c>
      <c r="U143" s="96">
        <v>1</v>
      </c>
      <c r="V143" s="97">
        <v>92</v>
      </c>
      <c r="W143">
        <f t="shared" si="2"/>
        <v>17.5</v>
      </c>
    </row>
    <row r="144" spans="1:23" x14ac:dyDescent="0.3">
      <c r="A144" s="95">
        <v>10</v>
      </c>
      <c r="B144" s="95">
        <f>A144*3</f>
        <v>30</v>
      </c>
      <c r="C144" s="95">
        <v>145</v>
      </c>
      <c r="D144" s="95">
        <f>C144-B144</f>
        <v>115</v>
      </c>
      <c r="E144" s="95">
        <f>(CleanedDataset!$F147-CleanedDataset!$E147)/CleanedDataset!$F147</f>
        <v>0.59351351351351345</v>
      </c>
      <c r="F144" s="96">
        <v>45</v>
      </c>
      <c r="G144" s="96">
        <f>F144*C144-F144*B144</f>
        <v>5175</v>
      </c>
      <c r="H144" s="96">
        <v>35</v>
      </c>
      <c r="I144" s="96">
        <f>H144*C144-F144*B144</f>
        <v>3725</v>
      </c>
      <c r="J144" s="96">
        <v>30</v>
      </c>
      <c r="K144" s="96">
        <f>J144*C144-J144*B144</f>
        <v>3450</v>
      </c>
      <c r="L144" s="96">
        <v>20</v>
      </c>
      <c r="M144" s="96">
        <f>L144*C144-L144*B144</f>
        <v>2300</v>
      </c>
      <c r="N144" s="96">
        <v>15</v>
      </c>
      <c r="O144" s="96">
        <f>N144*C144-N144*B144</f>
        <v>1725</v>
      </c>
      <c r="P144" s="96">
        <v>50</v>
      </c>
      <c r="Q144" s="96">
        <f>P144*C144-P144*B144</f>
        <v>5750</v>
      </c>
      <c r="R144" s="96">
        <v>45</v>
      </c>
      <c r="S144" s="96">
        <f>R144*C144-R144*B144</f>
        <v>5175</v>
      </c>
      <c r="T144" s="96">
        <f>SUM(P144,N144,L144,J144,H144,F144)</f>
        <v>195</v>
      </c>
      <c r="U144" s="96">
        <v>1</v>
      </c>
      <c r="V144" s="97">
        <v>100</v>
      </c>
      <c r="W144">
        <f t="shared" si="2"/>
        <v>450</v>
      </c>
    </row>
    <row r="145" spans="1:23" x14ac:dyDescent="0.3">
      <c r="A145" s="90">
        <v>8</v>
      </c>
      <c r="B145" s="90">
        <f>A145*3</f>
        <v>24</v>
      </c>
      <c r="C145" s="90">
        <v>80</v>
      </c>
      <c r="D145" s="90">
        <f>C145-B145</f>
        <v>56</v>
      </c>
      <c r="E145" s="90">
        <f>(CleanedDataset!$F154-CleanedDataset!$E154)/CleanedDataset!$F154</f>
        <v>0.65777777777777779</v>
      </c>
      <c r="F145" s="91">
        <v>189</v>
      </c>
      <c r="G145" s="91">
        <f>F145*C145-F145*B145</f>
        <v>10584</v>
      </c>
      <c r="H145" s="91">
        <v>144</v>
      </c>
      <c r="I145" s="91">
        <f>H145*C145-F145*B145</f>
        <v>6984</v>
      </c>
      <c r="J145" s="91">
        <v>64</v>
      </c>
      <c r="K145" s="91">
        <f>J145*C145-J145*B145</f>
        <v>3584</v>
      </c>
      <c r="L145" s="91">
        <v>0</v>
      </c>
      <c r="M145" s="91">
        <f>L145*C145-L145*B145</f>
        <v>0</v>
      </c>
      <c r="N145" s="91">
        <v>87</v>
      </c>
      <c r="O145" s="91">
        <f>N145*C145-N145*B145</f>
        <v>4872</v>
      </c>
      <c r="P145" s="91">
        <v>153</v>
      </c>
      <c r="Q145" s="91">
        <f>P145*C145-P145*B145</f>
        <v>8568</v>
      </c>
      <c r="R145" s="91">
        <v>145</v>
      </c>
      <c r="S145" s="91">
        <f>R145*C145-R145*B145</f>
        <v>8120</v>
      </c>
      <c r="T145" s="91">
        <f>SUM(P145,N145,L145,J145,H145,F145)</f>
        <v>637</v>
      </c>
      <c r="U145" s="91">
        <v>1</v>
      </c>
      <c r="V145" s="92">
        <v>98</v>
      </c>
      <c r="W145">
        <f t="shared" si="2"/>
        <v>1512</v>
      </c>
    </row>
    <row r="146" spans="1:23" x14ac:dyDescent="0.3">
      <c r="A146" s="95">
        <v>5.5</v>
      </c>
      <c r="B146" s="95">
        <f>A146*3</f>
        <v>16.5</v>
      </c>
      <c r="C146" s="95">
        <v>80</v>
      </c>
      <c r="D146" s="95">
        <f>C146-B146</f>
        <v>63.5</v>
      </c>
      <c r="E146" s="95">
        <f>(CleanedDataset!$F155-CleanedDataset!$E155)/CleanedDataset!$F155</f>
        <v>0.75111111111111106</v>
      </c>
      <c r="F146" s="96">
        <v>200</v>
      </c>
      <c r="G146" s="96">
        <f>F146*C146-F146*B146</f>
        <v>12700</v>
      </c>
      <c r="H146" s="96">
        <v>45</v>
      </c>
      <c r="I146" s="96">
        <f>H146*C146-F146*B146</f>
        <v>300</v>
      </c>
      <c r="J146" s="96">
        <v>5</v>
      </c>
      <c r="K146" s="96">
        <f>J146*C146-J146*B146</f>
        <v>317.5</v>
      </c>
      <c r="L146" s="96">
        <v>0</v>
      </c>
      <c r="M146" s="96">
        <f>L146*C146-L146*B146</f>
        <v>0</v>
      </c>
      <c r="N146" s="96">
        <v>0</v>
      </c>
      <c r="O146" s="96">
        <f>N146*C146-N146*B146</f>
        <v>0</v>
      </c>
      <c r="P146" s="96">
        <v>0</v>
      </c>
      <c r="Q146" s="96">
        <f>P146*C146-P146*B146</f>
        <v>0</v>
      </c>
      <c r="R146" s="96">
        <v>0</v>
      </c>
      <c r="S146" s="96">
        <f>R146*C146-R146*B146</f>
        <v>0</v>
      </c>
      <c r="T146" s="96">
        <f>SUM(P146,N146,L146,J146,H146,F146)</f>
        <v>250</v>
      </c>
      <c r="U146" s="96">
        <v>1</v>
      </c>
      <c r="V146" s="97">
        <v>92</v>
      </c>
      <c r="W146">
        <f t="shared" si="2"/>
        <v>1100</v>
      </c>
    </row>
    <row r="147" spans="1:23" x14ac:dyDescent="0.3">
      <c r="A147" s="99">
        <v>14</v>
      </c>
      <c r="B147" s="95">
        <f>A147*2.8</f>
        <v>39.199999999999996</v>
      </c>
      <c r="C147" s="95">
        <v>30</v>
      </c>
      <c r="D147" s="95">
        <f>C147-B147</f>
        <v>-9.1999999999999957</v>
      </c>
      <c r="E147" s="95">
        <f>(CleanedDataset!$F5-CleanedDataset!$E5)/CleanedDataset!$F5</f>
        <v>0.6785714285714286</v>
      </c>
      <c r="F147" s="96">
        <v>0</v>
      </c>
      <c r="G147" s="96">
        <f>F147*C147-F147*B147</f>
        <v>0</v>
      </c>
      <c r="H147" s="96">
        <v>0</v>
      </c>
      <c r="I147" s="96">
        <f>H147*C147-F147*B147</f>
        <v>0</v>
      </c>
      <c r="J147" s="96">
        <v>0</v>
      </c>
      <c r="K147" s="96">
        <f>J147*C147-J147*B147</f>
        <v>0</v>
      </c>
      <c r="L147" s="96">
        <v>0</v>
      </c>
      <c r="M147" s="96">
        <f>L147*C147-L147*B147</f>
        <v>0</v>
      </c>
      <c r="N147" s="96">
        <v>0</v>
      </c>
      <c r="O147" s="96">
        <f>N147*C147-N147*B147</f>
        <v>0</v>
      </c>
      <c r="P147" s="96">
        <v>0</v>
      </c>
      <c r="Q147" s="96">
        <f>P147*C147-P147*B147</f>
        <v>0</v>
      </c>
      <c r="R147" s="96">
        <v>0</v>
      </c>
      <c r="S147" s="96">
        <f>R147*C147-R147*B147</f>
        <v>0</v>
      </c>
      <c r="T147" s="96">
        <f>SUM(P147,N147,L147,J147,H147,F147)</f>
        <v>0</v>
      </c>
      <c r="U147" s="96">
        <v>0</v>
      </c>
      <c r="V147" s="97">
        <v>93</v>
      </c>
      <c r="W147">
        <f t="shared" si="2"/>
        <v>0</v>
      </c>
    </row>
    <row r="148" spans="1:23" x14ac:dyDescent="0.3">
      <c r="A148" s="101">
        <v>17</v>
      </c>
      <c r="B148" s="90">
        <f>A148*2.8</f>
        <v>47.599999999999994</v>
      </c>
      <c r="C148" s="90">
        <v>38</v>
      </c>
      <c r="D148" s="90">
        <f>C148-B148</f>
        <v>-9.5999999999999943</v>
      </c>
      <c r="E148" s="90">
        <f>(CleanedDataset!$F6-CleanedDataset!$E6)/CleanedDataset!$F6</f>
        <v>0.6785714285714286</v>
      </c>
      <c r="F148" s="91">
        <v>0</v>
      </c>
      <c r="G148" s="91">
        <f>F148*C148-F148*B148</f>
        <v>0</v>
      </c>
      <c r="H148" s="91">
        <v>0</v>
      </c>
      <c r="I148" s="91">
        <f>H148*C148-F148*B148</f>
        <v>0</v>
      </c>
      <c r="J148" s="91">
        <v>0</v>
      </c>
      <c r="K148" s="91">
        <f>J148*C148-J148*B148</f>
        <v>0</v>
      </c>
      <c r="L148" s="91">
        <v>0</v>
      </c>
      <c r="M148" s="91">
        <f>L148*C148-L148*B148</f>
        <v>0</v>
      </c>
      <c r="N148" s="91">
        <v>0</v>
      </c>
      <c r="O148" s="91">
        <f>N148*C148-N148*B148</f>
        <v>0</v>
      </c>
      <c r="P148" s="91">
        <v>0</v>
      </c>
      <c r="Q148" s="91">
        <f>P148*C148-P148*B148</f>
        <v>0</v>
      </c>
      <c r="R148" s="91">
        <v>0</v>
      </c>
      <c r="S148" s="91">
        <f>R148*C148-R148*B148</f>
        <v>0</v>
      </c>
      <c r="T148" s="91">
        <f>SUM(P148,N148,L148,J148,H148,F148)</f>
        <v>0</v>
      </c>
      <c r="U148" s="91">
        <v>0</v>
      </c>
      <c r="V148" s="92">
        <v>99</v>
      </c>
      <c r="W148">
        <f t="shared" si="2"/>
        <v>0</v>
      </c>
    </row>
    <row r="149" spans="1:23" x14ac:dyDescent="0.3">
      <c r="A149" s="101">
        <v>17</v>
      </c>
      <c r="B149" s="90">
        <f>A149*3.2</f>
        <v>54.400000000000006</v>
      </c>
      <c r="C149" s="90">
        <v>45</v>
      </c>
      <c r="D149" s="90">
        <f>C149-B149</f>
        <v>-9.4000000000000057</v>
      </c>
      <c r="E149" s="90">
        <f>(CleanedDataset!$F92-CleanedDataset!$E92)/CleanedDataset!$F92</f>
        <v>0.41558441558441561</v>
      </c>
      <c r="F149" s="91">
        <v>0</v>
      </c>
      <c r="G149" s="91">
        <f>F149*C149-F149*B149</f>
        <v>0</v>
      </c>
      <c r="H149" s="91">
        <v>0</v>
      </c>
      <c r="I149" s="91">
        <f>H149*C149-F149*B149</f>
        <v>0</v>
      </c>
      <c r="J149" s="91">
        <v>0</v>
      </c>
      <c r="K149" s="91">
        <f>J149*C149-J149*B149</f>
        <v>0</v>
      </c>
      <c r="L149" s="91">
        <v>0</v>
      </c>
      <c r="M149" s="91">
        <f>L149*C149-L149*B149</f>
        <v>0</v>
      </c>
      <c r="N149" s="91">
        <v>0</v>
      </c>
      <c r="O149" s="91">
        <f>N149*C149-N149*B149</f>
        <v>0</v>
      </c>
      <c r="P149" s="91">
        <v>0</v>
      </c>
      <c r="Q149" s="91">
        <f>P149*C149-P149*B149</f>
        <v>0</v>
      </c>
      <c r="R149" s="91">
        <v>0</v>
      </c>
      <c r="S149" s="91">
        <f>R149*C149-R149*B149</f>
        <v>0</v>
      </c>
      <c r="T149" s="91">
        <f>SUM(P149,N149,L149,J149,H149,F149)</f>
        <v>0</v>
      </c>
      <c r="U149" s="91">
        <v>0</v>
      </c>
      <c r="V149" s="92">
        <v>97</v>
      </c>
      <c r="W149">
        <f t="shared" si="2"/>
        <v>0</v>
      </c>
    </row>
    <row r="150" spans="1:23" x14ac:dyDescent="0.3">
      <c r="A150" s="99">
        <v>20</v>
      </c>
      <c r="B150" s="95">
        <f>A150*3</f>
        <v>60</v>
      </c>
      <c r="C150" s="95">
        <v>60</v>
      </c>
      <c r="D150" s="95">
        <f>C150-B150</f>
        <v>0</v>
      </c>
      <c r="E150" s="95">
        <f>(CleanedDataset!$F177-CleanedDataset!$E177)/CleanedDataset!$F177</f>
        <v>0.7</v>
      </c>
      <c r="F150" s="96">
        <v>55</v>
      </c>
      <c r="G150" s="96">
        <f>F150*C150-F150*B150</f>
        <v>0</v>
      </c>
      <c r="H150" s="96">
        <v>35</v>
      </c>
      <c r="I150" s="96">
        <f>H150*C150-F150*B150</f>
        <v>-1200</v>
      </c>
      <c r="J150" s="96">
        <v>7</v>
      </c>
      <c r="K150" s="96">
        <f>J150*C150-J150*B150</f>
        <v>0</v>
      </c>
      <c r="L150" s="96">
        <v>0</v>
      </c>
      <c r="M150" s="96">
        <f>L150*C150-L150*B150</f>
        <v>0</v>
      </c>
      <c r="N150" s="96">
        <v>0</v>
      </c>
      <c r="O150" s="96">
        <f>N150*C150-N150*B150</f>
        <v>0</v>
      </c>
      <c r="P150" s="96">
        <v>0</v>
      </c>
      <c r="Q150" s="96">
        <f>P150*C150-P150*B150</f>
        <v>0</v>
      </c>
      <c r="R150" s="96">
        <v>0</v>
      </c>
      <c r="S150" s="96">
        <f>R150*C150-R150*B150</f>
        <v>0</v>
      </c>
      <c r="T150" s="96">
        <f>SUM(P150,N150,L150,J150,H150,F150)</f>
        <v>97</v>
      </c>
      <c r="U150" s="96">
        <v>0</v>
      </c>
      <c r="V150" s="97">
        <v>100</v>
      </c>
      <c r="W150">
        <f t="shared" si="2"/>
        <v>1100</v>
      </c>
    </row>
    <row r="151" spans="1:23" x14ac:dyDescent="0.3">
      <c r="A151" s="101">
        <v>17</v>
      </c>
      <c r="B151" s="90">
        <f>A151*3</f>
        <v>51</v>
      </c>
      <c r="C151" s="90">
        <v>40</v>
      </c>
      <c r="D151" s="90">
        <f>C151-B151</f>
        <v>-11</v>
      </c>
      <c r="E151" s="90">
        <f>(CleanedDataset!$F178-CleanedDataset!$E178)/CleanedDataset!$F178</f>
        <v>0.6080000000000001</v>
      </c>
      <c r="F151" s="91">
        <v>60</v>
      </c>
      <c r="G151" s="91">
        <f>F151*C151-F151*B151</f>
        <v>-660</v>
      </c>
      <c r="H151" s="91">
        <v>5</v>
      </c>
      <c r="I151" s="91">
        <f>H151*C151-F151*B151</f>
        <v>-2860</v>
      </c>
      <c r="J151" s="91">
        <v>1</v>
      </c>
      <c r="K151" s="91">
        <f>J151*C151-J151*B151</f>
        <v>-11</v>
      </c>
      <c r="L151" s="91">
        <v>0</v>
      </c>
      <c r="M151" s="91">
        <f>L151*C151-L151*B151</f>
        <v>0</v>
      </c>
      <c r="N151" s="91">
        <v>0</v>
      </c>
      <c r="O151" s="91">
        <f>N151*C151-N151*B151</f>
        <v>0</v>
      </c>
      <c r="P151" s="91">
        <v>0</v>
      </c>
      <c r="Q151" s="91">
        <f>P151*C151-P151*B151</f>
        <v>0</v>
      </c>
      <c r="R151" s="91">
        <v>0</v>
      </c>
      <c r="S151" s="91">
        <f>R151*C151-R151*B151</f>
        <v>0</v>
      </c>
      <c r="T151" s="91">
        <f>SUM(P151,N151,L151,J151,H151,F151)</f>
        <v>66</v>
      </c>
      <c r="U151" s="91">
        <v>0</v>
      </c>
      <c r="V151" s="92">
        <v>99</v>
      </c>
      <c r="W151">
        <f t="shared" si="2"/>
        <v>1020</v>
      </c>
    </row>
    <row r="152" spans="1:23" x14ac:dyDescent="0.3">
      <c r="A152" s="101">
        <v>14</v>
      </c>
      <c r="B152" s="90">
        <f>A152*3</f>
        <v>42</v>
      </c>
      <c r="C152" s="90">
        <v>35</v>
      </c>
      <c r="D152" s="90">
        <f>C152-B152</f>
        <v>-7</v>
      </c>
      <c r="E152" s="90">
        <f>(CleanedDataset!$F188-CleanedDataset!$E188)/CleanedDataset!$F188</f>
        <v>0.72000000000000008</v>
      </c>
      <c r="F152" s="91">
        <v>134</v>
      </c>
      <c r="G152" s="91">
        <f>F152*C152-F152*B152</f>
        <v>-938</v>
      </c>
      <c r="H152" s="91">
        <v>1</v>
      </c>
      <c r="I152" s="91">
        <f>H152*C152-F152*B152</f>
        <v>-5593</v>
      </c>
      <c r="J152" s="91">
        <v>0</v>
      </c>
      <c r="K152" s="91">
        <f>J152*C152-J152*B152</f>
        <v>0</v>
      </c>
      <c r="L152" s="91">
        <v>0</v>
      </c>
      <c r="M152" s="91">
        <f>L152*C152-L152*B152</f>
        <v>0</v>
      </c>
      <c r="N152" s="91">
        <v>0</v>
      </c>
      <c r="O152" s="91">
        <f>N152*C152-N152*B152</f>
        <v>0</v>
      </c>
      <c r="P152" s="91">
        <v>0</v>
      </c>
      <c r="Q152" s="91">
        <f>P152*C152-P152*B152</f>
        <v>0</v>
      </c>
      <c r="R152" s="91">
        <v>0</v>
      </c>
      <c r="S152" s="91">
        <f>R152*C152-R152*B152</f>
        <v>0</v>
      </c>
      <c r="T152" s="91">
        <f>SUM(P152,N152,L152,J152,H152,F152)</f>
        <v>135</v>
      </c>
      <c r="U152" s="91">
        <v>0</v>
      </c>
      <c r="V152" s="92">
        <v>96</v>
      </c>
      <c r="W152">
        <f t="shared" si="2"/>
        <v>1876</v>
      </c>
    </row>
    <row r="153" spans="1:23" x14ac:dyDescent="0.3">
      <c r="A153" s="99">
        <v>11</v>
      </c>
      <c r="B153" s="95">
        <f>A153*3.2</f>
        <v>35.200000000000003</v>
      </c>
      <c r="C153" s="95">
        <v>85</v>
      </c>
      <c r="D153" s="95">
        <f>C153-B153</f>
        <v>49.8</v>
      </c>
      <c r="E153" s="95">
        <f>(CleanedDataset!$F93-CleanedDataset!$E93)/CleanedDataset!$F93</f>
        <v>0.66666666666666663</v>
      </c>
      <c r="F153" s="96">
        <v>0</v>
      </c>
      <c r="G153" s="96">
        <f>F153*C153-F153*B153</f>
        <v>0</v>
      </c>
      <c r="H153" s="96">
        <v>0</v>
      </c>
      <c r="I153" s="96">
        <f>H153*C153-F153*B153</f>
        <v>0</v>
      </c>
      <c r="J153" s="96">
        <v>0</v>
      </c>
      <c r="K153" s="96">
        <f>J153*C153-J153*B153</f>
        <v>0</v>
      </c>
      <c r="L153" s="96">
        <v>0</v>
      </c>
      <c r="M153" s="96">
        <f>L153*C153-L153*B153</f>
        <v>0</v>
      </c>
      <c r="N153" s="96">
        <v>0</v>
      </c>
      <c r="O153" s="96">
        <f>N153*C153-N153*B153</f>
        <v>0</v>
      </c>
      <c r="P153" s="96">
        <v>0</v>
      </c>
      <c r="Q153" s="96">
        <f>P153*C153-P153*B153</f>
        <v>0</v>
      </c>
      <c r="R153" s="96">
        <v>0</v>
      </c>
      <c r="S153" s="96">
        <f>R153*C153-R153*B153</f>
        <v>0</v>
      </c>
      <c r="T153" s="96">
        <f>SUM(P153,N153,L153,J153,H153,F153)</f>
        <v>0</v>
      </c>
      <c r="U153" s="96">
        <v>0</v>
      </c>
      <c r="V153" s="97">
        <v>98</v>
      </c>
      <c r="W153">
        <f t="shared" si="2"/>
        <v>0</v>
      </c>
    </row>
    <row r="154" spans="1:23" x14ac:dyDescent="0.3">
      <c r="A154" s="101">
        <v>11</v>
      </c>
      <c r="B154" s="90">
        <f>A154*3</f>
        <v>33</v>
      </c>
      <c r="C154" s="90">
        <v>75</v>
      </c>
      <c r="D154" s="90">
        <f>C154-B154</f>
        <v>42</v>
      </c>
      <c r="E154" s="90">
        <f>(CleanedDataset!$F186-CleanedDataset!$E186)/CleanedDataset!$F186</f>
        <v>0.74285714285714288</v>
      </c>
      <c r="F154" s="91">
        <v>130</v>
      </c>
      <c r="G154" s="91">
        <f>F154*C154-F154*B154</f>
        <v>5460</v>
      </c>
      <c r="H154" s="91">
        <v>77</v>
      </c>
      <c r="I154" s="91">
        <f>H154*C154-F154*B154</f>
        <v>1485</v>
      </c>
      <c r="J154" s="91">
        <v>12</v>
      </c>
      <c r="K154" s="91">
        <f>J154*C154-J154*B154</f>
        <v>504</v>
      </c>
      <c r="L154" s="91">
        <v>0</v>
      </c>
      <c r="M154" s="91">
        <f>L154*C154-L154*B154</f>
        <v>0</v>
      </c>
      <c r="N154" s="91">
        <v>0</v>
      </c>
      <c r="O154" s="91">
        <f>N154*C154-N154*B154</f>
        <v>0</v>
      </c>
      <c r="P154" s="91">
        <v>0</v>
      </c>
      <c r="Q154" s="91">
        <f>P154*C154-P154*B154</f>
        <v>0</v>
      </c>
      <c r="R154" s="91">
        <v>0</v>
      </c>
      <c r="S154" s="91">
        <f>R154*C154-R154*B154</f>
        <v>0</v>
      </c>
      <c r="T154" s="91">
        <f>SUM(P154,N154,L154,J154,H154,F154)</f>
        <v>219</v>
      </c>
      <c r="U154" s="91">
        <v>0</v>
      </c>
      <c r="V154" s="92">
        <v>90</v>
      </c>
      <c r="W154">
        <f t="shared" si="2"/>
        <v>1430</v>
      </c>
    </row>
    <row r="155" spans="1:23" x14ac:dyDescent="0.3">
      <c r="A155" s="99">
        <v>15</v>
      </c>
      <c r="B155" s="95">
        <f>A155*3</f>
        <v>45</v>
      </c>
      <c r="C155" s="95">
        <v>60</v>
      </c>
      <c r="D155" s="95">
        <f>C155-B155</f>
        <v>15</v>
      </c>
      <c r="E155" s="95">
        <f>(CleanedDataset!$F189-CleanedDataset!$E189)/CleanedDataset!$F189</f>
        <v>0.67999999999999994</v>
      </c>
      <c r="F155" s="96">
        <v>135</v>
      </c>
      <c r="G155" s="96">
        <f>F155*C155-F155*B155</f>
        <v>2025</v>
      </c>
      <c r="H155" s="96">
        <v>65</v>
      </c>
      <c r="I155" s="96">
        <f>H155*C155-F155*B155</f>
        <v>-2175</v>
      </c>
      <c r="J155" s="96">
        <v>7</v>
      </c>
      <c r="K155" s="96">
        <f>J155*C155-J155*B155</f>
        <v>105</v>
      </c>
      <c r="L155" s="96">
        <v>0</v>
      </c>
      <c r="M155" s="96">
        <f>L155*C155-L155*B155</f>
        <v>0</v>
      </c>
      <c r="N155" s="96">
        <v>0</v>
      </c>
      <c r="O155" s="96">
        <f>N155*C155-N155*B155</f>
        <v>0</v>
      </c>
      <c r="P155" s="96">
        <v>0</v>
      </c>
      <c r="Q155" s="96">
        <f>P155*C155-P155*B155</f>
        <v>0</v>
      </c>
      <c r="R155" s="96">
        <v>0</v>
      </c>
      <c r="S155" s="96">
        <f>R155*C155-R155*B155</f>
        <v>0</v>
      </c>
      <c r="T155" s="96">
        <f>SUM(P155,N155,L155,J155,H155,F155)</f>
        <v>207</v>
      </c>
      <c r="U155" s="96">
        <v>0</v>
      </c>
      <c r="V155" s="97">
        <v>91</v>
      </c>
      <c r="W155">
        <f t="shared" si="2"/>
        <v>2025</v>
      </c>
    </row>
    <row r="156" spans="1:23" x14ac:dyDescent="0.3">
      <c r="A156" s="99">
        <v>20</v>
      </c>
      <c r="B156" s="95">
        <f>A156*3</f>
        <v>60</v>
      </c>
      <c r="C156" s="95">
        <v>85</v>
      </c>
      <c r="D156" s="95">
        <f>C156-B156</f>
        <v>25</v>
      </c>
      <c r="E156" s="95">
        <f>(CleanedDataset!$F195-CleanedDataset!$E195)/CleanedDataset!$F195</f>
        <v>0.72000000000000008</v>
      </c>
      <c r="F156" s="96">
        <v>208</v>
      </c>
      <c r="G156" s="96">
        <f>F156*C156-F156*B156</f>
        <v>5200</v>
      </c>
      <c r="H156" s="96">
        <v>83</v>
      </c>
      <c r="I156" s="96">
        <f>H156*C156-F156*B156</f>
        <v>-5425</v>
      </c>
      <c r="J156" s="96">
        <v>20</v>
      </c>
      <c r="K156" s="96">
        <f>J156*C156-J156*B156</f>
        <v>500</v>
      </c>
      <c r="L156" s="96">
        <v>0</v>
      </c>
      <c r="M156" s="96">
        <f>L156*C156-L156*B156</f>
        <v>0</v>
      </c>
      <c r="N156" s="96">
        <v>0</v>
      </c>
      <c r="O156" s="96">
        <f>N156*C156-N156*B156</f>
        <v>0</v>
      </c>
      <c r="P156" s="96">
        <v>0</v>
      </c>
      <c r="Q156" s="96">
        <f>P156*C156-P156*B156</f>
        <v>0</v>
      </c>
      <c r="R156" s="96">
        <v>0</v>
      </c>
      <c r="S156" s="96">
        <f>R156*C156-R156*B156</f>
        <v>0</v>
      </c>
      <c r="T156" s="96">
        <f>SUM(P156,N156,L156,J156,H156,F156)</f>
        <v>311</v>
      </c>
      <c r="U156" s="96">
        <v>0</v>
      </c>
      <c r="V156" s="97">
        <v>94</v>
      </c>
      <c r="W156">
        <f t="shared" si="2"/>
        <v>4160</v>
      </c>
    </row>
    <row r="157" spans="1:23" x14ac:dyDescent="0.3">
      <c r="A157" s="99">
        <v>5</v>
      </c>
      <c r="B157" s="95">
        <f>A157*3</f>
        <v>15</v>
      </c>
      <c r="C157" s="95">
        <v>45</v>
      </c>
      <c r="D157" s="95">
        <f>C157-B157</f>
        <v>30</v>
      </c>
      <c r="E157" s="95">
        <f>(CleanedDataset!$F185-CleanedDataset!$E185)/CleanedDataset!$F185</f>
        <v>0.65000000000000013</v>
      </c>
      <c r="F157" s="96">
        <v>122</v>
      </c>
      <c r="G157" s="96">
        <f>F157*C157-F157*B157</f>
        <v>3660</v>
      </c>
      <c r="H157" s="96">
        <v>91</v>
      </c>
      <c r="I157" s="96">
        <f>H157*C157-F157*B157</f>
        <v>2265</v>
      </c>
      <c r="J157" s="96">
        <v>3</v>
      </c>
      <c r="K157" s="96">
        <f>J157*C157-J157*B157</f>
        <v>90</v>
      </c>
      <c r="L157" s="96">
        <v>0</v>
      </c>
      <c r="M157" s="96">
        <f>L157*C157-L157*B157</f>
        <v>0</v>
      </c>
      <c r="N157" s="96">
        <v>0</v>
      </c>
      <c r="O157" s="96">
        <f>N157*C157-N157*B157</f>
        <v>0</v>
      </c>
      <c r="P157" s="96">
        <v>0</v>
      </c>
      <c r="Q157" s="96">
        <f>P157*C157-P157*B157</f>
        <v>0</v>
      </c>
      <c r="R157" s="96">
        <v>0</v>
      </c>
      <c r="S157" s="96">
        <f>R157*C157-R157*B157</f>
        <v>0</v>
      </c>
      <c r="T157" s="96">
        <f>SUM(P157,N157,L157,J157,H157,F157)</f>
        <v>216</v>
      </c>
      <c r="U157" s="96">
        <v>0</v>
      </c>
      <c r="V157" s="97">
        <v>97</v>
      </c>
      <c r="W157">
        <f t="shared" si="2"/>
        <v>610</v>
      </c>
    </row>
    <row r="158" spans="1:23" x14ac:dyDescent="0.3">
      <c r="A158" s="99">
        <v>17</v>
      </c>
      <c r="B158" s="95">
        <f>A158*3</f>
        <v>51</v>
      </c>
      <c r="C158" s="95">
        <v>90</v>
      </c>
      <c r="D158" s="95">
        <f>C158-B158</f>
        <v>39</v>
      </c>
      <c r="E158" s="95">
        <f>(CleanedDataset!$F187-CleanedDataset!$E187)/CleanedDataset!$F187</f>
        <v>0.74285714285714288</v>
      </c>
      <c r="F158" s="96">
        <v>133</v>
      </c>
      <c r="G158" s="96">
        <f>F158*C158-F158*B158</f>
        <v>5187</v>
      </c>
      <c r="H158" s="96">
        <v>93</v>
      </c>
      <c r="I158" s="96">
        <f>H158*C158-F158*B158</f>
        <v>1587</v>
      </c>
      <c r="J158" s="96">
        <v>8</v>
      </c>
      <c r="K158" s="96">
        <f>J158*C158-J158*B158</f>
        <v>312</v>
      </c>
      <c r="L158" s="96">
        <v>0</v>
      </c>
      <c r="M158" s="96">
        <f>L158*C158-L158*B158</f>
        <v>0</v>
      </c>
      <c r="N158" s="96">
        <v>0</v>
      </c>
      <c r="O158" s="96">
        <f>N158*C158-N158*B158</f>
        <v>0</v>
      </c>
      <c r="P158" s="96">
        <v>0</v>
      </c>
      <c r="Q158" s="96">
        <f>P158*C158-P158*B158</f>
        <v>0</v>
      </c>
      <c r="R158" s="96">
        <v>0</v>
      </c>
      <c r="S158" s="96">
        <f>R158*C158-R158*B158</f>
        <v>0</v>
      </c>
      <c r="T158" s="96">
        <f>SUM(P158,N158,L158,J158,H158,F158)</f>
        <v>234</v>
      </c>
      <c r="U158" s="96">
        <v>0</v>
      </c>
      <c r="V158" s="97">
        <v>95</v>
      </c>
      <c r="W158">
        <f t="shared" si="2"/>
        <v>2261</v>
      </c>
    </row>
    <row r="159" spans="1:23" x14ac:dyDescent="0.3">
      <c r="A159" s="101">
        <v>13</v>
      </c>
      <c r="B159" s="90">
        <f>A159*3</f>
        <v>39</v>
      </c>
      <c r="C159" s="90">
        <v>75</v>
      </c>
      <c r="D159" s="90">
        <f>C159-B159</f>
        <v>36</v>
      </c>
      <c r="E159" s="90">
        <f>(CleanedDataset!$F190-CleanedDataset!$E190)/CleanedDataset!$F190</f>
        <v>0.7</v>
      </c>
      <c r="F159" s="91">
        <v>147</v>
      </c>
      <c r="G159" s="91">
        <f>F159*C159-F159*B159</f>
        <v>5292</v>
      </c>
      <c r="H159" s="91">
        <v>110</v>
      </c>
      <c r="I159" s="91">
        <f>H159*C159-F159*B159</f>
        <v>2517</v>
      </c>
      <c r="J159" s="91">
        <v>17</v>
      </c>
      <c r="K159" s="91">
        <f>J159*C159-J159*B159</f>
        <v>612</v>
      </c>
      <c r="L159" s="91">
        <v>0</v>
      </c>
      <c r="M159" s="91">
        <f>L159*C159-L159*B159</f>
        <v>0</v>
      </c>
      <c r="N159" s="91">
        <v>0</v>
      </c>
      <c r="O159" s="91">
        <f>N159*C159-N159*B159</f>
        <v>0</v>
      </c>
      <c r="P159" s="91">
        <v>0</v>
      </c>
      <c r="Q159" s="91">
        <f>P159*C159-P159*B159</f>
        <v>0</v>
      </c>
      <c r="R159" s="91">
        <v>0</v>
      </c>
      <c r="S159" s="91">
        <f>R159*C159-R159*B159</f>
        <v>0</v>
      </c>
      <c r="T159" s="91">
        <f>SUM(P159,N159,L159,J159,H159,F159)</f>
        <v>274</v>
      </c>
      <c r="U159" s="91">
        <v>0</v>
      </c>
      <c r="V159" s="92">
        <v>91</v>
      </c>
      <c r="W159">
        <f t="shared" si="2"/>
        <v>1911</v>
      </c>
    </row>
    <row r="160" spans="1:23" x14ac:dyDescent="0.3">
      <c r="A160" s="101">
        <v>10</v>
      </c>
      <c r="B160" s="90">
        <f>A160*3</f>
        <v>30</v>
      </c>
      <c r="C160" s="90">
        <v>59</v>
      </c>
      <c r="D160" s="90">
        <f>C160-B160</f>
        <v>29</v>
      </c>
      <c r="E160" s="90">
        <f>(CleanedDataset!$F194-CleanedDataset!$E194)/CleanedDataset!$F194</f>
        <v>0.79</v>
      </c>
      <c r="F160" s="91">
        <v>194</v>
      </c>
      <c r="G160" s="91">
        <f>F160*C160-F160*B160</f>
        <v>5626</v>
      </c>
      <c r="H160" s="91">
        <v>102</v>
      </c>
      <c r="I160" s="91">
        <f>H160*C160-F160*B160</f>
        <v>198</v>
      </c>
      <c r="J160" s="91">
        <v>2</v>
      </c>
      <c r="K160" s="91">
        <f>J160*C160-J160*B160</f>
        <v>58</v>
      </c>
      <c r="L160" s="91">
        <v>0</v>
      </c>
      <c r="M160" s="91">
        <f>L160*C160-L160*B160</f>
        <v>0</v>
      </c>
      <c r="N160" s="91">
        <v>0</v>
      </c>
      <c r="O160" s="91">
        <f>N160*C160-N160*B160</f>
        <v>0</v>
      </c>
      <c r="P160" s="91">
        <v>0</v>
      </c>
      <c r="Q160" s="91">
        <f>P160*C160-P160*B160</f>
        <v>0</v>
      </c>
      <c r="R160" s="91">
        <v>0</v>
      </c>
      <c r="S160" s="91">
        <f>R160*C160-R160*B160</f>
        <v>0</v>
      </c>
      <c r="T160" s="91">
        <f>SUM(P160,N160,L160,J160,H160,F160)</f>
        <v>298</v>
      </c>
      <c r="U160" s="91">
        <v>0</v>
      </c>
      <c r="V160" s="92">
        <v>96</v>
      </c>
      <c r="W160">
        <f t="shared" si="2"/>
        <v>1940</v>
      </c>
    </row>
    <row r="161" spans="1:23" x14ac:dyDescent="0.3">
      <c r="A161" s="99">
        <v>13</v>
      </c>
      <c r="B161" s="95">
        <f>A161*3</f>
        <v>39</v>
      </c>
      <c r="C161" s="95">
        <v>75</v>
      </c>
      <c r="D161" s="95">
        <f>C161-B161</f>
        <v>36</v>
      </c>
      <c r="E161" s="95">
        <f>(CleanedDataset!$F171-CleanedDataset!$E171)/CleanedDataset!$F171</f>
        <v>0.7</v>
      </c>
      <c r="F161" s="96">
        <v>13</v>
      </c>
      <c r="G161" s="96">
        <f>F161*C161-F161*B161</f>
        <v>468</v>
      </c>
      <c r="H161" s="96">
        <v>0</v>
      </c>
      <c r="I161" s="96">
        <f>H161*C161-F161*B161</f>
        <v>-507</v>
      </c>
      <c r="J161" s="96">
        <v>0</v>
      </c>
      <c r="K161" s="96">
        <f>J161*C161-J161*B161</f>
        <v>0</v>
      </c>
      <c r="L161" s="96">
        <v>0</v>
      </c>
      <c r="M161" s="96">
        <f>L161*C161-L161*B161</f>
        <v>0</v>
      </c>
      <c r="N161" s="96">
        <v>0</v>
      </c>
      <c r="O161" s="96">
        <f>N161*C161-N161*B161</f>
        <v>0</v>
      </c>
      <c r="P161" s="96">
        <v>0</v>
      </c>
      <c r="Q161" s="96">
        <f>P161*C161-P161*B161</f>
        <v>0</v>
      </c>
      <c r="R161" s="96">
        <v>0</v>
      </c>
      <c r="S161" s="96">
        <f>R161*C161-R161*B161</f>
        <v>0</v>
      </c>
      <c r="T161" s="96">
        <f>SUM(P161,N161,L161,J161,H161,F161)</f>
        <v>13</v>
      </c>
      <c r="U161" s="96">
        <v>0</v>
      </c>
      <c r="V161" s="97">
        <v>99</v>
      </c>
      <c r="W161">
        <f t="shared" si="2"/>
        <v>169</v>
      </c>
    </row>
    <row r="162" spans="1:23" x14ac:dyDescent="0.3">
      <c r="A162" s="101">
        <v>15</v>
      </c>
      <c r="B162" s="90">
        <f>A162*3</f>
        <v>45</v>
      </c>
      <c r="C162" s="90">
        <v>88</v>
      </c>
      <c r="D162" s="90">
        <f>C162-B162</f>
        <v>43</v>
      </c>
      <c r="E162" s="90">
        <f>(CleanedDataset!$F172-CleanedDataset!$E172)/CleanedDataset!$F172</f>
        <v>0.78181818181818186</v>
      </c>
      <c r="F162" s="91">
        <v>18</v>
      </c>
      <c r="G162" s="91">
        <f>F162*C162-F162*B162</f>
        <v>774</v>
      </c>
      <c r="H162" s="91">
        <v>0</v>
      </c>
      <c r="I162" s="91">
        <f>H162*C162-F162*B162</f>
        <v>-810</v>
      </c>
      <c r="J162" s="91">
        <v>0</v>
      </c>
      <c r="K162" s="91">
        <f>J162*C162-J162*B162</f>
        <v>0</v>
      </c>
      <c r="L162" s="91">
        <v>0</v>
      </c>
      <c r="M162" s="91">
        <f>L162*C162-L162*B162</f>
        <v>0</v>
      </c>
      <c r="N162" s="91">
        <v>0</v>
      </c>
      <c r="O162" s="91">
        <f>N162*C162-N162*B162</f>
        <v>0</v>
      </c>
      <c r="P162" s="91">
        <v>0</v>
      </c>
      <c r="Q162" s="91">
        <f>P162*C162-P162*B162</f>
        <v>0</v>
      </c>
      <c r="R162" s="91">
        <v>0</v>
      </c>
      <c r="S162" s="91">
        <f>R162*C162-R162*B162</f>
        <v>0</v>
      </c>
      <c r="T162" s="91">
        <f>SUM(P162,N162,L162,J162,H162,F162)</f>
        <v>18</v>
      </c>
      <c r="U162" s="91">
        <v>0</v>
      </c>
      <c r="V162" s="92">
        <v>90</v>
      </c>
      <c r="W162">
        <f t="shared" si="2"/>
        <v>270</v>
      </c>
    </row>
    <row r="163" spans="1:23" x14ac:dyDescent="0.3">
      <c r="A163" s="99">
        <v>15</v>
      </c>
      <c r="B163" s="95">
        <f>A163*3</f>
        <v>45</v>
      </c>
      <c r="C163" s="95">
        <v>85</v>
      </c>
      <c r="D163" s="95">
        <f>C163-B163</f>
        <v>40</v>
      </c>
      <c r="E163" s="95">
        <f>(CleanedDataset!$F191-CleanedDataset!$E191)/CleanedDataset!$F191</f>
        <v>0.65538461538461545</v>
      </c>
      <c r="F163" s="96">
        <v>150</v>
      </c>
      <c r="G163" s="96">
        <f>F163*C163-F163*B163</f>
        <v>6000</v>
      </c>
      <c r="H163" s="96">
        <v>50</v>
      </c>
      <c r="I163" s="96">
        <f>H163*C163-F163*B163</f>
        <v>-2500</v>
      </c>
      <c r="J163" s="96">
        <v>4</v>
      </c>
      <c r="K163" s="96">
        <f>J163*C163-J163*B163</f>
        <v>160</v>
      </c>
      <c r="L163" s="96">
        <v>0</v>
      </c>
      <c r="M163" s="96">
        <f>L163*C163-L163*B163</f>
        <v>0</v>
      </c>
      <c r="N163" s="96">
        <v>0</v>
      </c>
      <c r="O163" s="96">
        <f>N163*C163-N163*B163</f>
        <v>0</v>
      </c>
      <c r="P163" s="96">
        <v>0</v>
      </c>
      <c r="Q163" s="96">
        <f>P163*C163-P163*B163</f>
        <v>0</v>
      </c>
      <c r="R163" s="96">
        <v>0</v>
      </c>
      <c r="S163" s="96">
        <f>R163*C163-R163*B163</f>
        <v>0</v>
      </c>
      <c r="T163" s="96">
        <f>SUM(P163,N163,L163,J163,H163,F163)</f>
        <v>204</v>
      </c>
      <c r="U163" s="96">
        <v>0</v>
      </c>
      <c r="V163" s="97">
        <v>95</v>
      </c>
      <c r="W163">
        <f t="shared" si="2"/>
        <v>2250</v>
      </c>
    </row>
    <row r="164" spans="1:23" x14ac:dyDescent="0.3">
      <c r="A164" s="101">
        <v>7</v>
      </c>
      <c r="B164" s="90">
        <f>A164*3</f>
        <v>21</v>
      </c>
      <c r="C164" s="90">
        <v>35</v>
      </c>
      <c r="D164" s="90">
        <f>C164-B164</f>
        <v>14</v>
      </c>
      <c r="E164" s="90">
        <f>(CleanedDataset!$F196-CleanedDataset!$E196)/CleanedDataset!$F196</f>
        <v>0.8</v>
      </c>
      <c r="F164" s="91">
        <v>210</v>
      </c>
      <c r="G164" s="91">
        <f>F164*C164-F164*B164</f>
        <v>2940</v>
      </c>
      <c r="H164" s="91">
        <v>172</v>
      </c>
      <c r="I164" s="91">
        <f>H164*C164-F164*B164</f>
        <v>1610</v>
      </c>
      <c r="J164" s="91">
        <v>25</v>
      </c>
      <c r="K164" s="91">
        <f>J164*C164-J164*B164</f>
        <v>350</v>
      </c>
      <c r="L164" s="91">
        <v>0</v>
      </c>
      <c r="M164" s="91">
        <f>L164*C164-L164*B164</f>
        <v>0</v>
      </c>
      <c r="N164" s="91">
        <v>0</v>
      </c>
      <c r="O164" s="91">
        <f>N164*C164-N164*B164</f>
        <v>0</v>
      </c>
      <c r="P164" s="91">
        <v>0</v>
      </c>
      <c r="Q164" s="91">
        <f>P164*C164-P164*B164</f>
        <v>0</v>
      </c>
      <c r="R164" s="91">
        <v>0</v>
      </c>
      <c r="S164" s="91">
        <f>R164*C164-R164*B164</f>
        <v>0</v>
      </c>
      <c r="T164" s="91">
        <f>SUM(P164,N164,L164,J164,H164,F164)</f>
        <v>407</v>
      </c>
      <c r="U164" s="91">
        <v>0</v>
      </c>
      <c r="V164" s="92">
        <v>94</v>
      </c>
      <c r="W164">
        <f t="shared" si="2"/>
        <v>1470</v>
      </c>
    </row>
    <row r="165" spans="1:23" x14ac:dyDescent="0.3">
      <c r="A165" s="101">
        <v>5</v>
      </c>
      <c r="B165" s="90">
        <f>A165*3</f>
        <v>15</v>
      </c>
      <c r="C165" s="90">
        <v>30</v>
      </c>
      <c r="D165" s="90">
        <f>C165-B165</f>
        <v>15</v>
      </c>
      <c r="E165" s="90">
        <f>(CleanedDataset!$F198-CleanedDataset!$E198)/CleanedDataset!$F198</f>
        <v>0.7846153846153846</v>
      </c>
      <c r="F165" s="91">
        <v>235</v>
      </c>
      <c r="G165" s="91">
        <f>F165*C165-F165*B165</f>
        <v>3525</v>
      </c>
      <c r="H165" s="91">
        <v>160</v>
      </c>
      <c r="I165" s="91">
        <f>H165*C165-F165*B165</f>
        <v>1275</v>
      </c>
      <c r="J165" s="91">
        <v>23</v>
      </c>
      <c r="K165" s="91">
        <f>J165*C165-J165*B165</f>
        <v>345</v>
      </c>
      <c r="L165" s="91">
        <v>0</v>
      </c>
      <c r="M165" s="91">
        <f>L165*C165-L165*B165</f>
        <v>0</v>
      </c>
      <c r="N165" s="91">
        <v>0</v>
      </c>
      <c r="O165" s="91">
        <f>N165*C165-N165*B165</f>
        <v>0</v>
      </c>
      <c r="P165" s="91">
        <v>0</v>
      </c>
      <c r="Q165" s="91">
        <f>P165*C165-P165*B165</f>
        <v>0</v>
      </c>
      <c r="R165" s="91">
        <v>0</v>
      </c>
      <c r="S165" s="91">
        <f>R165*C165-R165*B165</f>
        <v>0</v>
      </c>
      <c r="T165" s="91">
        <f>SUM(P165,N165,L165,J165,H165,F165)</f>
        <v>418</v>
      </c>
      <c r="U165" s="91">
        <v>0</v>
      </c>
      <c r="V165" s="92">
        <v>99</v>
      </c>
      <c r="W165">
        <f t="shared" si="2"/>
        <v>1175</v>
      </c>
    </row>
    <row r="166" spans="1:23" x14ac:dyDescent="0.3">
      <c r="A166" s="99">
        <v>12</v>
      </c>
      <c r="B166" s="95">
        <f>A166*3</f>
        <v>36</v>
      </c>
      <c r="C166" s="95">
        <v>65</v>
      </c>
      <c r="D166" s="95">
        <f>C166-B166</f>
        <v>29</v>
      </c>
      <c r="E166" s="95">
        <f>(CleanedDataset!$F199-CleanedDataset!$E199)/CleanedDataset!$F199</f>
        <v>0.8147368421052632</v>
      </c>
      <c r="F166" s="96">
        <v>240</v>
      </c>
      <c r="G166" s="96">
        <f>F166*C166-F166*B166</f>
        <v>6960</v>
      </c>
      <c r="H166" s="96">
        <v>170</v>
      </c>
      <c r="I166" s="96">
        <f>H166*C166-F166*B166</f>
        <v>2410</v>
      </c>
      <c r="J166" s="96">
        <v>15</v>
      </c>
      <c r="K166" s="96">
        <f>J166*C166-J166*B166</f>
        <v>435</v>
      </c>
      <c r="L166" s="96">
        <v>0</v>
      </c>
      <c r="M166" s="96">
        <f>L166*C166-L166*B166</f>
        <v>0</v>
      </c>
      <c r="N166" s="96">
        <v>0</v>
      </c>
      <c r="O166" s="96">
        <f>N166*C166-N166*B166</f>
        <v>0</v>
      </c>
      <c r="P166" s="96">
        <v>0</v>
      </c>
      <c r="Q166" s="96">
        <f>P166*C166-P166*B166</f>
        <v>0</v>
      </c>
      <c r="R166" s="96">
        <v>0</v>
      </c>
      <c r="S166" s="96">
        <f>R166*C166-R166*B166</f>
        <v>0</v>
      </c>
      <c r="T166" s="96">
        <f>SUM(P166,N166,L166,J166,H166,F166)</f>
        <v>425</v>
      </c>
      <c r="U166" s="96">
        <v>0</v>
      </c>
      <c r="V166" s="97">
        <v>97</v>
      </c>
      <c r="W166">
        <f t="shared" si="2"/>
        <v>2880</v>
      </c>
    </row>
    <row r="167" spans="1:23" x14ac:dyDescent="0.3">
      <c r="A167" s="101">
        <v>10.5</v>
      </c>
      <c r="B167" s="90">
        <f>A167*3</f>
        <v>31.5</v>
      </c>
      <c r="C167" s="90">
        <v>55</v>
      </c>
      <c r="D167" s="90">
        <f>C167-B167</f>
        <v>23.5</v>
      </c>
      <c r="E167" s="90">
        <f>(CleanedDataset!$F200-CleanedDataset!$E200)/CleanedDataset!$F200</f>
        <v>0.79374999999999996</v>
      </c>
      <c r="F167" s="91">
        <v>289</v>
      </c>
      <c r="G167" s="91">
        <f>F167*C167-F167*B167</f>
        <v>6791.5</v>
      </c>
      <c r="H167" s="91">
        <v>193</v>
      </c>
      <c r="I167" s="91">
        <f>H167*C167-F167*B167</f>
        <v>1511.5</v>
      </c>
      <c r="J167" s="91">
        <v>205</v>
      </c>
      <c r="K167" s="91">
        <f>J167*C167-J167*B167</f>
        <v>4817.5</v>
      </c>
      <c r="L167" s="91">
        <v>0</v>
      </c>
      <c r="M167" s="91">
        <f>L167*C167-L167*B167</f>
        <v>0</v>
      </c>
      <c r="N167" s="91">
        <v>0</v>
      </c>
      <c r="O167" s="91">
        <f>N167*C167-N167*B167</f>
        <v>0</v>
      </c>
      <c r="P167" s="91">
        <v>0</v>
      </c>
      <c r="Q167" s="91">
        <f>P167*C167-P167*B167</f>
        <v>0</v>
      </c>
      <c r="R167" s="91">
        <v>0</v>
      </c>
      <c r="S167" s="91">
        <f>R167*C167-R167*B167</f>
        <v>0</v>
      </c>
      <c r="T167" s="91">
        <f>SUM(P167,N167,L167,J167,H167,F167)</f>
        <v>687</v>
      </c>
      <c r="U167" s="91">
        <v>0</v>
      </c>
      <c r="V167" s="92">
        <v>91</v>
      </c>
      <c r="W167">
        <f t="shared" si="2"/>
        <v>3034.5</v>
      </c>
    </row>
    <row r="168" spans="1:23" x14ac:dyDescent="0.3">
      <c r="A168" s="99">
        <v>9</v>
      </c>
      <c r="B168" s="95">
        <f>A168*3</f>
        <v>27</v>
      </c>
      <c r="C168" s="95">
        <v>45</v>
      </c>
      <c r="D168" s="95">
        <f>C168-B168</f>
        <v>18</v>
      </c>
      <c r="E168" s="95">
        <f>(CleanedDataset!$F201-CleanedDataset!$E201)/CleanedDataset!$F201</f>
        <v>0.79466666666666663</v>
      </c>
      <c r="F168" s="96">
        <v>312</v>
      </c>
      <c r="G168" s="96">
        <f>F168*C168-F168*B168</f>
        <v>5616</v>
      </c>
      <c r="H168" s="96">
        <v>108</v>
      </c>
      <c r="I168" s="96">
        <f>H168*C168-F168*B168</f>
        <v>-3564</v>
      </c>
      <c r="J168" s="96">
        <v>30</v>
      </c>
      <c r="K168" s="96">
        <f>J168*C168-J168*B168</f>
        <v>540</v>
      </c>
      <c r="L168" s="96">
        <v>0</v>
      </c>
      <c r="M168" s="96">
        <f>L168*C168-L168*B168</f>
        <v>0</v>
      </c>
      <c r="N168" s="96">
        <v>0</v>
      </c>
      <c r="O168" s="96">
        <f>N168*C168-N168*B168</f>
        <v>0</v>
      </c>
      <c r="P168" s="96">
        <v>0</v>
      </c>
      <c r="Q168" s="96">
        <f>P168*C168-P168*B168</f>
        <v>0</v>
      </c>
      <c r="R168" s="96">
        <v>0</v>
      </c>
      <c r="S168" s="96">
        <f>R168*C168-R168*B168</f>
        <v>0</v>
      </c>
      <c r="T168" s="96">
        <f>SUM(P168,N168,L168,J168,H168,F168)</f>
        <v>450</v>
      </c>
      <c r="U168" s="96">
        <v>0</v>
      </c>
      <c r="V168" s="97">
        <v>99</v>
      </c>
      <c r="W168">
        <f t="shared" si="2"/>
        <v>2808</v>
      </c>
    </row>
    <row r="169" spans="1:23" x14ac:dyDescent="0.3">
      <c r="A169" s="101">
        <v>5</v>
      </c>
      <c r="B169" s="90">
        <f>A169*3</f>
        <v>15</v>
      </c>
      <c r="C169" s="90">
        <v>45</v>
      </c>
      <c r="D169" s="90">
        <f>C169-B169</f>
        <v>30</v>
      </c>
      <c r="E169" s="90">
        <f>(CleanedDataset!$F180-CleanedDataset!$E180)/CleanedDataset!$F180</f>
        <v>0.7857142857142857</v>
      </c>
      <c r="F169" s="91">
        <v>79</v>
      </c>
      <c r="G169" s="91">
        <f>F169*C169-F169*B169</f>
        <v>2370</v>
      </c>
      <c r="H169" s="91">
        <v>29</v>
      </c>
      <c r="I169" s="91">
        <f>H169*C169-F169*B169</f>
        <v>120</v>
      </c>
      <c r="J169" s="91">
        <v>0</v>
      </c>
      <c r="K169" s="91">
        <f>J169*C169-J169*B169</f>
        <v>0</v>
      </c>
      <c r="L169" s="91">
        <v>0</v>
      </c>
      <c r="M169" s="91">
        <f>L169*C169-L169*B169</f>
        <v>0</v>
      </c>
      <c r="N169" s="91">
        <v>0</v>
      </c>
      <c r="O169" s="91">
        <f>N169*C169-N169*B169</f>
        <v>0</v>
      </c>
      <c r="P169" s="91">
        <v>0</v>
      </c>
      <c r="Q169" s="91">
        <f>P169*C169-P169*B169</f>
        <v>0</v>
      </c>
      <c r="R169" s="91">
        <v>0</v>
      </c>
      <c r="S169" s="91">
        <f>R169*C169-R169*B169</f>
        <v>0</v>
      </c>
      <c r="T169" s="91">
        <f>SUM(P169,N169,L169,J169,H169,F169)</f>
        <v>108</v>
      </c>
      <c r="U169" s="91">
        <v>0</v>
      </c>
      <c r="V169" s="92">
        <v>95</v>
      </c>
      <c r="W169">
        <f t="shared" si="2"/>
        <v>395</v>
      </c>
    </row>
    <row r="170" spans="1:23" x14ac:dyDescent="0.3">
      <c r="A170" s="101">
        <v>15</v>
      </c>
      <c r="B170" s="90">
        <f>A170*3</f>
        <v>45</v>
      </c>
      <c r="C170" s="90">
        <v>77</v>
      </c>
      <c r="D170" s="90">
        <f>C170-B170</f>
        <v>32</v>
      </c>
      <c r="E170" s="90">
        <f>(CleanedDataset!$F184-CleanedDataset!$E184)/CleanedDataset!$F184</f>
        <v>0.7</v>
      </c>
      <c r="F170" s="91">
        <v>109</v>
      </c>
      <c r="G170" s="91">
        <f>F170*C170-F170*B170</f>
        <v>3488</v>
      </c>
      <c r="H170" s="91">
        <v>102</v>
      </c>
      <c r="I170" s="91">
        <f>H170*C170-F170*B170</f>
        <v>2949</v>
      </c>
      <c r="J170" s="91">
        <v>32</v>
      </c>
      <c r="K170" s="91">
        <f>J170*C170-J170*B170</f>
        <v>1024</v>
      </c>
      <c r="L170" s="91">
        <v>0</v>
      </c>
      <c r="M170" s="91">
        <f>L170*C170-L170*B170</f>
        <v>0</v>
      </c>
      <c r="N170" s="91">
        <v>0</v>
      </c>
      <c r="O170" s="91">
        <f>N170*C170-N170*B170</f>
        <v>0</v>
      </c>
      <c r="P170" s="91">
        <v>0</v>
      </c>
      <c r="Q170" s="91">
        <f>P170*C170-P170*B170</f>
        <v>0</v>
      </c>
      <c r="R170" s="91">
        <v>0</v>
      </c>
      <c r="S170" s="91">
        <f>R170*C170-R170*B170</f>
        <v>0</v>
      </c>
      <c r="T170" s="91">
        <f>SUM(P170,N170,L170,J170,H170,F170)</f>
        <v>243</v>
      </c>
      <c r="U170" s="91">
        <v>0</v>
      </c>
      <c r="V170" s="92">
        <v>98</v>
      </c>
      <c r="W170">
        <f t="shared" si="2"/>
        <v>1635</v>
      </c>
    </row>
    <row r="171" spans="1:23" x14ac:dyDescent="0.3">
      <c r="A171" s="99">
        <v>8</v>
      </c>
      <c r="B171" s="95">
        <f>A171*3</f>
        <v>24</v>
      </c>
      <c r="C171" s="95">
        <v>45</v>
      </c>
      <c r="D171" s="95">
        <f>C171-B171</f>
        <v>21</v>
      </c>
      <c r="E171" s="95">
        <f>(CleanedDataset!$F193-CleanedDataset!$E193)/CleanedDataset!$F193</f>
        <v>0.79</v>
      </c>
      <c r="F171" s="96">
        <v>173</v>
      </c>
      <c r="G171" s="96">
        <f>F171*C171-F171*B171</f>
        <v>3633</v>
      </c>
      <c r="H171" s="96">
        <v>91</v>
      </c>
      <c r="I171" s="96">
        <f>H171*C171-F171*B171</f>
        <v>-57</v>
      </c>
      <c r="J171" s="96">
        <v>75</v>
      </c>
      <c r="K171" s="96">
        <f>J171*C171-J171*B171</f>
        <v>1575</v>
      </c>
      <c r="L171" s="96">
        <v>0</v>
      </c>
      <c r="M171" s="96">
        <f>L171*C171-L171*B171</f>
        <v>0</v>
      </c>
      <c r="N171" s="96">
        <v>0</v>
      </c>
      <c r="O171" s="96">
        <f>N171*C171-N171*B171</f>
        <v>0</v>
      </c>
      <c r="P171" s="96">
        <v>0</v>
      </c>
      <c r="Q171" s="96">
        <f>P171*C171-P171*B171</f>
        <v>0</v>
      </c>
      <c r="R171" s="96">
        <v>0</v>
      </c>
      <c r="S171" s="96">
        <f>R171*C171-R171*B171</f>
        <v>0</v>
      </c>
      <c r="T171" s="96">
        <f>SUM(P171,N171,L171,J171,H171,F171)</f>
        <v>339</v>
      </c>
      <c r="U171" s="96">
        <v>0</v>
      </c>
      <c r="V171" s="97">
        <v>91</v>
      </c>
      <c r="W171">
        <f t="shared" si="2"/>
        <v>1384</v>
      </c>
    </row>
    <row r="172" spans="1:23" x14ac:dyDescent="0.3">
      <c r="A172" s="101">
        <v>10</v>
      </c>
      <c r="B172" s="90">
        <f>A172*3</f>
        <v>30</v>
      </c>
      <c r="C172" s="90">
        <v>60</v>
      </c>
      <c r="D172" s="90">
        <f>C172-B172</f>
        <v>30</v>
      </c>
      <c r="E172" s="90">
        <f>(CleanedDataset!$F202-CleanedDataset!$E202)/CleanedDataset!$F202</f>
        <v>0.55200000000000005</v>
      </c>
      <c r="F172" s="91">
        <v>430</v>
      </c>
      <c r="G172" s="91">
        <f>F172*C172-F172*B172</f>
        <v>12900</v>
      </c>
      <c r="H172" s="91">
        <v>223</v>
      </c>
      <c r="I172" s="91">
        <f>H172*C172-F172*B172</f>
        <v>480</v>
      </c>
      <c r="J172" s="91">
        <v>157</v>
      </c>
      <c r="K172" s="91">
        <f>J172*C172-J172*B172</f>
        <v>4710</v>
      </c>
      <c r="L172" s="91">
        <v>0</v>
      </c>
      <c r="M172" s="91">
        <f>L172*C172-L172*B172</f>
        <v>0</v>
      </c>
      <c r="N172" s="91">
        <v>0</v>
      </c>
      <c r="O172" s="91">
        <f>N172*C172-N172*B172</f>
        <v>0</v>
      </c>
      <c r="P172" s="91">
        <v>0</v>
      </c>
      <c r="Q172" s="91">
        <f>P172*C172-P172*B172</f>
        <v>0</v>
      </c>
      <c r="R172" s="91">
        <v>0</v>
      </c>
      <c r="S172" s="91">
        <f>R172*C172-R172*B172</f>
        <v>0</v>
      </c>
      <c r="T172" s="91">
        <f>SUM(P172,N172,L172,J172,H172,F172)</f>
        <v>810</v>
      </c>
      <c r="U172" s="91">
        <v>0</v>
      </c>
      <c r="V172" s="92">
        <v>95</v>
      </c>
      <c r="W172">
        <f t="shared" si="2"/>
        <v>4300</v>
      </c>
    </row>
    <row r="173" spans="1:23" x14ac:dyDescent="0.3">
      <c r="A173" s="99">
        <v>11</v>
      </c>
      <c r="B173" s="95">
        <f>A173*3</f>
        <v>33</v>
      </c>
      <c r="C173" s="95">
        <v>60</v>
      </c>
      <c r="D173" s="95">
        <f>C173-B173</f>
        <v>27</v>
      </c>
      <c r="E173" s="95">
        <f>(CleanedDataset!$F173-CleanedDataset!$E173)/CleanedDataset!$F173</f>
        <v>0.78181818181818186</v>
      </c>
      <c r="F173" s="96">
        <v>24</v>
      </c>
      <c r="G173" s="96">
        <f>F173*C173-F173*B173</f>
        <v>648</v>
      </c>
      <c r="H173" s="96">
        <v>21</v>
      </c>
      <c r="I173" s="96">
        <f>H173*C173-F173*B173</f>
        <v>468</v>
      </c>
      <c r="J173" s="96">
        <v>3</v>
      </c>
      <c r="K173" s="96">
        <f>J173*C173-J173*B173</f>
        <v>81</v>
      </c>
      <c r="L173" s="96">
        <v>0</v>
      </c>
      <c r="M173" s="96">
        <f>L173*C173-L173*B173</f>
        <v>0</v>
      </c>
      <c r="N173" s="96">
        <v>0</v>
      </c>
      <c r="O173" s="96">
        <f>N173*C173-N173*B173</f>
        <v>0</v>
      </c>
      <c r="P173" s="96">
        <v>0</v>
      </c>
      <c r="Q173" s="96">
        <f>P173*C173-P173*B173</f>
        <v>0</v>
      </c>
      <c r="R173" s="96">
        <v>0</v>
      </c>
      <c r="S173" s="96">
        <f>R173*C173-R173*B173</f>
        <v>0</v>
      </c>
      <c r="T173" s="96">
        <f>SUM(P173,N173,L173,J173,H173,F173)</f>
        <v>48</v>
      </c>
      <c r="U173" s="96">
        <v>0</v>
      </c>
      <c r="V173" s="97">
        <v>94</v>
      </c>
      <c r="W173">
        <f t="shared" si="2"/>
        <v>264</v>
      </c>
    </row>
    <row r="174" spans="1:23" x14ac:dyDescent="0.3">
      <c r="A174" s="99">
        <v>5</v>
      </c>
      <c r="B174" s="95">
        <f>A174*3</f>
        <v>15</v>
      </c>
      <c r="C174" s="95">
        <v>32</v>
      </c>
      <c r="D174" s="95">
        <f>C174-B174</f>
        <v>17</v>
      </c>
      <c r="E174" s="95">
        <f>(CleanedDataset!$F181-CleanedDataset!$E181)/CleanedDataset!$F181</f>
        <v>0.7857142857142857</v>
      </c>
      <c r="F174" s="96">
        <v>82</v>
      </c>
      <c r="G174" s="96">
        <f>F174*C174-F174*B174</f>
        <v>1394</v>
      </c>
      <c r="H174" s="96">
        <v>33</v>
      </c>
      <c r="I174" s="96">
        <f>H174*C174-F174*B174</f>
        <v>-174</v>
      </c>
      <c r="J174" s="96">
        <v>20</v>
      </c>
      <c r="K174" s="96">
        <f>J174*C174-J174*B174</f>
        <v>340</v>
      </c>
      <c r="L174" s="96">
        <v>0</v>
      </c>
      <c r="M174" s="96">
        <f>L174*C174-L174*B174</f>
        <v>0</v>
      </c>
      <c r="N174" s="96">
        <v>0</v>
      </c>
      <c r="O174" s="96">
        <f>N174*C174-N174*B174</f>
        <v>0</v>
      </c>
      <c r="P174" s="96">
        <v>0</v>
      </c>
      <c r="Q174" s="96">
        <f>P174*C174-P174*B174</f>
        <v>0</v>
      </c>
      <c r="R174" s="96">
        <v>0</v>
      </c>
      <c r="S174" s="96">
        <f>R174*C174-R174*B174</f>
        <v>0</v>
      </c>
      <c r="T174" s="96">
        <f>SUM(P174,N174,L174,J174,H174,F174)</f>
        <v>135</v>
      </c>
      <c r="U174" s="96">
        <v>0</v>
      </c>
      <c r="V174" s="97">
        <v>92</v>
      </c>
      <c r="W174">
        <f t="shared" si="2"/>
        <v>410</v>
      </c>
    </row>
    <row r="175" spans="1:23" x14ac:dyDescent="0.3">
      <c r="A175" s="101">
        <v>8</v>
      </c>
      <c r="B175" s="90">
        <f>A175*3</f>
        <v>24</v>
      </c>
      <c r="C175" s="90">
        <v>51</v>
      </c>
      <c r="D175" s="90">
        <f>C175-B175</f>
        <v>27</v>
      </c>
      <c r="E175" s="90">
        <f>(CleanedDataset!$F182-CleanedDataset!$E182)/CleanedDataset!$F182</f>
        <v>0.7846153846153846</v>
      </c>
      <c r="F175" s="91">
        <v>90</v>
      </c>
      <c r="G175" s="91">
        <f>F175*C175-F175*B175</f>
        <v>2430</v>
      </c>
      <c r="H175" s="91">
        <v>35</v>
      </c>
      <c r="I175" s="91">
        <f>H175*C175-F175*B175</f>
        <v>-375</v>
      </c>
      <c r="J175" s="91">
        <v>15</v>
      </c>
      <c r="K175" s="91">
        <f>J175*C175-J175*B175</f>
        <v>405</v>
      </c>
      <c r="L175" s="91">
        <v>0</v>
      </c>
      <c r="M175" s="91">
        <f>L175*C175-L175*B175</f>
        <v>0</v>
      </c>
      <c r="N175" s="91">
        <v>0</v>
      </c>
      <c r="O175" s="91">
        <f>N175*C175-N175*B175</f>
        <v>0</v>
      </c>
      <c r="P175" s="91">
        <v>0</v>
      </c>
      <c r="Q175" s="91">
        <f>P175*C175-P175*B175</f>
        <v>0</v>
      </c>
      <c r="R175" s="91">
        <v>0</v>
      </c>
      <c r="S175" s="91">
        <f>R175*C175-R175*B175</f>
        <v>0</v>
      </c>
      <c r="T175" s="91">
        <f>SUM(P175,N175,L175,J175,H175,F175)</f>
        <v>140</v>
      </c>
      <c r="U175" s="91">
        <v>0</v>
      </c>
      <c r="V175" s="92">
        <v>100</v>
      </c>
      <c r="W175">
        <f t="shared" si="2"/>
        <v>720</v>
      </c>
    </row>
    <row r="176" spans="1:23" x14ac:dyDescent="0.3">
      <c r="A176" s="101">
        <v>7</v>
      </c>
      <c r="B176" s="90">
        <f>A176*3</f>
        <v>21</v>
      </c>
      <c r="C176" s="90">
        <v>45</v>
      </c>
      <c r="D176" s="90">
        <f>C176-B176</f>
        <v>24</v>
      </c>
      <c r="E176" s="90">
        <f>(CleanedDataset!$F192-CleanedDataset!$E192)/CleanedDataset!$F192</f>
        <v>0.82769230769230762</v>
      </c>
      <c r="F176" s="91">
        <v>153</v>
      </c>
      <c r="G176" s="91">
        <f>F176*C176-F176*B176</f>
        <v>3672</v>
      </c>
      <c r="H176" s="91">
        <v>93</v>
      </c>
      <c r="I176" s="91">
        <f>H176*C176-F176*B176</f>
        <v>972</v>
      </c>
      <c r="J176" s="91">
        <v>50</v>
      </c>
      <c r="K176" s="91">
        <f>J176*C176-J176*B176</f>
        <v>1200</v>
      </c>
      <c r="L176" s="91">
        <v>0</v>
      </c>
      <c r="M176" s="91">
        <f>L176*C176-L176*B176</f>
        <v>0</v>
      </c>
      <c r="N176" s="91">
        <v>0</v>
      </c>
      <c r="O176" s="91">
        <f>N176*C176-N176*B176</f>
        <v>0</v>
      </c>
      <c r="P176" s="91">
        <v>0</v>
      </c>
      <c r="Q176" s="91">
        <f>P176*C176-P176*B176</f>
        <v>0</v>
      </c>
      <c r="R176" s="91">
        <v>0</v>
      </c>
      <c r="S176" s="91">
        <f>R176*C176-R176*B176</f>
        <v>0</v>
      </c>
      <c r="T176" s="91">
        <f>SUM(P176,N176,L176,J176,H176,F176)</f>
        <v>296</v>
      </c>
      <c r="U176" s="91">
        <v>0</v>
      </c>
      <c r="V176" s="92">
        <v>93</v>
      </c>
      <c r="W176">
        <f t="shared" si="2"/>
        <v>1071</v>
      </c>
    </row>
    <row r="177" spans="1:23" x14ac:dyDescent="0.3">
      <c r="A177" s="101">
        <v>15</v>
      </c>
      <c r="B177" s="90">
        <f>A177*3</f>
        <v>45</v>
      </c>
      <c r="C177" s="90">
        <v>50</v>
      </c>
      <c r="D177" s="90">
        <f>C177-B177</f>
        <v>5</v>
      </c>
      <c r="E177" s="90">
        <f>(CleanedDataset!$F174-CleanedDataset!$E174)/CleanedDataset!$F174</f>
        <v>0.78181818181818186</v>
      </c>
      <c r="F177" s="91">
        <v>35</v>
      </c>
      <c r="G177" s="91">
        <f>F177*C177-F177*B177</f>
        <v>175</v>
      </c>
      <c r="H177" s="91">
        <v>85</v>
      </c>
      <c r="I177" s="91">
        <f>H177*C177-F177*B177</f>
        <v>2675</v>
      </c>
      <c r="J177" s="91">
        <v>5</v>
      </c>
      <c r="K177" s="91">
        <f>J177*C177-J177*B177</f>
        <v>25</v>
      </c>
      <c r="L177" s="91">
        <v>0</v>
      </c>
      <c r="M177" s="91">
        <f>L177*C177-L177*B177</f>
        <v>0</v>
      </c>
      <c r="N177" s="91">
        <v>0</v>
      </c>
      <c r="O177" s="91">
        <f>N177*C177-N177*B177</f>
        <v>0</v>
      </c>
      <c r="P177" s="91">
        <v>0</v>
      </c>
      <c r="Q177" s="91">
        <f>P177*C177-P177*B177</f>
        <v>0</v>
      </c>
      <c r="R177" s="91">
        <v>0</v>
      </c>
      <c r="S177" s="91">
        <f>R177*C177-R177*B177</f>
        <v>0</v>
      </c>
      <c r="T177" s="91">
        <f>SUM(P177,N177,L177,J177,H177,F177)</f>
        <v>125</v>
      </c>
      <c r="U177" s="91">
        <v>0</v>
      </c>
      <c r="V177" s="92">
        <v>93</v>
      </c>
      <c r="W177">
        <f t="shared" si="2"/>
        <v>525</v>
      </c>
    </row>
    <row r="178" spans="1:23" x14ac:dyDescent="0.3">
      <c r="A178" s="101">
        <v>15</v>
      </c>
      <c r="B178" s="90">
        <f>A178*3</f>
        <v>45</v>
      </c>
      <c r="C178" s="90">
        <v>48</v>
      </c>
      <c r="D178" s="90">
        <f>C178-B178</f>
        <v>3</v>
      </c>
      <c r="E178" s="90">
        <f>(CleanedDataset!$F176-CleanedDataset!$E176)/CleanedDataset!$F176</f>
        <v>0.75111111111111106</v>
      </c>
      <c r="F178" s="91">
        <v>54</v>
      </c>
      <c r="G178" s="91">
        <f>F178*C178-F178*B178</f>
        <v>162</v>
      </c>
      <c r="H178" s="91">
        <v>0</v>
      </c>
      <c r="I178" s="91">
        <f>H178*C178-F178*B178</f>
        <v>-2430</v>
      </c>
      <c r="J178" s="91">
        <v>0</v>
      </c>
      <c r="K178" s="91">
        <f>J178*C178-J178*B178</f>
        <v>0</v>
      </c>
      <c r="L178" s="91">
        <v>0</v>
      </c>
      <c r="M178" s="91">
        <f>L178*C178-L178*B178</f>
        <v>0</v>
      </c>
      <c r="N178" s="91">
        <v>0</v>
      </c>
      <c r="O178" s="91">
        <f>N178*C178-N178*B178</f>
        <v>0</v>
      </c>
      <c r="P178" s="91">
        <v>0</v>
      </c>
      <c r="Q178" s="91">
        <f>P178*C178-P178*B178</f>
        <v>0</v>
      </c>
      <c r="R178" s="91">
        <v>0</v>
      </c>
      <c r="S178" s="91">
        <f>R178*C178-R178*B178</f>
        <v>0</v>
      </c>
      <c r="T178" s="91">
        <f>SUM(P178,N178,L178,J178,H178,F178)</f>
        <v>54</v>
      </c>
      <c r="U178" s="91">
        <v>0</v>
      </c>
      <c r="V178" s="92">
        <v>100</v>
      </c>
      <c r="W178">
        <f t="shared" si="2"/>
        <v>810</v>
      </c>
    </row>
    <row r="179" spans="1:23" x14ac:dyDescent="0.3">
      <c r="A179" s="99">
        <v>15</v>
      </c>
      <c r="B179" s="95">
        <f>A179*3</f>
        <v>45</v>
      </c>
      <c r="C179" s="95">
        <v>45</v>
      </c>
      <c r="D179" s="95">
        <f>C179-B179</f>
        <v>0</v>
      </c>
      <c r="E179" s="95">
        <f>(CleanedDataset!$F183-CleanedDataset!$E183)/CleanedDataset!$F183</f>
        <v>0.7</v>
      </c>
      <c r="F179" s="96">
        <v>103</v>
      </c>
      <c r="G179" s="96">
        <f>F179*C179-F179*B179</f>
        <v>0</v>
      </c>
      <c r="H179" s="96">
        <v>77</v>
      </c>
      <c r="I179" s="96">
        <f>H179*C179-F179*B179</f>
        <v>-1170</v>
      </c>
      <c r="J179" s="96">
        <v>4</v>
      </c>
      <c r="K179" s="96">
        <f>J179*C179-J179*B179</f>
        <v>0</v>
      </c>
      <c r="L179" s="96">
        <v>0</v>
      </c>
      <c r="M179" s="96">
        <f>L179*C179-L179*B179</f>
        <v>0</v>
      </c>
      <c r="N179" s="96">
        <v>0</v>
      </c>
      <c r="O179" s="96">
        <f>N179*C179-N179*B179</f>
        <v>0</v>
      </c>
      <c r="P179" s="96">
        <v>0</v>
      </c>
      <c r="Q179" s="96">
        <f>P179*C179-P179*B179</f>
        <v>0</v>
      </c>
      <c r="R179" s="96">
        <v>0</v>
      </c>
      <c r="S179" s="96">
        <f>R179*C179-R179*B179</f>
        <v>0</v>
      </c>
      <c r="T179" s="96">
        <f>SUM(P179,N179,L179,J179,H179,F179)</f>
        <v>184</v>
      </c>
      <c r="U179" s="96">
        <v>0</v>
      </c>
      <c r="V179" s="97">
        <v>94</v>
      </c>
      <c r="W179">
        <f t="shared" si="2"/>
        <v>1545</v>
      </c>
    </row>
    <row r="180" spans="1:23" x14ac:dyDescent="0.3">
      <c r="A180" s="99">
        <v>15</v>
      </c>
      <c r="B180" s="95">
        <f>A180*3</f>
        <v>45</v>
      </c>
      <c r="C180" s="95">
        <v>50</v>
      </c>
      <c r="D180" s="95">
        <f>C180-B180</f>
        <v>5</v>
      </c>
      <c r="E180" s="95">
        <f>(CleanedDataset!$F197-CleanedDataset!$E197)/CleanedDataset!$F197</f>
        <v>0.7931034482758621</v>
      </c>
      <c r="F180" s="96">
        <v>235</v>
      </c>
      <c r="G180" s="96">
        <f>F180*C180-F180*B180</f>
        <v>1175</v>
      </c>
      <c r="H180" s="96">
        <v>55</v>
      </c>
      <c r="I180" s="96">
        <f>H180*C180-F180*B180</f>
        <v>-7825</v>
      </c>
      <c r="J180" s="96">
        <v>39</v>
      </c>
      <c r="K180" s="96">
        <f>J180*C180-J180*B180</f>
        <v>195</v>
      </c>
      <c r="L180" s="96">
        <v>0</v>
      </c>
      <c r="M180" s="96">
        <f>L180*C180-L180*B180</f>
        <v>0</v>
      </c>
      <c r="N180" s="96">
        <v>0</v>
      </c>
      <c r="O180" s="96">
        <f>N180*C180-N180*B180</f>
        <v>0</v>
      </c>
      <c r="P180" s="96">
        <v>0</v>
      </c>
      <c r="Q180" s="96">
        <f>P180*C180-P180*B180</f>
        <v>0</v>
      </c>
      <c r="R180" s="96">
        <v>0</v>
      </c>
      <c r="S180" s="96">
        <f>R180*C180-R180*B180</f>
        <v>0</v>
      </c>
      <c r="T180" s="96">
        <f>SUM(P180,N180,L180,J180,H180,F180)</f>
        <v>329</v>
      </c>
      <c r="U180" s="96">
        <v>0</v>
      </c>
      <c r="V180" s="97">
        <v>90</v>
      </c>
      <c r="W180">
        <f t="shared" si="2"/>
        <v>3525</v>
      </c>
    </row>
    <row r="181" spans="1:23" x14ac:dyDescent="0.3">
      <c r="A181" s="99">
        <v>12</v>
      </c>
      <c r="B181" s="95">
        <f>A181*3</f>
        <v>36</v>
      </c>
      <c r="C181" s="95">
        <v>79</v>
      </c>
      <c r="D181" s="95">
        <f>C181-B181</f>
        <v>43</v>
      </c>
      <c r="E181" s="95">
        <f>(CleanedDataset!$F175-CleanedDataset!$E175)/CleanedDataset!$F175</f>
        <v>0.78181818181818186</v>
      </c>
      <c r="F181" s="96">
        <v>35</v>
      </c>
      <c r="G181" s="96">
        <f>F181*C181-F181*B181</f>
        <v>1505</v>
      </c>
      <c r="H181" s="96">
        <v>35</v>
      </c>
      <c r="I181" s="96">
        <f>H181*C181-F181*B181</f>
        <v>1505</v>
      </c>
      <c r="J181" s="96">
        <v>5</v>
      </c>
      <c r="K181" s="96">
        <f>J181*C181-J181*B181</f>
        <v>215</v>
      </c>
      <c r="L181" s="96">
        <v>0</v>
      </c>
      <c r="M181" s="96">
        <f>L181*C181-L181*B181</f>
        <v>0</v>
      </c>
      <c r="N181" s="96">
        <v>0</v>
      </c>
      <c r="O181" s="96">
        <f>N181*C181-N181*B181</f>
        <v>0</v>
      </c>
      <c r="P181" s="96">
        <v>0</v>
      </c>
      <c r="Q181" s="96">
        <f>P181*C181-P181*B181</f>
        <v>0</v>
      </c>
      <c r="R181" s="96">
        <v>0</v>
      </c>
      <c r="S181" s="96">
        <f>R181*C181-R181*B181</f>
        <v>0</v>
      </c>
      <c r="T181" s="96">
        <f>SUM(P181,N181,L181,J181,H181,F181)</f>
        <v>75</v>
      </c>
      <c r="U181" s="96">
        <v>0</v>
      </c>
      <c r="V181" s="97">
        <v>92</v>
      </c>
      <c r="W181">
        <f t="shared" si="2"/>
        <v>420</v>
      </c>
    </row>
    <row r="182" spans="1:23" x14ac:dyDescent="0.3">
      <c r="A182" s="99">
        <v>10</v>
      </c>
      <c r="B182" s="95">
        <f>A182*3</f>
        <v>30</v>
      </c>
      <c r="C182" s="95">
        <v>73</v>
      </c>
      <c r="D182" s="95">
        <f>C182-B182</f>
        <v>43</v>
      </c>
      <c r="E182" s="95">
        <f>(CleanedDataset!$F179-CleanedDataset!$E179)/CleanedDataset!$F179</f>
        <v>0.7857142857142857</v>
      </c>
      <c r="F182" s="96">
        <v>70</v>
      </c>
      <c r="G182" s="96">
        <f>F182*C182-F182*B182</f>
        <v>3010</v>
      </c>
      <c r="H182" s="96">
        <v>7</v>
      </c>
      <c r="I182" s="96">
        <f>H182*C182-F182*B182</f>
        <v>-1589</v>
      </c>
      <c r="J182" s="96">
        <v>0</v>
      </c>
      <c r="K182" s="96">
        <f>J182*C182-J182*B182</f>
        <v>0</v>
      </c>
      <c r="L182" s="96">
        <v>0</v>
      </c>
      <c r="M182" s="96">
        <f>L182*C182-L182*B182</f>
        <v>0</v>
      </c>
      <c r="N182" s="96">
        <v>0</v>
      </c>
      <c r="O182" s="96">
        <f>N182*C182-N182*B182</f>
        <v>0</v>
      </c>
      <c r="P182" s="96">
        <v>0</v>
      </c>
      <c r="Q182" s="96">
        <f>P182*C182-P182*B182</f>
        <v>0</v>
      </c>
      <c r="R182" s="96">
        <v>0</v>
      </c>
      <c r="S182" s="96">
        <f>R182*C182-R182*B182</f>
        <v>0</v>
      </c>
      <c r="T182" s="96">
        <f>SUM(P182,N182,L182,J182,H182,F182)</f>
        <v>77</v>
      </c>
      <c r="U182" s="96">
        <v>0</v>
      </c>
      <c r="V182" s="97">
        <v>90</v>
      </c>
      <c r="W182">
        <f t="shared" si="2"/>
        <v>700</v>
      </c>
    </row>
    <row r="183" spans="1:23" x14ac:dyDescent="0.3">
      <c r="A183" s="101">
        <v>9</v>
      </c>
      <c r="B183" s="90">
        <f>A183*3</f>
        <v>27</v>
      </c>
      <c r="C183" s="90">
        <v>64</v>
      </c>
      <c r="D183" s="90">
        <f>C183-B183</f>
        <v>37</v>
      </c>
      <c r="E183" s="90">
        <f>(CleanedDataset!$F170-CleanedDataset!$E170)/CleanedDataset!$F170</f>
        <v>0.67333333333333334</v>
      </c>
      <c r="F183" s="91">
        <v>7</v>
      </c>
      <c r="G183" s="91">
        <f>F183*C183-F183*B183</f>
        <v>259</v>
      </c>
      <c r="H183" s="91">
        <v>25</v>
      </c>
      <c r="I183" s="91">
        <f>H183*C183-F183*B183</f>
        <v>1411</v>
      </c>
      <c r="J183" s="91">
        <v>25</v>
      </c>
      <c r="K183" s="91">
        <f>J183*C183-J183*B183</f>
        <v>925</v>
      </c>
      <c r="L183" s="91">
        <v>0</v>
      </c>
      <c r="M183" s="91">
        <f>L183*C183-L183*B183</f>
        <v>0</v>
      </c>
      <c r="N183" s="91">
        <v>0</v>
      </c>
      <c r="O183" s="91">
        <f>N183*C183-N183*B183</f>
        <v>0</v>
      </c>
      <c r="P183" s="91">
        <v>0</v>
      </c>
      <c r="Q183" s="91">
        <f>P183*C183-P183*B183</f>
        <v>0</v>
      </c>
      <c r="R183" s="91">
        <v>0</v>
      </c>
      <c r="S183" s="91">
        <f>R183*C183-R183*B183</f>
        <v>0</v>
      </c>
      <c r="T183" s="91">
        <f>SUM(P183,N183,L183,J183,H183,F183)</f>
        <v>57</v>
      </c>
      <c r="U183" s="91">
        <v>0</v>
      </c>
      <c r="V183" s="92">
        <v>99</v>
      </c>
      <c r="W183">
        <f t="shared" si="2"/>
        <v>63</v>
      </c>
    </row>
    <row r="184" spans="1:23" x14ac:dyDescent="0.3">
      <c r="A184" s="95">
        <v>20</v>
      </c>
      <c r="B184" s="95">
        <f>A184*2.8</f>
        <v>56</v>
      </c>
      <c r="C184" s="95">
        <v>150</v>
      </c>
      <c r="D184" s="95">
        <f>C184-B184</f>
        <v>94</v>
      </c>
      <c r="E184" s="95">
        <f>(CleanedDataset!$F47-CleanedDataset!$E47)/CleanedDataset!$F47</f>
        <v>0.64102564102564108</v>
      </c>
      <c r="F184" s="96">
        <v>230</v>
      </c>
      <c r="G184" s="96">
        <f>F184*C184-F184*B184</f>
        <v>21620</v>
      </c>
      <c r="H184" s="96">
        <v>215</v>
      </c>
      <c r="I184" s="96">
        <f>H184*C184-F184*B184</f>
        <v>19370</v>
      </c>
      <c r="J184" s="96">
        <v>150</v>
      </c>
      <c r="K184" s="96">
        <f>J184*C184-J184*B184</f>
        <v>14100</v>
      </c>
      <c r="L184" s="96">
        <v>20</v>
      </c>
      <c r="M184" s="96">
        <f>L184*C184-L184*B184</f>
        <v>1880</v>
      </c>
      <c r="N184" s="96">
        <v>80</v>
      </c>
      <c r="O184" s="96">
        <f>N184*C184-N184*B184</f>
        <v>7520</v>
      </c>
      <c r="P184" s="96">
        <v>40</v>
      </c>
      <c r="Q184" s="96">
        <f>P184*C184-P184*B184</f>
        <v>3760</v>
      </c>
      <c r="R184" s="96">
        <v>50</v>
      </c>
      <c r="S184" s="96">
        <f>R184*C184-R184*B184</f>
        <v>4700</v>
      </c>
      <c r="T184" s="96">
        <f>SUM(P184,N184,L184,J184,H184,F184)</f>
        <v>735</v>
      </c>
      <c r="U184" s="96">
        <v>0</v>
      </c>
      <c r="V184" s="97">
        <v>97</v>
      </c>
      <c r="W184">
        <f t="shared" si="2"/>
        <v>4600</v>
      </c>
    </row>
    <row r="185" spans="1:23" x14ac:dyDescent="0.3">
      <c r="A185" s="90">
        <v>45</v>
      </c>
      <c r="B185" s="90">
        <f>A185*2.8</f>
        <v>125.99999999999999</v>
      </c>
      <c r="C185" s="90">
        <v>300</v>
      </c>
      <c r="D185" s="90">
        <f>C185-B185</f>
        <v>174</v>
      </c>
      <c r="E185" s="90">
        <f>(CleanedDataset!$F20-CleanedDataset!$E20)/CleanedDataset!$F20</f>
        <v>0.7</v>
      </c>
      <c r="F185" s="91">
        <v>23</v>
      </c>
      <c r="G185" s="91">
        <f>F185*C185-F185*B185</f>
        <v>4002.0000000000005</v>
      </c>
      <c r="H185" s="91">
        <v>20</v>
      </c>
      <c r="I185" s="91">
        <f>H185*C185-F185*B185</f>
        <v>3102.0000000000005</v>
      </c>
      <c r="J185" s="91">
        <v>15</v>
      </c>
      <c r="K185" s="91">
        <f>J185*C185-J185*B185</f>
        <v>2610</v>
      </c>
      <c r="L185" s="91">
        <v>10</v>
      </c>
      <c r="M185" s="91">
        <f>L185*C185-L185*B185</f>
        <v>1740.0000000000002</v>
      </c>
      <c r="N185" s="91">
        <v>13</v>
      </c>
      <c r="O185" s="91">
        <f>N185*C185-N185*B185</f>
        <v>2262</v>
      </c>
      <c r="P185" s="91">
        <v>20</v>
      </c>
      <c r="Q185" s="91">
        <f>P185*C185-P185*B185</f>
        <v>3480.0000000000005</v>
      </c>
      <c r="R185" s="91">
        <v>15</v>
      </c>
      <c r="S185" s="91">
        <f>R185*C185-R185*B185</f>
        <v>2610</v>
      </c>
      <c r="T185" s="91">
        <f>SUM(P185,N185,L185,J185,H185,F185)</f>
        <v>101</v>
      </c>
      <c r="U185" s="91">
        <v>0</v>
      </c>
      <c r="V185" s="92">
        <v>98</v>
      </c>
      <c r="W185">
        <f t="shared" si="2"/>
        <v>1035</v>
      </c>
    </row>
    <row r="186" spans="1:23" x14ac:dyDescent="0.3">
      <c r="A186" s="95">
        <v>30</v>
      </c>
      <c r="B186" s="95">
        <f>A186*2.8</f>
        <v>84</v>
      </c>
      <c r="C186" s="95">
        <v>250</v>
      </c>
      <c r="D186" s="95">
        <f>C186-B186</f>
        <v>166</v>
      </c>
      <c r="E186" s="95">
        <f>(CleanedDataset!$F17-CleanedDataset!$E17)/CleanedDataset!$F17</f>
        <v>0.70285714285714285</v>
      </c>
      <c r="F186" s="96">
        <v>15</v>
      </c>
      <c r="G186" s="96">
        <f>F186*C186-F186*B186</f>
        <v>2490</v>
      </c>
      <c r="H186" s="96">
        <v>17</v>
      </c>
      <c r="I186" s="96">
        <f>H186*C186-F186*B186</f>
        <v>2990</v>
      </c>
      <c r="J186" s="96">
        <v>15</v>
      </c>
      <c r="K186" s="96">
        <f>J186*C186-J186*B186</f>
        <v>2490</v>
      </c>
      <c r="L186" s="96">
        <v>20</v>
      </c>
      <c r="M186" s="96">
        <f>L186*C186-L186*B186</f>
        <v>3320</v>
      </c>
      <c r="N186" s="96">
        <v>35</v>
      </c>
      <c r="O186" s="96">
        <f>N186*C186-N186*B186</f>
        <v>5810</v>
      </c>
      <c r="P186" s="96">
        <v>24</v>
      </c>
      <c r="Q186" s="96">
        <f>P186*C186-P186*B186</f>
        <v>3984</v>
      </c>
      <c r="R186" s="96">
        <v>15</v>
      </c>
      <c r="S186" s="96">
        <f>R186*C186-R186*B186</f>
        <v>2490</v>
      </c>
      <c r="T186" s="96">
        <f>SUM(P186,N186,L186,J186,H186,F186)</f>
        <v>126</v>
      </c>
      <c r="U186" s="96">
        <v>0</v>
      </c>
      <c r="V186" s="97">
        <v>90</v>
      </c>
      <c r="W186">
        <f t="shared" si="2"/>
        <v>450</v>
      </c>
    </row>
    <row r="187" spans="1:23" x14ac:dyDescent="0.3">
      <c r="A187" s="95">
        <v>30</v>
      </c>
      <c r="B187" s="95">
        <f>A187*2.8</f>
        <v>84</v>
      </c>
      <c r="C187" s="95">
        <v>200</v>
      </c>
      <c r="D187" s="95">
        <f>C187-B187</f>
        <v>116</v>
      </c>
      <c r="E187" s="95">
        <f>(CleanedDataset!$F19-CleanedDataset!$E19)/CleanedDataset!$F19</f>
        <v>0.70285714285714285</v>
      </c>
      <c r="F187" s="96">
        <v>20</v>
      </c>
      <c r="G187" s="96">
        <f>F187*C187-F187*B187</f>
        <v>2320</v>
      </c>
      <c r="H187" s="96">
        <v>25</v>
      </c>
      <c r="I187" s="96">
        <f>H187*C187-F187*B187</f>
        <v>3320</v>
      </c>
      <c r="J187" s="96">
        <v>60</v>
      </c>
      <c r="K187" s="96">
        <f>J187*C187-J187*B187</f>
        <v>6960</v>
      </c>
      <c r="L187" s="96">
        <v>45</v>
      </c>
      <c r="M187" s="96">
        <f>L187*C187-L187*B187</f>
        <v>5220</v>
      </c>
      <c r="N187" s="96">
        <v>55</v>
      </c>
      <c r="O187" s="96">
        <f>N187*C187-N187*B187</f>
        <v>6380</v>
      </c>
      <c r="P187" s="96">
        <v>130</v>
      </c>
      <c r="Q187" s="96">
        <f>P187*C187-P187*B187</f>
        <v>15080</v>
      </c>
      <c r="R187" s="96">
        <v>0</v>
      </c>
      <c r="S187" s="96">
        <f>R187*C187-R187*B187</f>
        <v>0</v>
      </c>
      <c r="T187" s="96">
        <f>SUM(P187,N187,L187,J187,H187,F187)</f>
        <v>335</v>
      </c>
      <c r="U187" s="96">
        <v>0</v>
      </c>
      <c r="V187" s="97">
        <v>91</v>
      </c>
      <c r="W187">
        <f t="shared" si="2"/>
        <v>600</v>
      </c>
    </row>
    <row r="188" spans="1:23" x14ac:dyDescent="0.3">
      <c r="A188" s="95">
        <v>8</v>
      </c>
      <c r="B188" s="95">
        <f>A188*2.8</f>
        <v>22.4</v>
      </c>
      <c r="C188" s="95">
        <v>125</v>
      </c>
      <c r="D188" s="95">
        <f>C188-B188</f>
        <v>102.6</v>
      </c>
      <c r="E188" s="95">
        <f>(CleanedDataset!$F31-CleanedDataset!$E31)/CleanedDataset!$F31</f>
        <v>0.66666666666666663</v>
      </c>
      <c r="F188" s="96">
        <v>45</v>
      </c>
      <c r="G188" s="96">
        <f>F188*C188-F188*B188</f>
        <v>4617</v>
      </c>
      <c r="H188" s="96">
        <v>50</v>
      </c>
      <c r="I188" s="96">
        <f>H188*C188-F188*B188</f>
        <v>5242</v>
      </c>
      <c r="J188" s="96">
        <v>80</v>
      </c>
      <c r="K188" s="96">
        <f>J188*C188-J188*B188</f>
        <v>8208</v>
      </c>
      <c r="L188" s="96">
        <v>50</v>
      </c>
      <c r="M188" s="96">
        <f>L188*C188-L188*B188</f>
        <v>5130</v>
      </c>
      <c r="N188" s="96">
        <v>120</v>
      </c>
      <c r="O188" s="96">
        <f>N188*C188-N188*B188</f>
        <v>12312</v>
      </c>
      <c r="P188" s="96">
        <v>103</v>
      </c>
      <c r="Q188" s="96">
        <f>P188*C188-P188*B188</f>
        <v>10567.8</v>
      </c>
      <c r="R188" s="96">
        <v>69</v>
      </c>
      <c r="S188" s="96">
        <f>R188*C188-R188*B188</f>
        <v>7079.4</v>
      </c>
      <c r="T188" s="96">
        <f>SUM(P188,N188,L188,J188,H188,F188)</f>
        <v>448</v>
      </c>
      <c r="U188" s="96">
        <v>0</v>
      </c>
      <c r="V188" s="97">
        <v>100</v>
      </c>
      <c r="W188">
        <f t="shared" si="2"/>
        <v>360</v>
      </c>
    </row>
    <row r="189" spans="1:23" x14ac:dyDescent="0.3">
      <c r="A189" s="95">
        <v>30</v>
      </c>
      <c r="B189" s="95">
        <f>A189*2.8</f>
        <v>84</v>
      </c>
      <c r="C189" s="95">
        <v>280</v>
      </c>
      <c r="D189" s="95">
        <f>C189-B189</f>
        <v>196</v>
      </c>
      <c r="E189" s="95">
        <f>(CleanedDataset!$F23-CleanedDataset!$E23)/CleanedDataset!$F23</f>
        <v>0.4</v>
      </c>
      <c r="F189" s="96">
        <v>35</v>
      </c>
      <c r="G189" s="96">
        <f>F189*C189-F189*B189</f>
        <v>6860</v>
      </c>
      <c r="H189" s="96">
        <v>55</v>
      </c>
      <c r="I189" s="96">
        <f>H189*C189-F189*B189</f>
        <v>12460</v>
      </c>
      <c r="J189" s="96">
        <v>2</v>
      </c>
      <c r="K189" s="96">
        <f>J189*C189-J189*B189</f>
        <v>392</v>
      </c>
      <c r="L189" s="96">
        <v>10</v>
      </c>
      <c r="M189" s="96">
        <f>L189*C189-L189*B189</f>
        <v>1960</v>
      </c>
      <c r="N189" s="96">
        <v>62</v>
      </c>
      <c r="O189" s="96">
        <f>N189*C189-N189*B189</f>
        <v>12152</v>
      </c>
      <c r="P189" s="96">
        <v>57</v>
      </c>
      <c r="Q189" s="96">
        <f>P189*C189-P189*B189</f>
        <v>11172</v>
      </c>
      <c r="R189" s="96">
        <v>315</v>
      </c>
      <c r="S189" s="96">
        <f>R189*C189-R189*B189</f>
        <v>61740</v>
      </c>
      <c r="T189" s="96">
        <f>SUM(P189,N189,L189,J189,H189,F189)</f>
        <v>221</v>
      </c>
      <c r="U189" s="96">
        <v>0</v>
      </c>
      <c r="V189" s="97">
        <v>92</v>
      </c>
      <c r="W189">
        <f t="shared" si="2"/>
        <v>1050</v>
      </c>
    </row>
    <row r="190" spans="1:23" x14ac:dyDescent="0.3">
      <c r="A190" s="90">
        <v>40</v>
      </c>
      <c r="B190" s="90">
        <f>A190*2.8</f>
        <v>112</v>
      </c>
      <c r="C190" s="90">
        <v>450</v>
      </c>
      <c r="D190" s="90">
        <f>C190-B190</f>
        <v>338</v>
      </c>
      <c r="E190" s="90">
        <f>(CleanedDataset!$F54-CleanedDataset!$E54)/CleanedDataset!$F54</f>
        <v>0.67919799498746869</v>
      </c>
      <c r="F190" s="91">
        <v>487</v>
      </c>
      <c r="G190" s="91">
        <f>F190*C190-F190*B190</f>
        <v>164606</v>
      </c>
      <c r="H190" s="91">
        <v>450</v>
      </c>
      <c r="I190" s="91">
        <f>H190*C190-F190*B190</f>
        <v>147956</v>
      </c>
      <c r="J190" s="91">
        <v>954</v>
      </c>
      <c r="K190" s="91">
        <f>J190*C190-J190*B190</f>
        <v>322452</v>
      </c>
      <c r="L190" s="91">
        <v>25</v>
      </c>
      <c r="M190" s="91">
        <f>L190*C190-L190*B190</f>
        <v>8450</v>
      </c>
      <c r="N190" s="91">
        <v>0</v>
      </c>
      <c r="O190" s="91">
        <f>N190*C190-N190*B190</f>
        <v>0</v>
      </c>
      <c r="P190" s="91">
        <v>0</v>
      </c>
      <c r="Q190" s="91">
        <f>P190*C190-P190*B190</f>
        <v>0</v>
      </c>
      <c r="R190" s="91">
        <v>0</v>
      </c>
      <c r="S190" s="91">
        <f>R190*C190-R190*B190</f>
        <v>0</v>
      </c>
      <c r="T190" s="91">
        <f>SUM(P190,N190,L190,J190,H190,F190)</f>
        <v>1916</v>
      </c>
      <c r="U190" s="91">
        <v>0</v>
      </c>
      <c r="V190" s="92">
        <v>90</v>
      </c>
      <c r="W190">
        <f t="shared" si="2"/>
        <v>19480</v>
      </c>
    </row>
    <row r="191" spans="1:23" x14ac:dyDescent="0.3">
      <c r="A191" s="95">
        <v>30</v>
      </c>
      <c r="B191" s="95">
        <f>A191*2.8</f>
        <v>84</v>
      </c>
      <c r="C191" s="95">
        <v>280</v>
      </c>
      <c r="D191" s="95">
        <f>C191-B191</f>
        <v>196</v>
      </c>
      <c r="E191" s="95">
        <f>(CleanedDataset!$F13-CleanedDataset!$E13)/CleanedDataset!$F13</f>
        <v>0.71382113821138216</v>
      </c>
      <c r="F191" s="96">
        <v>12</v>
      </c>
      <c r="G191" s="96">
        <f>F191*C191-F191*B191</f>
        <v>2352</v>
      </c>
      <c r="H191" s="96">
        <v>12</v>
      </c>
      <c r="I191" s="96">
        <f>H191*C191-F191*B191</f>
        <v>2352</v>
      </c>
      <c r="J191" s="96">
        <v>9</v>
      </c>
      <c r="K191" s="96">
        <f>J191*C191-J191*B191</f>
        <v>1764</v>
      </c>
      <c r="L191" s="96">
        <v>10</v>
      </c>
      <c r="M191" s="96">
        <f>L191*C191-L191*B191</f>
        <v>1960</v>
      </c>
      <c r="N191" s="96">
        <v>13</v>
      </c>
      <c r="O191" s="96">
        <f>N191*C191-N191*B191</f>
        <v>2548</v>
      </c>
      <c r="P191" s="96">
        <v>13</v>
      </c>
      <c r="Q191" s="96">
        <f>P191*C191-P191*B191</f>
        <v>2548</v>
      </c>
      <c r="R191" s="96">
        <v>15</v>
      </c>
      <c r="S191" s="96">
        <f>R191*C191-R191*B191</f>
        <v>2940</v>
      </c>
      <c r="T191" s="96">
        <f>SUM(P191,N191,L191,J191,H191,F191)</f>
        <v>69</v>
      </c>
      <c r="U191" s="96">
        <v>0</v>
      </c>
      <c r="V191" s="97">
        <v>93</v>
      </c>
      <c r="W191">
        <f t="shared" si="2"/>
        <v>360</v>
      </c>
    </row>
    <row r="192" spans="1:23" x14ac:dyDescent="0.3">
      <c r="A192" s="90">
        <v>30</v>
      </c>
      <c r="B192" s="90">
        <f>A192*2.8</f>
        <v>84</v>
      </c>
      <c r="C192" s="90">
        <v>250</v>
      </c>
      <c r="D192" s="90">
        <f>C192-B192</f>
        <v>166</v>
      </c>
      <c r="E192" s="90">
        <f>(CleanedDataset!$F38-CleanedDataset!$E38)/CleanedDataset!$F38</f>
        <v>0.66400000000000003</v>
      </c>
      <c r="F192" s="91">
        <v>70</v>
      </c>
      <c r="G192" s="91">
        <f>F192*C192-F192*B192</f>
        <v>11620</v>
      </c>
      <c r="H192" s="91">
        <v>55</v>
      </c>
      <c r="I192" s="91">
        <f>H192*C192-F192*B192</f>
        <v>7870</v>
      </c>
      <c r="J192" s="91">
        <v>30</v>
      </c>
      <c r="K192" s="91">
        <f>J192*C192-J192*B192</f>
        <v>4980</v>
      </c>
      <c r="L192" s="91">
        <v>55</v>
      </c>
      <c r="M192" s="91">
        <f>L192*C192-L192*B192</f>
        <v>9130</v>
      </c>
      <c r="N192" s="91">
        <v>168</v>
      </c>
      <c r="O192" s="91">
        <f>N192*C192-N192*B192</f>
        <v>27888</v>
      </c>
      <c r="P192" s="91">
        <v>213</v>
      </c>
      <c r="Q192" s="91">
        <f>P192*C192-P192*B192</f>
        <v>35358</v>
      </c>
      <c r="R192" s="91">
        <v>230</v>
      </c>
      <c r="S192" s="91">
        <f>R192*C192-R192*B192</f>
        <v>38180</v>
      </c>
      <c r="T192" s="91">
        <f>SUM(P192,N192,L192,J192,H192,F192)</f>
        <v>591</v>
      </c>
      <c r="U192" s="91">
        <v>0</v>
      </c>
      <c r="V192" s="92">
        <v>90</v>
      </c>
      <c r="W192">
        <f t="shared" si="2"/>
        <v>2100</v>
      </c>
    </row>
    <row r="193" spans="1:23" x14ac:dyDescent="0.3">
      <c r="A193" s="90">
        <v>7</v>
      </c>
      <c r="B193" s="90">
        <f>A193*2.8</f>
        <v>19.599999999999998</v>
      </c>
      <c r="C193" s="90">
        <v>120</v>
      </c>
      <c r="D193" s="90">
        <f>C193-B193</f>
        <v>100.4</v>
      </c>
      <c r="E193" s="90">
        <f>(CleanedDataset!$F12-CleanedDataset!$E12)/CleanedDataset!$F12</f>
        <v>0.6080000000000001</v>
      </c>
      <c r="F193" s="91">
        <v>10</v>
      </c>
      <c r="G193" s="91">
        <f>F193*C193-F193*B193</f>
        <v>1004</v>
      </c>
      <c r="H193" s="91">
        <v>0</v>
      </c>
      <c r="I193" s="91">
        <f>H193*C193-F193*B193</f>
        <v>-195.99999999999997</v>
      </c>
      <c r="J193" s="91">
        <v>0</v>
      </c>
      <c r="K193" s="91">
        <f>J193*C193-J193*B193</f>
        <v>0</v>
      </c>
      <c r="L193" s="91">
        <v>0</v>
      </c>
      <c r="M193" s="91">
        <f>L193*C193-L193*B193</f>
        <v>0</v>
      </c>
      <c r="N193" s="91">
        <v>0</v>
      </c>
      <c r="O193" s="91">
        <f>N193*C193-N193*B193</f>
        <v>0</v>
      </c>
      <c r="P193" s="91">
        <v>0</v>
      </c>
      <c r="Q193" s="91">
        <f>P193*C193-P193*B193</f>
        <v>0</v>
      </c>
      <c r="R193" s="91">
        <v>0</v>
      </c>
      <c r="S193" s="91">
        <f>R193*C193-R193*B193</f>
        <v>0</v>
      </c>
      <c r="T193" s="91">
        <f>SUM(P193,N193,L193,J193,H193,F193)</f>
        <v>10</v>
      </c>
      <c r="U193" s="91">
        <v>0</v>
      </c>
      <c r="V193" s="92">
        <v>98</v>
      </c>
      <c r="W193">
        <f t="shared" si="2"/>
        <v>70</v>
      </c>
    </row>
    <row r="194" spans="1:23" x14ac:dyDescent="0.3">
      <c r="A194" s="90">
        <v>30</v>
      </c>
      <c r="B194" s="90">
        <f>A194*2.8</f>
        <v>84</v>
      </c>
      <c r="C194" s="90">
        <v>250</v>
      </c>
      <c r="D194" s="90">
        <f>C194-B194</f>
        <v>166</v>
      </c>
      <c r="E194" s="90">
        <f>(CleanedDataset!$F16-CleanedDataset!$E16)/CleanedDataset!$F16</f>
        <v>0.7094339622641509</v>
      </c>
      <c r="F194" s="91">
        <v>15</v>
      </c>
      <c r="G194" s="91">
        <f>F194*C194-F194*B194</f>
        <v>2490</v>
      </c>
      <c r="H194" s="91">
        <v>10</v>
      </c>
      <c r="I194" s="91">
        <f>H194*C194-F194*B194</f>
        <v>1240</v>
      </c>
      <c r="J194" s="91">
        <v>8</v>
      </c>
      <c r="K194" s="91">
        <f>J194*C194-J194*B194</f>
        <v>1328</v>
      </c>
      <c r="L194" s="91">
        <v>10</v>
      </c>
      <c r="M194" s="91">
        <f>L194*C194-L194*B194</f>
        <v>1660</v>
      </c>
      <c r="N194" s="91">
        <v>25</v>
      </c>
      <c r="O194" s="91">
        <f>N194*C194-N194*B194</f>
        <v>4150</v>
      </c>
      <c r="P194" s="91">
        <v>10</v>
      </c>
      <c r="Q194" s="91">
        <f>P194*C194-P194*B194</f>
        <v>1660</v>
      </c>
      <c r="R194" s="91">
        <v>3</v>
      </c>
      <c r="S194" s="91">
        <f>R194*C194-R194*B194</f>
        <v>498</v>
      </c>
      <c r="T194" s="91">
        <f>SUM(P194,N194,L194,J194,H194,F194)</f>
        <v>78</v>
      </c>
      <c r="U194" s="91">
        <v>0</v>
      </c>
      <c r="V194" s="92">
        <v>96</v>
      </c>
      <c r="W194">
        <f t="shared" si="2"/>
        <v>450</v>
      </c>
    </row>
    <row r="195" spans="1:23" x14ac:dyDescent="0.3">
      <c r="A195" s="95">
        <v>5</v>
      </c>
      <c r="B195" s="95">
        <f>A195*2.8</f>
        <v>14</v>
      </c>
      <c r="C195" s="95">
        <v>100</v>
      </c>
      <c r="D195" s="95">
        <f>C195-B195</f>
        <v>86</v>
      </c>
      <c r="E195" s="95">
        <f>(CleanedDataset!$F9-CleanedDataset!$E9)/CleanedDataset!$F9</f>
        <v>0.64</v>
      </c>
      <c r="F195" s="96">
        <v>5</v>
      </c>
      <c r="G195" s="96">
        <f>F195*C195-F195*B195</f>
        <v>430</v>
      </c>
      <c r="H195" s="96">
        <v>7</v>
      </c>
      <c r="I195" s="96">
        <f>H195*C195-F195*B195</f>
        <v>630</v>
      </c>
      <c r="J195" s="96">
        <v>3</v>
      </c>
      <c r="K195" s="96">
        <f>J195*C195-J195*B195</f>
        <v>258</v>
      </c>
      <c r="L195" s="96">
        <v>8</v>
      </c>
      <c r="M195" s="96">
        <f>L195*C195-L195*B195</f>
        <v>688</v>
      </c>
      <c r="N195" s="96">
        <v>0</v>
      </c>
      <c r="O195" s="96">
        <f>N195*C195-N195*B195</f>
        <v>0</v>
      </c>
      <c r="P195" s="96">
        <v>0</v>
      </c>
      <c r="Q195" s="96">
        <f>P195*C195-P195*B195</f>
        <v>0</v>
      </c>
      <c r="R195" s="96">
        <v>0</v>
      </c>
      <c r="S195" s="96">
        <f>R195*C195-R195*B195</f>
        <v>0</v>
      </c>
      <c r="T195" s="96">
        <f>SUM(P195,N195,L195,J195,H195,F195)</f>
        <v>23</v>
      </c>
      <c r="U195" s="96">
        <v>0</v>
      </c>
      <c r="V195" s="97">
        <v>91</v>
      </c>
      <c r="W195">
        <f t="shared" ref="W195:W203" si="3">A195*F195</f>
        <v>25</v>
      </c>
    </row>
    <row r="196" spans="1:23" x14ac:dyDescent="0.3">
      <c r="A196" s="90">
        <v>6</v>
      </c>
      <c r="B196" s="90">
        <f>A196*2.8</f>
        <v>16.799999999999997</v>
      </c>
      <c r="C196" s="90">
        <v>130</v>
      </c>
      <c r="D196" s="90">
        <f>C196-B196</f>
        <v>113.2</v>
      </c>
      <c r="E196" s="90">
        <f>(CleanedDataset!$F40-CleanedDataset!$E40)/CleanedDataset!$F40</f>
        <v>0.61818181818181817</v>
      </c>
      <c r="F196" s="91">
        <v>85</v>
      </c>
      <c r="G196" s="91">
        <f>F196*C196-F196*B196</f>
        <v>9622</v>
      </c>
      <c r="H196" s="91">
        <v>34</v>
      </c>
      <c r="I196" s="91">
        <f>H196*C196-F196*B196</f>
        <v>2992</v>
      </c>
      <c r="J196" s="91">
        <v>33</v>
      </c>
      <c r="K196" s="91">
        <f>J196*C196-J196*B196</f>
        <v>3735.6000000000004</v>
      </c>
      <c r="L196" s="91">
        <v>10</v>
      </c>
      <c r="M196" s="91">
        <f>L196*C196-L196*B196</f>
        <v>1132</v>
      </c>
      <c r="N196" s="91">
        <v>0</v>
      </c>
      <c r="O196" s="91">
        <f>N196*C196-N196*B196</f>
        <v>0</v>
      </c>
      <c r="P196" s="91">
        <v>0</v>
      </c>
      <c r="Q196" s="91">
        <f>P196*C196-P196*B196</f>
        <v>0</v>
      </c>
      <c r="R196" s="91">
        <v>0</v>
      </c>
      <c r="S196" s="91">
        <f>R196*C196-R196*B196</f>
        <v>0</v>
      </c>
      <c r="T196" s="91">
        <f>SUM(P196,N196,L196,J196,H196,F196)</f>
        <v>162</v>
      </c>
      <c r="U196" s="91">
        <v>0</v>
      </c>
      <c r="V196" s="92">
        <v>92</v>
      </c>
      <c r="W196">
        <f t="shared" si="3"/>
        <v>510</v>
      </c>
    </row>
    <row r="197" spans="1:23" x14ac:dyDescent="0.3">
      <c r="A197" s="95">
        <v>25</v>
      </c>
      <c r="B197" s="95">
        <f>A197*2.8</f>
        <v>70</v>
      </c>
      <c r="C197" s="95">
        <v>99</v>
      </c>
      <c r="D197" s="95">
        <f>C197-B197</f>
        <v>29</v>
      </c>
      <c r="E197" s="95">
        <f>(CleanedDataset!$F37-CleanedDataset!$E37)/CleanedDataset!$F37</f>
        <v>0.75</v>
      </c>
      <c r="F197" s="96">
        <v>65</v>
      </c>
      <c r="G197" s="96">
        <f>F197*C197-F197*B197</f>
        <v>1885</v>
      </c>
      <c r="H197" s="96">
        <v>50</v>
      </c>
      <c r="I197" s="96">
        <f>H197*C197-F197*B197</f>
        <v>400</v>
      </c>
      <c r="J197" s="96">
        <v>95</v>
      </c>
      <c r="K197" s="96">
        <f>J197*C197-J197*B197</f>
        <v>2755</v>
      </c>
      <c r="L197" s="96">
        <v>89</v>
      </c>
      <c r="M197" s="96">
        <f>L197*C197-L197*B197</f>
        <v>2581</v>
      </c>
      <c r="N197" s="96">
        <v>66</v>
      </c>
      <c r="O197" s="96">
        <f>N197*C197-N197*B197</f>
        <v>1914</v>
      </c>
      <c r="P197" s="96">
        <v>30</v>
      </c>
      <c r="Q197" s="96">
        <f>P197*C197-P197*B197</f>
        <v>870</v>
      </c>
      <c r="R197" s="96">
        <v>0</v>
      </c>
      <c r="S197" s="96">
        <f>R197*C197-R197*B197</f>
        <v>0</v>
      </c>
      <c r="T197" s="96">
        <f>SUM(P197,N197,L197,J197,H197,F197)</f>
        <v>395</v>
      </c>
      <c r="U197" s="96">
        <v>0</v>
      </c>
      <c r="V197" s="97">
        <v>93</v>
      </c>
      <c r="W197">
        <f t="shared" si="3"/>
        <v>1625</v>
      </c>
    </row>
    <row r="198" spans="1:23" x14ac:dyDescent="0.3">
      <c r="A198" s="95">
        <v>25</v>
      </c>
      <c r="B198" s="95">
        <f>A198*2.8</f>
        <v>70</v>
      </c>
      <c r="C198" s="95">
        <v>180</v>
      </c>
      <c r="D198" s="95">
        <f>C198-B198</f>
        <v>110</v>
      </c>
      <c r="E198" s="95">
        <f>(CleanedDataset!$F27-CleanedDataset!$E27)/CleanedDataset!$F27</f>
        <v>0.34666666666666673</v>
      </c>
      <c r="F198" s="96">
        <v>40</v>
      </c>
      <c r="G198" s="96">
        <f>F198*C198-F198*B198</f>
        <v>4400</v>
      </c>
      <c r="H198" s="96">
        <v>30</v>
      </c>
      <c r="I198" s="96">
        <f>H198*C198-F198*B198</f>
        <v>2600</v>
      </c>
      <c r="J198" s="96">
        <v>0</v>
      </c>
      <c r="K198" s="96">
        <f>J198*C198-J198*B198</f>
        <v>0</v>
      </c>
      <c r="L198" s="96">
        <v>0</v>
      </c>
      <c r="M198" s="96">
        <f>L198*C198-L198*B198</f>
        <v>0</v>
      </c>
      <c r="N198" s="96">
        <v>0</v>
      </c>
      <c r="O198" s="96">
        <f>N198*C198-N198*B198</f>
        <v>0</v>
      </c>
      <c r="P198" s="96">
        <v>0</v>
      </c>
      <c r="Q198" s="96">
        <f>P198*C198-P198*B198</f>
        <v>0</v>
      </c>
      <c r="R198" s="96">
        <v>0</v>
      </c>
      <c r="S198" s="96">
        <f>R198*C198-R198*B198</f>
        <v>0</v>
      </c>
      <c r="T198" s="96">
        <f>SUM(P198,N198,L198,J198,H198,F198)</f>
        <v>70</v>
      </c>
      <c r="U198" s="96">
        <v>0</v>
      </c>
      <c r="V198" s="97">
        <v>91</v>
      </c>
      <c r="W198">
        <f t="shared" si="3"/>
        <v>1000</v>
      </c>
    </row>
    <row r="199" spans="1:23" x14ac:dyDescent="0.3">
      <c r="A199" s="90">
        <v>10</v>
      </c>
      <c r="B199" s="90">
        <f>A199*2.8</f>
        <v>28</v>
      </c>
      <c r="C199" s="90">
        <v>55</v>
      </c>
      <c r="D199" s="90">
        <f>C199-B199</f>
        <v>27</v>
      </c>
      <c r="E199" s="90">
        <f>(CleanedDataset!$F46-CleanedDataset!$E46)/CleanedDataset!$F46</f>
        <v>0.69387755102040816</v>
      </c>
      <c r="F199" s="91">
        <v>200</v>
      </c>
      <c r="G199" s="91">
        <f>F199*C199-F199*B199</f>
        <v>5400</v>
      </c>
      <c r="H199" s="91">
        <v>233</v>
      </c>
      <c r="I199" s="91">
        <f>H199*C199-F199*B199</f>
        <v>7215</v>
      </c>
      <c r="J199" s="91">
        <v>150</v>
      </c>
      <c r="K199" s="91">
        <f>J199*C199-J199*B199</f>
        <v>4050</v>
      </c>
      <c r="L199" s="91">
        <v>200</v>
      </c>
      <c r="M199" s="91">
        <f>L199*C199-L199*B199</f>
        <v>5400</v>
      </c>
      <c r="N199" s="91">
        <v>148</v>
      </c>
      <c r="O199" s="91">
        <f>N199*C199-N199*B199</f>
        <v>3996</v>
      </c>
      <c r="P199" s="91">
        <v>150</v>
      </c>
      <c r="Q199" s="91">
        <f>P199*C199-P199*B199</f>
        <v>4050</v>
      </c>
      <c r="R199" s="91">
        <v>170</v>
      </c>
      <c r="S199" s="91">
        <f>R199*C199-R199*B199</f>
        <v>4590</v>
      </c>
      <c r="T199" s="91">
        <f>SUM(P199,N199,L199,J199,H199,F199)</f>
        <v>1081</v>
      </c>
      <c r="U199" s="91">
        <v>0</v>
      </c>
      <c r="V199" s="92">
        <v>96</v>
      </c>
      <c r="W199">
        <f t="shared" si="3"/>
        <v>2000</v>
      </c>
    </row>
    <row r="200" spans="1:23" x14ac:dyDescent="0.3">
      <c r="A200" s="90">
        <v>35</v>
      </c>
      <c r="B200" s="90">
        <f>A200*2.8</f>
        <v>98</v>
      </c>
      <c r="C200" s="90">
        <v>300</v>
      </c>
      <c r="D200" s="90">
        <f>C200-B200</f>
        <v>202</v>
      </c>
      <c r="E200" s="90">
        <f>(CleanedDataset!$F18-CleanedDataset!$E18)/CleanedDataset!$F18</f>
        <v>0.70285714285714285</v>
      </c>
      <c r="F200" s="91">
        <v>19</v>
      </c>
      <c r="G200" s="91">
        <f>F200*C200-F200*B200</f>
        <v>3838</v>
      </c>
      <c r="H200" s="91">
        <v>41</v>
      </c>
      <c r="I200" s="91">
        <f>H200*C200-F200*B200</f>
        <v>10438</v>
      </c>
      <c r="J200" s="91">
        <v>40</v>
      </c>
      <c r="K200" s="91">
        <f>J200*C200-J200*B200</f>
        <v>8080</v>
      </c>
      <c r="L200" s="91">
        <v>23</v>
      </c>
      <c r="M200" s="91">
        <f>L200*C200-L200*B200</f>
        <v>4646</v>
      </c>
      <c r="N200" s="91">
        <v>70</v>
      </c>
      <c r="O200" s="91">
        <f>N200*C200-N200*B200</f>
        <v>14140</v>
      </c>
      <c r="P200" s="91">
        <v>22</v>
      </c>
      <c r="Q200" s="91">
        <f>P200*C200-P200*B200</f>
        <v>4444</v>
      </c>
      <c r="R200" s="91">
        <v>25</v>
      </c>
      <c r="S200" s="91">
        <f>R200*C200-R200*B200</f>
        <v>5050</v>
      </c>
      <c r="T200" s="91">
        <f>SUM(P200,N200,L200,J200,H200,F200)</f>
        <v>215</v>
      </c>
      <c r="U200" s="91">
        <v>0</v>
      </c>
      <c r="V200" s="92">
        <v>97</v>
      </c>
      <c r="W200">
        <f t="shared" si="3"/>
        <v>665</v>
      </c>
    </row>
    <row r="201" spans="1:23" x14ac:dyDescent="0.3">
      <c r="A201" s="90">
        <v>12</v>
      </c>
      <c r="B201" s="90">
        <f>A201*2.8</f>
        <v>33.599999999999994</v>
      </c>
      <c r="C201" s="90">
        <v>75</v>
      </c>
      <c r="D201" s="90">
        <f>C201-B201</f>
        <v>41.400000000000006</v>
      </c>
      <c r="E201" s="90">
        <f>(CleanedDataset!$F50-CleanedDataset!$E50)/CleanedDataset!$F50</f>
        <v>0.73417721518987344</v>
      </c>
      <c r="F201" s="91">
        <v>315</v>
      </c>
      <c r="G201" s="91">
        <f>F201*C201-F201*B201</f>
        <v>13041.000000000002</v>
      </c>
      <c r="H201" s="91">
        <v>467</v>
      </c>
      <c r="I201" s="91">
        <f>H201*C201-F201*B201</f>
        <v>24441</v>
      </c>
      <c r="J201" s="91">
        <v>580</v>
      </c>
      <c r="K201" s="91">
        <f>J201*C201-J201*B201</f>
        <v>24012.000000000004</v>
      </c>
      <c r="L201" s="91">
        <v>443</v>
      </c>
      <c r="M201" s="91">
        <f>L201*C201-L201*B201</f>
        <v>18340.200000000004</v>
      </c>
      <c r="N201" s="91">
        <v>521</v>
      </c>
      <c r="O201" s="91">
        <f>N201*C201-N201*B201</f>
        <v>21569.4</v>
      </c>
      <c r="P201" s="91">
        <v>342</v>
      </c>
      <c r="Q201" s="91">
        <f>P201*C201-P201*B201</f>
        <v>14158.800000000001</v>
      </c>
      <c r="R201" s="91">
        <v>155</v>
      </c>
      <c r="S201" s="91">
        <f>R201*C201-R201*B201</f>
        <v>6417.0000000000009</v>
      </c>
      <c r="T201" s="91">
        <f>SUM(P201,N201,L201,J201,H201,F201)</f>
        <v>2668</v>
      </c>
      <c r="U201" s="91">
        <v>0</v>
      </c>
      <c r="V201" s="92">
        <v>96</v>
      </c>
      <c r="W201">
        <f t="shared" si="3"/>
        <v>3780</v>
      </c>
    </row>
    <row r="202" spans="1:23" x14ac:dyDescent="0.3">
      <c r="A202" s="95">
        <v>4</v>
      </c>
      <c r="B202" s="95">
        <f>A202*2.8</f>
        <v>11.2</v>
      </c>
      <c r="C202" s="95">
        <v>50</v>
      </c>
      <c r="D202" s="95">
        <f>C202-B202</f>
        <v>38.799999999999997</v>
      </c>
      <c r="E202" s="95">
        <f>(CleanedDataset!$F51-CleanedDataset!$E51)/CleanedDataset!$F51</f>
        <v>0.71594202898550729</v>
      </c>
      <c r="F202" s="96">
        <v>332</v>
      </c>
      <c r="G202" s="96">
        <f>F202*C202-F202*B202</f>
        <v>12881.6</v>
      </c>
      <c r="H202" s="96">
        <v>280</v>
      </c>
      <c r="I202" s="96">
        <f>H202*C202-F202*B202</f>
        <v>10281.6</v>
      </c>
      <c r="J202" s="96">
        <v>309</v>
      </c>
      <c r="K202" s="96">
        <f>J202*C202-J202*B202</f>
        <v>11989.2</v>
      </c>
      <c r="L202" s="96">
        <v>280</v>
      </c>
      <c r="M202" s="96">
        <f>L202*C202-L202*B202</f>
        <v>10864</v>
      </c>
      <c r="N202" s="96">
        <v>255</v>
      </c>
      <c r="O202" s="96">
        <f>N202*C202-N202*B202</f>
        <v>9894</v>
      </c>
      <c r="P202" s="96">
        <v>244</v>
      </c>
      <c r="Q202" s="96">
        <f>P202*C202-P202*B202</f>
        <v>9467.2000000000007</v>
      </c>
      <c r="R202" s="96">
        <v>158</v>
      </c>
      <c r="S202" s="96">
        <f>R202*C202-R202*B202</f>
        <v>6130.4</v>
      </c>
      <c r="T202" s="96">
        <f>SUM(P202,N202,L202,J202,H202,F202)</f>
        <v>1700</v>
      </c>
      <c r="U202" s="96">
        <v>0</v>
      </c>
      <c r="V202" s="97">
        <v>94</v>
      </c>
      <c r="W202">
        <f t="shared" si="3"/>
        <v>1328</v>
      </c>
    </row>
    <row r="203" spans="1:23" x14ac:dyDescent="0.3">
      <c r="A203" s="95">
        <v>30</v>
      </c>
      <c r="B203" s="95">
        <f>A203*2.8</f>
        <v>84</v>
      </c>
      <c r="C203" s="95">
        <v>300</v>
      </c>
      <c r="D203" s="95">
        <f>C203-B203</f>
        <v>216</v>
      </c>
      <c r="E203" s="95">
        <f>(CleanedDataset!$F21-CleanedDataset!$E21)/CleanedDataset!$F21</f>
        <v>0.7</v>
      </c>
      <c r="F203" s="96">
        <v>25</v>
      </c>
      <c r="G203" s="96">
        <f>F203*C203-F203*B203</f>
        <v>5400</v>
      </c>
      <c r="H203" s="96">
        <v>30</v>
      </c>
      <c r="I203" s="96">
        <f>H203*C203-F203*B203</f>
        <v>6900</v>
      </c>
      <c r="J203" s="96">
        <v>10</v>
      </c>
      <c r="K203" s="96">
        <f>J203*C203-J203*B203</f>
        <v>2160</v>
      </c>
      <c r="L203" s="96">
        <v>20</v>
      </c>
      <c r="M203" s="96">
        <f>L203*C203-L203*B203</f>
        <v>4320</v>
      </c>
      <c r="N203" s="96">
        <v>43</v>
      </c>
      <c r="O203" s="96">
        <f>N203*C203-N203*B203</f>
        <v>9288</v>
      </c>
      <c r="P203" s="96">
        <v>55</v>
      </c>
      <c r="Q203" s="96">
        <f>P203*C203-P203*B203</f>
        <v>11880</v>
      </c>
      <c r="R203" s="96">
        <v>10</v>
      </c>
      <c r="S203" s="96">
        <f>R203*C203-R203*B203</f>
        <v>2160</v>
      </c>
      <c r="T203" s="96">
        <f>SUM(P203,N203,L203,J203,H203,F203)</f>
        <v>183</v>
      </c>
      <c r="U203" s="96">
        <v>0</v>
      </c>
      <c r="V203" s="97">
        <v>98</v>
      </c>
      <c r="W203">
        <f t="shared" si="3"/>
        <v>750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DCDF-12C4-4190-88A3-A4873A362449}">
  <dimension ref="A2:B6"/>
  <sheetViews>
    <sheetView workbookViewId="0">
      <selection activeCell="F16" sqref="F16"/>
    </sheetView>
  </sheetViews>
  <sheetFormatPr defaultRowHeight="14.4" x14ac:dyDescent="0.3"/>
  <cols>
    <col min="1" max="1" width="15.88671875" bestFit="1" customWidth="1"/>
    <col min="2" max="2" width="69.109375" bestFit="1" customWidth="1"/>
    <col min="3" max="16" width="14.77734375" bestFit="1" customWidth="1"/>
    <col min="17" max="17" width="10.77734375" bestFit="1" customWidth="1"/>
  </cols>
  <sheetData>
    <row r="2" spans="1:2" x14ac:dyDescent="0.3">
      <c r="A2" s="13" t="s">
        <v>5</v>
      </c>
      <c r="B2" t="s">
        <v>376</v>
      </c>
    </row>
    <row r="3" spans="1:2" x14ac:dyDescent="0.3">
      <c r="A3" t="s">
        <v>10</v>
      </c>
      <c r="B3" s="116">
        <v>12.320462316064539</v>
      </c>
    </row>
    <row r="4" spans="1:2" x14ac:dyDescent="0.3">
      <c r="A4" t="s">
        <v>144</v>
      </c>
      <c r="B4" s="116">
        <v>3.6281821293478935</v>
      </c>
    </row>
    <row r="5" spans="1:2" x14ac:dyDescent="0.3">
      <c r="A5" t="s">
        <v>97</v>
      </c>
      <c r="B5" s="116">
        <v>1.6072259595596865</v>
      </c>
    </row>
    <row r="6" spans="1:2" x14ac:dyDescent="0.3">
      <c r="A6" t="s">
        <v>228</v>
      </c>
      <c r="B6" s="116">
        <v>9.4975150441585363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eb836f-e513-42cf-8a38-e7a32ea63a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6DB05519ADC43A9C286F9BA7FE44D" ma:contentTypeVersion="8" ma:contentTypeDescription="Create a new document." ma:contentTypeScope="" ma:versionID="4483204d7e4e1197a85e8ada76a7c42e">
  <xsd:schema xmlns:xsd="http://www.w3.org/2001/XMLSchema" xmlns:xs="http://www.w3.org/2001/XMLSchema" xmlns:p="http://schemas.microsoft.com/office/2006/metadata/properties" xmlns:ns3="42eb836f-e513-42cf-8a38-e7a32ea63a44" xmlns:ns4="fc5d3b48-2328-425c-a19c-fdc00388db44" targetNamespace="http://schemas.microsoft.com/office/2006/metadata/properties" ma:root="true" ma:fieldsID="d374e83d51ed1dc054667c5a36141c95" ns3:_="" ns4:_="">
    <xsd:import namespace="42eb836f-e513-42cf-8a38-e7a32ea63a44"/>
    <xsd:import namespace="fc5d3b48-2328-425c-a19c-fdc00388db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b836f-e513-42cf-8a38-e7a32ea63a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d3b48-2328-425c-a19c-fdc00388d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5DC8F-2770-47F1-A147-C0BF1DE7D850}">
  <ds:schemaRefs>
    <ds:schemaRef ds:uri="fc5d3b48-2328-425c-a19c-fdc00388db44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42eb836f-e513-42cf-8a38-e7a32ea63a44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74C8821-38BB-45BD-A884-4993191674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eb836f-e513-42cf-8a38-e7a32ea63a44"/>
    <ds:schemaRef ds:uri="fc5d3b48-2328-425c-a19c-fdc00388d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895853-ACC0-4832-A77E-D2074BF2F2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Sheet8</vt:lpstr>
      <vt:lpstr>Sheet9</vt:lpstr>
      <vt:lpstr>Profit Data</vt:lpstr>
      <vt:lpstr>DraftDataset (2)</vt:lpstr>
      <vt:lpstr>CleanedDataset</vt:lpstr>
      <vt:lpstr>Sheet19</vt:lpstr>
      <vt:lpstr>Sheet18</vt:lpstr>
      <vt:lpstr>Sheet16</vt:lpstr>
      <vt:lpstr>Sheet11</vt:lpstr>
      <vt:lpstr>All</vt:lpstr>
      <vt:lpstr>Information</vt:lpstr>
      <vt:lpstr>Sheet3</vt:lpstr>
      <vt:lpstr>ColorR</vt:lpstr>
      <vt:lpstr>All_Cleaned</vt:lpstr>
      <vt:lpstr>Pivot </vt:lpstr>
      <vt:lpstr>Powder Cost</vt:lpstr>
      <vt:lpstr>Demand Distribution</vt:lpstr>
      <vt:lpstr>Suggestion3</vt:lpstr>
      <vt:lpstr>Forecast</vt:lpstr>
      <vt:lpstr>AnnualPDashBoard</vt:lpstr>
      <vt:lpstr>Profit ForeCast</vt:lpstr>
      <vt:lpstr>ForecastDashboard2</vt:lpstr>
      <vt:lpstr>MovingAverage</vt:lpstr>
      <vt:lpstr>Suggestion5</vt:lpstr>
      <vt:lpstr>Suggestion4</vt:lpstr>
      <vt:lpstr>Sheet2</vt:lpstr>
      <vt:lpstr>Regression</vt:lpstr>
      <vt:lpstr>Sheet5</vt:lpstr>
      <vt:lpstr>Suggestion6</vt:lpstr>
      <vt:lpstr>Suggestion7</vt:lpstr>
      <vt:lpstr>Sheet12</vt:lpstr>
      <vt:lpstr>Sheet13</vt:lpstr>
      <vt:lpstr>ProductFamilyForecast</vt:lpstr>
      <vt:lpstr>Sheet14</vt:lpstr>
      <vt:lpstr>Suggestion8</vt:lpstr>
      <vt:lpstr>PerformanceScore</vt:lpstr>
      <vt:lpstr>Profit Margin</vt:lpstr>
      <vt:lpstr>New Introduced Colour Analysis</vt:lpstr>
      <vt:lpstr>Sheet20</vt:lpstr>
      <vt:lpstr>Suggestion1</vt:lpstr>
    </vt:vector>
  </TitlesOfParts>
  <Manager/>
  <Company>Nottingham Trent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</dc:creator>
  <cp:keywords/>
  <dc:description/>
  <cp:lastModifiedBy>cise8</cp:lastModifiedBy>
  <cp:revision/>
  <dcterms:created xsi:type="dcterms:W3CDTF">2018-04-03T21:11:59Z</dcterms:created>
  <dcterms:modified xsi:type="dcterms:W3CDTF">2023-04-30T20:32:41Z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0x0101001DB6DB05519ADC43A9C286F9BA7FE44D</vt:lpwstr>
  </property>
</Properties>
</file>